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a0d924ad29a91467/Documents/B.tech All Semester Result And Projects/PROJECT/Maruti Suzuki Sales Dashboard/Dashboard/"/>
    </mc:Choice>
  </mc:AlternateContent>
  <xr:revisionPtr revIDLastSave="6" documentId="8_{9882709B-315F-4F82-BE3A-C43C786EB1CC}" xr6:coauthVersionLast="47" xr6:coauthVersionMax="47" xr10:uidLastSave="{C21DF693-6FCC-4946-B4F3-8BDF14AC29F2}"/>
  <bookViews>
    <workbookView xWindow="828" yWindow="-108" windowWidth="22320" windowHeight="13176" tabRatio="500" xr2:uid="{00000000-000D-0000-FFFF-FFFF00000000}"/>
  </bookViews>
  <sheets>
    <sheet name="Dashboard" sheetId="1" r:id="rId1"/>
    <sheet name="Raw Data" sheetId="2" r:id="rId2"/>
    <sheet name="README" sheetId="3" r:id="rId3"/>
    <sheet name="Lists" sheetId="4" state="hidden" r:id="rId4"/>
    <sheet name="Calc" sheetId="5" state="hidden" r:id="rId5"/>
  </sheets>
  <definedNames>
    <definedName name="Sel_City">Dashboard!$N$8</definedName>
    <definedName name="Sel_CustType">Dashboard!$K$10</definedName>
    <definedName name="Sel_Dealer">Dashboard!$Q$8</definedName>
    <definedName name="Sel_Fuel">Dashboard!$H$10</definedName>
    <definedName name="Sel_Model">Dashboard!$B$10</definedName>
    <definedName name="Sel_Month">Dashboard!$E$8</definedName>
    <definedName name="Sel_Payment">Dashboard!$N$10</definedName>
    <definedName name="Sel_Region">Dashboard!$H$8</definedName>
    <definedName name="Sel_Segment">Dashboard!$E$10</definedName>
    <definedName name="Sel_State">Dashboard!$K$8</definedName>
    <definedName name="Sel_Year">Dashboard!$B$8</definedName>
    <definedName name="Slicer_Car_Model">#N/A</definedName>
    <definedName name="Slicer_City">#N/A</definedName>
    <definedName name="Slicer_Customer_Type">#N/A</definedName>
    <definedName name="Slicer_Fuel_Type">#N/A</definedName>
    <definedName name="Slicer_Month">#N/A</definedName>
    <definedName name="Slicer_Payment_Mode">#N/A</definedName>
    <definedName name="Slicer_Region">#N/A</definedName>
    <definedName name="Slicer_Segment">#N/A</definedName>
    <definedName name="Slicer_State">#N/A</definedName>
    <definedName name="Slicer_Year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" l="1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T3001" i="2"/>
  <c r="T3000" i="2"/>
  <c r="T2999" i="2"/>
  <c r="T2998" i="2"/>
  <c r="T2997" i="2"/>
  <c r="T2996" i="2"/>
  <c r="T2995" i="2"/>
  <c r="T2994" i="2"/>
  <c r="T2993" i="2"/>
  <c r="T2992" i="2"/>
  <c r="T2991" i="2"/>
  <c r="T2990" i="2"/>
  <c r="T2989" i="2"/>
  <c r="T2988" i="2"/>
  <c r="T2987" i="2"/>
  <c r="T2986" i="2"/>
  <c r="T2985" i="2"/>
  <c r="T2984" i="2"/>
  <c r="T2983" i="2"/>
  <c r="T2982" i="2"/>
  <c r="T2981" i="2"/>
  <c r="T2980" i="2"/>
  <c r="T2979" i="2"/>
  <c r="T2978" i="2"/>
  <c r="T2977" i="2"/>
  <c r="T2976" i="2"/>
  <c r="T2975" i="2"/>
  <c r="T2974" i="2"/>
  <c r="T2973" i="2"/>
  <c r="T2972" i="2"/>
  <c r="T2971" i="2"/>
  <c r="T2970" i="2"/>
  <c r="T2969" i="2"/>
  <c r="T2968" i="2"/>
  <c r="T2967" i="2"/>
  <c r="T2966" i="2"/>
  <c r="T2965" i="2"/>
  <c r="T2964" i="2"/>
  <c r="T2963" i="2"/>
  <c r="T2962" i="2"/>
  <c r="T2961" i="2"/>
  <c r="T2960" i="2"/>
  <c r="T2959" i="2"/>
  <c r="T2958" i="2"/>
  <c r="T2957" i="2"/>
  <c r="T2956" i="2"/>
  <c r="T2955" i="2"/>
  <c r="T2954" i="2"/>
  <c r="T2953" i="2"/>
  <c r="T2952" i="2"/>
  <c r="T2951" i="2"/>
  <c r="T2950" i="2"/>
  <c r="T2949" i="2"/>
  <c r="T2948" i="2"/>
  <c r="T2947" i="2"/>
  <c r="T2946" i="2"/>
  <c r="T2945" i="2"/>
  <c r="T2944" i="2"/>
  <c r="T2943" i="2"/>
  <c r="T2942" i="2"/>
  <c r="T2941" i="2"/>
  <c r="T2940" i="2"/>
  <c r="T2939" i="2"/>
  <c r="T2938" i="2"/>
  <c r="T2937" i="2"/>
  <c r="T2936" i="2"/>
  <c r="T2935" i="2"/>
  <c r="T2934" i="2"/>
  <c r="T2933" i="2"/>
  <c r="T2932" i="2"/>
  <c r="T2931" i="2"/>
  <c r="T2930" i="2"/>
  <c r="T2929" i="2"/>
  <c r="T2928" i="2"/>
  <c r="T2927" i="2"/>
  <c r="T2926" i="2"/>
  <c r="T2925" i="2"/>
  <c r="T2924" i="2"/>
  <c r="T2923" i="2"/>
  <c r="T2922" i="2"/>
  <c r="T2921" i="2"/>
  <c r="T2920" i="2"/>
  <c r="T2919" i="2"/>
  <c r="T2918" i="2"/>
  <c r="T2917" i="2"/>
  <c r="T2916" i="2"/>
  <c r="T2915" i="2"/>
  <c r="T2914" i="2"/>
  <c r="T2913" i="2"/>
  <c r="T2912" i="2"/>
  <c r="T2911" i="2"/>
  <c r="T2910" i="2"/>
  <c r="T2909" i="2"/>
  <c r="T2908" i="2"/>
  <c r="T2907" i="2"/>
  <c r="T2906" i="2"/>
  <c r="T2905" i="2"/>
  <c r="T2904" i="2"/>
  <c r="T2903" i="2"/>
  <c r="T2902" i="2"/>
  <c r="T2901" i="2"/>
  <c r="T2900" i="2"/>
  <c r="T2899" i="2"/>
  <c r="T2898" i="2"/>
  <c r="T2897" i="2"/>
  <c r="T2896" i="2"/>
  <c r="T2895" i="2"/>
  <c r="T2894" i="2"/>
  <c r="T2893" i="2"/>
  <c r="T2892" i="2"/>
  <c r="T2891" i="2"/>
  <c r="T2890" i="2"/>
  <c r="T2889" i="2"/>
  <c r="T2888" i="2"/>
  <c r="T2887" i="2"/>
  <c r="T2886" i="2"/>
  <c r="T2885" i="2"/>
  <c r="T2884" i="2"/>
  <c r="T2883" i="2"/>
  <c r="T2882" i="2"/>
  <c r="T2881" i="2"/>
  <c r="T2880" i="2"/>
  <c r="T2879" i="2"/>
  <c r="T2878" i="2"/>
  <c r="T2877" i="2"/>
  <c r="T2876" i="2"/>
  <c r="T2875" i="2"/>
  <c r="T2874" i="2"/>
  <c r="T2873" i="2"/>
  <c r="T2872" i="2"/>
  <c r="T2871" i="2"/>
  <c r="T2870" i="2"/>
  <c r="T2869" i="2"/>
  <c r="T2868" i="2"/>
  <c r="T2867" i="2"/>
  <c r="T2866" i="2"/>
  <c r="T2865" i="2"/>
  <c r="T2864" i="2"/>
  <c r="T2863" i="2"/>
  <c r="T2862" i="2"/>
  <c r="T2861" i="2"/>
  <c r="T2860" i="2"/>
  <c r="T2859" i="2"/>
  <c r="T2858" i="2"/>
  <c r="T2857" i="2"/>
  <c r="T2856" i="2"/>
  <c r="T2855" i="2"/>
  <c r="T2854" i="2"/>
  <c r="T2853" i="2"/>
  <c r="T2852" i="2"/>
  <c r="T2851" i="2"/>
  <c r="T2850" i="2"/>
  <c r="T2849" i="2"/>
  <c r="T2848" i="2"/>
  <c r="T2847" i="2"/>
  <c r="T2846" i="2"/>
  <c r="T2845" i="2"/>
  <c r="T2844" i="2"/>
  <c r="T2843" i="2"/>
  <c r="T2842" i="2"/>
  <c r="T2841" i="2"/>
  <c r="T2840" i="2"/>
  <c r="T2839" i="2"/>
  <c r="T2838" i="2"/>
  <c r="T2837" i="2"/>
  <c r="T2836" i="2"/>
  <c r="T2835" i="2"/>
  <c r="T2834" i="2"/>
  <c r="T2833" i="2"/>
  <c r="T2832" i="2"/>
  <c r="T2831" i="2"/>
  <c r="T2830" i="2"/>
  <c r="T2829" i="2"/>
  <c r="T2828" i="2"/>
  <c r="T2827" i="2"/>
  <c r="T2826" i="2"/>
  <c r="T2825" i="2"/>
  <c r="T2824" i="2"/>
  <c r="T2823" i="2"/>
  <c r="T2822" i="2"/>
  <c r="T2821" i="2"/>
  <c r="T2820" i="2"/>
  <c r="T2819" i="2"/>
  <c r="T2818" i="2"/>
  <c r="T2817" i="2"/>
  <c r="T2816" i="2"/>
  <c r="T2815" i="2"/>
  <c r="T2814" i="2"/>
  <c r="T2813" i="2"/>
  <c r="T2812" i="2"/>
  <c r="T2811" i="2"/>
  <c r="T2810" i="2"/>
  <c r="T2809" i="2"/>
  <c r="T2808" i="2"/>
  <c r="T2807" i="2"/>
  <c r="T2806" i="2"/>
  <c r="T2805" i="2"/>
  <c r="T2804" i="2"/>
  <c r="T2803" i="2"/>
  <c r="T2802" i="2"/>
  <c r="T2801" i="2"/>
  <c r="T2800" i="2"/>
  <c r="T2799" i="2"/>
  <c r="T2798" i="2"/>
  <c r="T2797" i="2"/>
  <c r="T2796" i="2"/>
  <c r="T2795" i="2"/>
  <c r="T2794" i="2"/>
  <c r="T2793" i="2"/>
  <c r="T2792" i="2"/>
  <c r="T2791" i="2"/>
  <c r="T2790" i="2"/>
  <c r="T2789" i="2"/>
  <c r="T2788" i="2"/>
  <c r="T2787" i="2"/>
  <c r="T2786" i="2"/>
  <c r="T2785" i="2"/>
  <c r="T2784" i="2"/>
  <c r="T2783" i="2"/>
  <c r="T2782" i="2"/>
  <c r="T2781" i="2"/>
  <c r="T2780" i="2"/>
  <c r="T2779" i="2"/>
  <c r="T2778" i="2"/>
  <c r="T2777" i="2"/>
  <c r="T2776" i="2"/>
  <c r="T2775" i="2"/>
  <c r="T2774" i="2"/>
  <c r="T2773" i="2"/>
  <c r="T2772" i="2"/>
  <c r="T2771" i="2"/>
  <c r="T2770" i="2"/>
  <c r="T2769" i="2"/>
  <c r="T2768" i="2"/>
  <c r="T2767" i="2"/>
  <c r="T2766" i="2"/>
  <c r="T2765" i="2"/>
  <c r="T2764" i="2"/>
  <c r="T2763" i="2"/>
  <c r="T2762" i="2"/>
  <c r="T2761" i="2"/>
  <c r="T2760" i="2"/>
  <c r="T2759" i="2"/>
  <c r="T2758" i="2"/>
  <c r="T2757" i="2"/>
  <c r="T2756" i="2"/>
  <c r="T2755" i="2"/>
  <c r="T2754" i="2"/>
  <c r="T2753" i="2"/>
  <c r="T2752" i="2"/>
  <c r="T2751" i="2"/>
  <c r="T2750" i="2"/>
  <c r="T2749" i="2"/>
  <c r="T2748" i="2"/>
  <c r="T2747" i="2"/>
  <c r="T2746" i="2"/>
  <c r="T2745" i="2"/>
  <c r="T2744" i="2"/>
  <c r="T2743" i="2"/>
  <c r="T2742" i="2"/>
  <c r="T2741" i="2"/>
  <c r="T2740" i="2"/>
  <c r="T2739" i="2"/>
  <c r="T2738" i="2"/>
  <c r="T2737" i="2"/>
  <c r="T2736" i="2"/>
  <c r="T2735" i="2"/>
  <c r="T2734" i="2"/>
  <c r="T2733" i="2"/>
  <c r="T2732" i="2"/>
  <c r="T2731" i="2"/>
  <c r="T2730" i="2"/>
  <c r="T2729" i="2"/>
  <c r="T2728" i="2"/>
  <c r="T2727" i="2"/>
  <c r="T2726" i="2"/>
  <c r="T2725" i="2"/>
  <c r="T2724" i="2"/>
  <c r="T2723" i="2"/>
  <c r="T2722" i="2"/>
  <c r="T2721" i="2"/>
  <c r="T2720" i="2"/>
  <c r="T2719" i="2"/>
  <c r="T2718" i="2"/>
  <c r="T2717" i="2"/>
  <c r="T2716" i="2"/>
  <c r="T2715" i="2"/>
  <c r="T2714" i="2"/>
  <c r="T2713" i="2"/>
  <c r="T2712" i="2"/>
  <c r="T2711" i="2"/>
  <c r="T2710" i="2"/>
  <c r="T2709" i="2"/>
  <c r="T2708" i="2"/>
  <c r="T2707" i="2"/>
  <c r="T2706" i="2"/>
  <c r="T2705" i="2"/>
  <c r="T2704" i="2"/>
  <c r="T2703" i="2"/>
  <c r="T2702" i="2"/>
  <c r="T2701" i="2"/>
  <c r="T2700" i="2"/>
  <c r="T2699" i="2"/>
  <c r="T2698" i="2"/>
  <c r="T2697" i="2"/>
  <c r="T2696" i="2"/>
  <c r="T2695" i="2"/>
  <c r="T2694" i="2"/>
  <c r="T2693" i="2"/>
  <c r="T2692" i="2"/>
  <c r="T2691" i="2"/>
  <c r="T2690" i="2"/>
  <c r="T2689" i="2"/>
  <c r="T2688" i="2"/>
  <c r="T2687" i="2"/>
  <c r="T2686" i="2"/>
  <c r="T2685" i="2"/>
  <c r="T2684" i="2"/>
  <c r="T2683" i="2"/>
  <c r="T2682" i="2"/>
  <c r="T2681" i="2"/>
  <c r="T2680" i="2"/>
  <c r="T2679" i="2"/>
  <c r="T2678" i="2"/>
  <c r="T2677" i="2"/>
  <c r="T2676" i="2"/>
  <c r="T2675" i="2"/>
  <c r="T2674" i="2"/>
  <c r="T2673" i="2"/>
  <c r="T2672" i="2"/>
  <c r="T2671" i="2"/>
  <c r="T2670" i="2"/>
  <c r="T2669" i="2"/>
  <c r="T2668" i="2"/>
  <c r="T2667" i="2"/>
  <c r="T2666" i="2"/>
  <c r="T2665" i="2"/>
  <c r="T2664" i="2"/>
  <c r="T2663" i="2"/>
  <c r="T2662" i="2"/>
  <c r="T2661" i="2"/>
  <c r="T2660" i="2"/>
  <c r="T2659" i="2"/>
  <c r="T2658" i="2"/>
  <c r="T2657" i="2"/>
  <c r="T2656" i="2"/>
  <c r="T2655" i="2"/>
  <c r="T2654" i="2"/>
  <c r="T2653" i="2"/>
  <c r="T2652" i="2"/>
  <c r="T2651" i="2"/>
  <c r="T2650" i="2"/>
  <c r="T2649" i="2"/>
  <c r="T2648" i="2"/>
  <c r="T2647" i="2"/>
  <c r="T2646" i="2"/>
  <c r="T2645" i="2"/>
  <c r="T2644" i="2"/>
  <c r="T2643" i="2"/>
  <c r="T2642" i="2"/>
  <c r="T2641" i="2"/>
  <c r="T2640" i="2"/>
  <c r="T2639" i="2"/>
  <c r="T2638" i="2"/>
  <c r="T2637" i="2"/>
  <c r="T2636" i="2"/>
  <c r="T2635" i="2"/>
  <c r="T2634" i="2"/>
  <c r="T2633" i="2"/>
  <c r="T2632" i="2"/>
  <c r="T2631" i="2"/>
  <c r="T2630" i="2"/>
  <c r="T2629" i="2"/>
  <c r="T2628" i="2"/>
  <c r="T2627" i="2"/>
  <c r="T2626" i="2"/>
  <c r="T2625" i="2"/>
  <c r="T2624" i="2"/>
  <c r="T2623" i="2"/>
  <c r="T2622" i="2"/>
  <c r="T2621" i="2"/>
  <c r="T2620" i="2"/>
  <c r="T2619" i="2"/>
  <c r="T2618" i="2"/>
  <c r="T2617" i="2"/>
  <c r="T2616" i="2"/>
  <c r="T2615" i="2"/>
  <c r="T2614" i="2"/>
  <c r="T2613" i="2"/>
  <c r="T2612" i="2"/>
  <c r="T2611" i="2"/>
  <c r="T2610" i="2"/>
  <c r="T2609" i="2"/>
  <c r="T2608" i="2"/>
  <c r="T2607" i="2"/>
  <c r="T2606" i="2"/>
  <c r="T2605" i="2"/>
  <c r="T2604" i="2"/>
  <c r="T2603" i="2"/>
  <c r="T2602" i="2"/>
  <c r="T2601" i="2"/>
  <c r="T2600" i="2"/>
  <c r="T2599" i="2"/>
  <c r="T2598" i="2"/>
  <c r="T2597" i="2"/>
  <c r="T2596" i="2"/>
  <c r="T2595" i="2"/>
  <c r="T2594" i="2"/>
  <c r="T2593" i="2"/>
  <c r="T2592" i="2"/>
  <c r="T2591" i="2"/>
  <c r="T2590" i="2"/>
  <c r="T2589" i="2"/>
  <c r="T2588" i="2"/>
  <c r="T2587" i="2"/>
  <c r="T2586" i="2"/>
  <c r="T2585" i="2"/>
  <c r="T2584" i="2"/>
  <c r="T2583" i="2"/>
  <c r="T2582" i="2"/>
  <c r="T2581" i="2"/>
  <c r="T2580" i="2"/>
  <c r="T2579" i="2"/>
  <c r="T2578" i="2"/>
  <c r="T2577" i="2"/>
  <c r="T2576" i="2"/>
  <c r="T2575" i="2"/>
  <c r="T2574" i="2"/>
  <c r="T2573" i="2"/>
  <c r="T2572" i="2"/>
  <c r="T2571" i="2"/>
  <c r="T2570" i="2"/>
  <c r="T2569" i="2"/>
  <c r="T2568" i="2"/>
  <c r="T2567" i="2"/>
  <c r="T2566" i="2"/>
  <c r="T2565" i="2"/>
  <c r="T2564" i="2"/>
  <c r="T2563" i="2"/>
  <c r="T2562" i="2"/>
  <c r="T2561" i="2"/>
  <c r="T2560" i="2"/>
  <c r="T2559" i="2"/>
  <c r="T2558" i="2"/>
  <c r="T2557" i="2"/>
  <c r="T2556" i="2"/>
  <c r="T2555" i="2"/>
  <c r="T2554" i="2"/>
  <c r="T2553" i="2"/>
  <c r="T2552" i="2"/>
  <c r="T2551" i="2"/>
  <c r="T2550" i="2"/>
  <c r="T2549" i="2"/>
  <c r="T2548" i="2"/>
  <c r="T2547" i="2"/>
  <c r="T2546" i="2"/>
  <c r="T2545" i="2"/>
  <c r="T2544" i="2"/>
  <c r="T2543" i="2"/>
  <c r="T2542" i="2"/>
  <c r="T2541" i="2"/>
  <c r="T2540" i="2"/>
  <c r="T2539" i="2"/>
  <c r="T2538" i="2"/>
  <c r="T2537" i="2"/>
  <c r="T2536" i="2"/>
  <c r="T2535" i="2"/>
  <c r="T2534" i="2"/>
  <c r="T2533" i="2"/>
  <c r="T2532" i="2"/>
  <c r="T2531" i="2"/>
  <c r="T2530" i="2"/>
  <c r="T2529" i="2"/>
  <c r="T2528" i="2"/>
  <c r="T2527" i="2"/>
  <c r="T2526" i="2"/>
  <c r="T2525" i="2"/>
  <c r="T2524" i="2"/>
  <c r="T2523" i="2"/>
  <c r="T2522" i="2"/>
  <c r="T2521" i="2"/>
  <c r="T2520" i="2"/>
  <c r="T2519" i="2"/>
  <c r="T2518" i="2"/>
  <c r="T2517" i="2"/>
  <c r="T2516" i="2"/>
  <c r="T2515" i="2"/>
  <c r="T2514" i="2"/>
  <c r="T2513" i="2"/>
  <c r="T2512" i="2"/>
  <c r="T2511" i="2"/>
  <c r="T2510" i="2"/>
  <c r="T2509" i="2"/>
  <c r="T2508" i="2"/>
  <c r="T2507" i="2"/>
  <c r="T2506" i="2"/>
  <c r="T2505" i="2"/>
  <c r="T2504" i="2"/>
  <c r="T2503" i="2"/>
  <c r="T2502" i="2"/>
  <c r="T2501" i="2"/>
  <c r="T2500" i="2"/>
  <c r="T2499" i="2"/>
  <c r="T2498" i="2"/>
  <c r="T2497" i="2"/>
  <c r="T2496" i="2"/>
  <c r="T2495" i="2"/>
  <c r="T2494" i="2"/>
  <c r="T2493" i="2"/>
  <c r="T2492" i="2"/>
  <c r="T2491" i="2"/>
  <c r="T2490" i="2"/>
  <c r="T2489" i="2"/>
  <c r="T2488" i="2"/>
  <c r="T2487" i="2"/>
  <c r="T2486" i="2"/>
  <c r="T2485" i="2"/>
  <c r="T2484" i="2"/>
  <c r="T2483" i="2"/>
  <c r="T2482" i="2"/>
  <c r="T2481" i="2"/>
  <c r="T2480" i="2"/>
  <c r="T2479" i="2"/>
  <c r="T2478" i="2"/>
  <c r="T2477" i="2"/>
  <c r="T2476" i="2"/>
  <c r="T2475" i="2"/>
  <c r="T2474" i="2"/>
  <c r="T2473" i="2"/>
  <c r="T2472" i="2"/>
  <c r="T2471" i="2"/>
  <c r="T2470" i="2"/>
  <c r="T2469" i="2"/>
  <c r="T2468" i="2"/>
  <c r="T2467" i="2"/>
  <c r="T2466" i="2"/>
  <c r="T2465" i="2"/>
  <c r="T2464" i="2"/>
  <c r="T2463" i="2"/>
  <c r="T2462" i="2"/>
  <c r="T2461" i="2"/>
  <c r="T2460" i="2"/>
  <c r="T2459" i="2"/>
  <c r="T2458" i="2"/>
  <c r="T2457" i="2"/>
  <c r="T2456" i="2"/>
  <c r="T2455" i="2"/>
  <c r="T2454" i="2"/>
  <c r="T2453" i="2"/>
  <c r="T2452" i="2"/>
  <c r="T2451" i="2"/>
  <c r="T2450" i="2"/>
  <c r="T2449" i="2"/>
  <c r="T2448" i="2"/>
  <c r="T2447" i="2"/>
  <c r="T2446" i="2"/>
  <c r="T2445" i="2"/>
  <c r="T2444" i="2"/>
  <c r="T2443" i="2"/>
  <c r="T2442" i="2"/>
  <c r="T2441" i="2"/>
  <c r="T2440" i="2"/>
  <c r="T2439" i="2"/>
  <c r="T2438" i="2"/>
  <c r="T2437" i="2"/>
  <c r="T2436" i="2"/>
  <c r="T2435" i="2"/>
  <c r="T2434" i="2"/>
  <c r="T2433" i="2"/>
  <c r="T2432" i="2"/>
  <c r="T2431" i="2"/>
  <c r="T2430" i="2"/>
  <c r="T2429" i="2"/>
  <c r="T2428" i="2"/>
  <c r="T2427" i="2"/>
  <c r="T2426" i="2"/>
  <c r="T2425" i="2"/>
  <c r="T2424" i="2"/>
  <c r="T2423" i="2"/>
  <c r="T2422" i="2"/>
  <c r="T2421" i="2"/>
  <c r="T2420" i="2"/>
  <c r="T2419" i="2"/>
  <c r="T2418" i="2"/>
  <c r="T2417" i="2"/>
  <c r="T2416" i="2"/>
  <c r="T2415" i="2"/>
  <c r="T2414" i="2"/>
  <c r="T2413" i="2"/>
  <c r="T2412" i="2"/>
  <c r="T2411" i="2"/>
  <c r="T2410" i="2"/>
  <c r="T2409" i="2"/>
  <c r="T2408" i="2"/>
  <c r="T2407" i="2"/>
  <c r="T2406" i="2"/>
  <c r="T2405" i="2"/>
  <c r="T2404" i="2"/>
  <c r="T2403" i="2"/>
  <c r="T2402" i="2"/>
  <c r="T2401" i="2"/>
  <c r="T2400" i="2"/>
  <c r="T2399" i="2"/>
  <c r="T2398" i="2"/>
  <c r="T2397" i="2"/>
  <c r="T2396" i="2"/>
  <c r="T2395" i="2"/>
  <c r="T2394" i="2"/>
  <c r="T2393" i="2"/>
  <c r="T2392" i="2"/>
  <c r="T2391" i="2"/>
  <c r="T2390" i="2"/>
  <c r="T2389" i="2"/>
  <c r="T2388" i="2"/>
  <c r="T2387" i="2"/>
  <c r="T2386" i="2"/>
  <c r="T2385" i="2"/>
  <c r="T2384" i="2"/>
  <c r="T2383" i="2"/>
  <c r="T2382" i="2"/>
  <c r="T2381" i="2"/>
  <c r="T2380" i="2"/>
  <c r="T2379" i="2"/>
  <c r="T2378" i="2"/>
  <c r="T2377" i="2"/>
  <c r="T2376" i="2"/>
  <c r="T2375" i="2"/>
  <c r="T2374" i="2"/>
  <c r="T2373" i="2"/>
  <c r="T2372" i="2"/>
  <c r="T2371" i="2"/>
  <c r="T2370" i="2"/>
  <c r="T2369" i="2"/>
  <c r="T2368" i="2"/>
  <c r="T2367" i="2"/>
  <c r="T2366" i="2"/>
  <c r="T2365" i="2"/>
  <c r="T2364" i="2"/>
  <c r="T2363" i="2"/>
  <c r="T2362" i="2"/>
  <c r="T2361" i="2"/>
  <c r="T2360" i="2"/>
  <c r="T2359" i="2"/>
  <c r="T2358" i="2"/>
  <c r="T2357" i="2"/>
  <c r="T2356" i="2"/>
  <c r="T2355" i="2"/>
  <c r="T2354" i="2"/>
  <c r="T2353" i="2"/>
  <c r="T2352" i="2"/>
  <c r="T2351" i="2"/>
  <c r="T2350" i="2"/>
  <c r="T2349" i="2"/>
  <c r="T2348" i="2"/>
  <c r="T2347" i="2"/>
  <c r="T2346" i="2"/>
  <c r="T2345" i="2"/>
  <c r="T2344" i="2"/>
  <c r="T2343" i="2"/>
  <c r="T2342" i="2"/>
  <c r="T2341" i="2"/>
  <c r="T2340" i="2"/>
  <c r="T2339" i="2"/>
  <c r="T2338" i="2"/>
  <c r="T2337" i="2"/>
  <c r="T2336" i="2"/>
  <c r="T2335" i="2"/>
  <c r="T2334" i="2"/>
  <c r="T2333" i="2"/>
  <c r="T2332" i="2"/>
  <c r="T2331" i="2"/>
  <c r="T2330" i="2"/>
  <c r="T2329" i="2"/>
  <c r="T2328" i="2"/>
  <c r="T2327" i="2"/>
  <c r="T2326" i="2"/>
  <c r="T2325" i="2"/>
  <c r="T2324" i="2"/>
  <c r="T2323" i="2"/>
  <c r="T2322" i="2"/>
  <c r="T2321" i="2"/>
  <c r="T2320" i="2"/>
  <c r="T2319" i="2"/>
  <c r="T2318" i="2"/>
  <c r="T2317" i="2"/>
  <c r="T2316" i="2"/>
  <c r="T2315" i="2"/>
  <c r="T2314" i="2"/>
  <c r="T2313" i="2"/>
  <c r="T2312" i="2"/>
  <c r="T2311" i="2"/>
  <c r="T2310" i="2"/>
  <c r="T2309" i="2"/>
  <c r="T2308" i="2"/>
  <c r="T2307" i="2"/>
  <c r="T2306" i="2"/>
  <c r="T2305" i="2"/>
  <c r="T2304" i="2"/>
  <c r="T2303" i="2"/>
  <c r="T2302" i="2"/>
  <c r="T2301" i="2"/>
  <c r="T2300" i="2"/>
  <c r="T2299" i="2"/>
  <c r="T2298" i="2"/>
  <c r="T2297" i="2"/>
  <c r="T2296" i="2"/>
  <c r="T2295" i="2"/>
  <c r="T2294" i="2"/>
  <c r="T2293" i="2"/>
  <c r="T2292" i="2"/>
  <c r="T2291" i="2"/>
  <c r="T2290" i="2"/>
  <c r="T2289" i="2"/>
  <c r="T2288" i="2"/>
  <c r="T2287" i="2"/>
  <c r="T2286" i="2"/>
  <c r="T2285" i="2"/>
  <c r="T2284" i="2"/>
  <c r="T2283" i="2"/>
  <c r="T2282" i="2"/>
  <c r="T2281" i="2"/>
  <c r="T2280" i="2"/>
  <c r="T2279" i="2"/>
  <c r="T2278" i="2"/>
  <c r="T2277" i="2"/>
  <c r="T2276" i="2"/>
  <c r="T2275" i="2"/>
  <c r="T2274" i="2"/>
  <c r="T2273" i="2"/>
  <c r="T2272" i="2"/>
  <c r="T2271" i="2"/>
  <c r="T2270" i="2"/>
  <c r="T2269" i="2"/>
  <c r="T2268" i="2"/>
  <c r="T2267" i="2"/>
  <c r="T2266" i="2"/>
  <c r="T2265" i="2"/>
  <c r="T2264" i="2"/>
  <c r="T2263" i="2"/>
  <c r="T2262" i="2"/>
  <c r="T2261" i="2"/>
  <c r="T2260" i="2"/>
  <c r="T2259" i="2"/>
  <c r="T2258" i="2"/>
  <c r="T2257" i="2"/>
  <c r="T2256" i="2"/>
  <c r="T2255" i="2"/>
  <c r="T2254" i="2"/>
  <c r="T2253" i="2"/>
  <c r="T2252" i="2"/>
  <c r="T2251" i="2"/>
  <c r="T2250" i="2"/>
  <c r="T2249" i="2"/>
  <c r="T2248" i="2"/>
  <c r="T2247" i="2"/>
  <c r="T2246" i="2"/>
  <c r="T2245" i="2"/>
  <c r="T2244" i="2"/>
  <c r="T2243" i="2"/>
  <c r="T2242" i="2"/>
  <c r="T2241" i="2"/>
  <c r="T2240" i="2"/>
  <c r="T2239" i="2"/>
  <c r="T2238" i="2"/>
  <c r="T2237" i="2"/>
  <c r="T2236" i="2"/>
  <c r="T2235" i="2"/>
  <c r="T2234" i="2"/>
  <c r="T2233" i="2"/>
  <c r="T2232" i="2"/>
  <c r="T2231" i="2"/>
  <c r="T2230" i="2"/>
  <c r="T2229" i="2"/>
  <c r="T2228" i="2"/>
  <c r="T2227" i="2"/>
  <c r="T2226" i="2"/>
  <c r="T2225" i="2"/>
  <c r="T2224" i="2"/>
  <c r="T2223" i="2"/>
  <c r="T2222" i="2"/>
  <c r="T2221" i="2"/>
  <c r="T2220" i="2"/>
  <c r="T2219" i="2"/>
  <c r="T2218" i="2"/>
  <c r="T2217" i="2"/>
  <c r="T2216" i="2"/>
  <c r="T2215" i="2"/>
  <c r="T2214" i="2"/>
  <c r="T2213" i="2"/>
  <c r="T2212" i="2"/>
  <c r="T2211" i="2"/>
  <c r="T2210" i="2"/>
  <c r="T2209" i="2"/>
  <c r="T2208" i="2"/>
  <c r="T2207" i="2"/>
  <c r="T2206" i="2"/>
  <c r="T2205" i="2"/>
  <c r="T2204" i="2"/>
  <c r="T2203" i="2"/>
  <c r="T2202" i="2"/>
  <c r="T2201" i="2"/>
  <c r="T2200" i="2"/>
  <c r="T2199" i="2"/>
  <c r="T2198" i="2"/>
  <c r="T2197" i="2"/>
  <c r="T2196" i="2"/>
  <c r="T2195" i="2"/>
  <c r="T2194" i="2"/>
  <c r="T2193" i="2"/>
  <c r="T2192" i="2"/>
  <c r="T2191" i="2"/>
  <c r="T2190" i="2"/>
  <c r="T2189" i="2"/>
  <c r="T2188" i="2"/>
  <c r="T2187" i="2"/>
  <c r="T2186" i="2"/>
  <c r="T2185" i="2"/>
  <c r="T2184" i="2"/>
  <c r="T2183" i="2"/>
  <c r="T2182" i="2"/>
  <c r="T2181" i="2"/>
  <c r="T2180" i="2"/>
  <c r="T2179" i="2"/>
  <c r="T2178" i="2"/>
  <c r="T2177" i="2"/>
  <c r="T2176" i="2"/>
  <c r="T2175" i="2"/>
  <c r="T2174" i="2"/>
  <c r="T2173" i="2"/>
  <c r="T2172" i="2"/>
  <c r="T2171" i="2"/>
  <c r="T2170" i="2"/>
  <c r="T2169" i="2"/>
  <c r="T2168" i="2"/>
  <c r="T2167" i="2"/>
  <c r="T2166" i="2"/>
  <c r="T2165" i="2"/>
  <c r="T2164" i="2"/>
  <c r="T2163" i="2"/>
  <c r="T2162" i="2"/>
  <c r="T2161" i="2"/>
  <c r="T2160" i="2"/>
  <c r="T2159" i="2"/>
  <c r="T2158" i="2"/>
  <c r="T2157" i="2"/>
  <c r="T2156" i="2"/>
  <c r="T2155" i="2"/>
  <c r="T2154" i="2"/>
  <c r="T2153" i="2"/>
  <c r="T2152" i="2"/>
  <c r="T2151" i="2"/>
  <c r="T2150" i="2"/>
  <c r="T2149" i="2"/>
  <c r="T2148" i="2"/>
  <c r="T2147" i="2"/>
  <c r="T2146" i="2"/>
  <c r="T2145" i="2"/>
  <c r="T2144" i="2"/>
  <c r="T2143" i="2"/>
  <c r="T2142" i="2"/>
  <c r="T2141" i="2"/>
  <c r="T2140" i="2"/>
  <c r="T2139" i="2"/>
  <c r="T2138" i="2"/>
  <c r="T2137" i="2"/>
  <c r="T2136" i="2"/>
  <c r="T2135" i="2"/>
  <c r="T2134" i="2"/>
  <c r="T2133" i="2"/>
  <c r="T2132" i="2"/>
  <c r="T2131" i="2"/>
  <c r="T2130" i="2"/>
  <c r="T2129" i="2"/>
  <c r="T2128" i="2"/>
  <c r="T2127" i="2"/>
  <c r="T2126" i="2"/>
  <c r="T2125" i="2"/>
  <c r="T2124" i="2"/>
  <c r="T2123" i="2"/>
  <c r="T2122" i="2"/>
  <c r="T2121" i="2"/>
  <c r="T2120" i="2"/>
  <c r="T2119" i="2"/>
  <c r="T2118" i="2"/>
  <c r="T2117" i="2"/>
  <c r="T2116" i="2"/>
  <c r="T2115" i="2"/>
  <c r="T2114" i="2"/>
  <c r="T2113" i="2"/>
  <c r="T2112" i="2"/>
  <c r="T2111" i="2"/>
  <c r="T2110" i="2"/>
  <c r="T2109" i="2"/>
  <c r="T2108" i="2"/>
  <c r="T2107" i="2"/>
  <c r="T2106" i="2"/>
  <c r="T2105" i="2"/>
  <c r="T2104" i="2"/>
  <c r="T2103" i="2"/>
  <c r="T2102" i="2"/>
  <c r="T2101" i="2"/>
  <c r="T2100" i="2"/>
  <c r="T2099" i="2"/>
  <c r="T2098" i="2"/>
  <c r="T2097" i="2"/>
  <c r="T2096" i="2"/>
  <c r="T2095" i="2"/>
  <c r="T2094" i="2"/>
  <c r="T2093" i="2"/>
  <c r="T2092" i="2"/>
  <c r="T2091" i="2"/>
  <c r="T2090" i="2"/>
  <c r="T2089" i="2"/>
  <c r="T2088" i="2"/>
  <c r="T2087" i="2"/>
  <c r="T2086" i="2"/>
  <c r="T2085" i="2"/>
  <c r="T2084" i="2"/>
  <c r="T2083" i="2"/>
  <c r="T2082" i="2"/>
  <c r="T2081" i="2"/>
  <c r="T2080" i="2"/>
  <c r="T2079" i="2"/>
  <c r="T2078" i="2"/>
  <c r="T2077" i="2"/>
  <c r="T2076" i="2"/>
  <c r="T2075" i="2"/>
  <c r="T2074" i="2"/>
  <c r="T2073" i="2"/>
  <c r="T2072" i="2"/>
  <c r="T2071" i="2"/>
  <c r="T2070" i="2"/>
  <c r="T2069" i="2"/>
  <c r="T2068" i="2"/>
  <c r="T2067" i="2"/>
  <c r="T2066" i="2"/>
  <c r="T2065" i="2"/>
  <c r="T2064" i="2"/>
  <c r="T2063" i="2"/>
  <c r="T2062" i="2"/>
  <c r="T2061" i="2"/>
  <c r="T2060" i="2"/>
  <c r="T2059" i="2"/>
  <c r="T2058" i="2"/>
  <c r="T2057" i="2"/>
  <c r="T2056" i="2"/>
  <c r="T2055" i="2"/>
  <c r="T2054" i="2"/>
  <c r="T2053" i="2"/>
  <c r="T2052" i="2"/>
  <c r="T2051" i="2"/>
  <c r="T2050" i="2"/>
  <c r="T2049" i="2"/>
  <c r="T2048" i="2"/>
  <c r="T2047" i="2"/>
  <c r="T2046" i="2"/>
  <c r="T2045" i="2"/>
  <c r="T2044" i="2"/>
  <c r="T2043" i="2"/>
  <c r="T2042" i="2"/>
  <c r="T2041" i="2"/>
  <c r="T2040" i="2"/>
  <c r="T2039" i="2"/>
  <c r="T2038" i="2"/>
  <c r="T2037" i="2"/>
  <c r="T2036" i="2"/>
  <c r="T2035" i="2"/>
  <c r="T2034" i="2"/>
  <c r="T2033" i="2"/>
  <c r="T2032" i="2"/>
  <c r="T2031" i="2"/>
  <c r="T2030" i="2"/>
  <c r="T2029" i="2"/>
  <c r="T2028" i="2"/>
  <c r="T2027" i="2"/>
  <c r="T2026" i="2"/>
  <c r="T2025" i="2"/>
  <c r="T2024" i="2"/>
  <c r="T2023" i="2"/>
  <c r="T2022" i="2"/>
  <c r="T2021" i="2"/>
  <c r="T2020" i="2"/>
  <c r="T2019" i="2"/>
  <c r="T2018" i="2"/>
  <c r="T2017" i="2"/>
  <c r="T2016" i="2"/>
  <c r="T2015" i="2"/>
  <c r="T2014" i="2"/>
  <c r="T2013" i="2"/>
  <c r="T2012" i="2"/>
  <c r="T2011" i="2"/>
  <c r="T2010" i="2"/>
  <c r="T2009" i="2"/>
  <c r="T2008" i="2"/>
  <c r="T2007" i="2"/>
  <c r="T2006" i="2"/>
  <c r="T2005" i="2"/>
  <c r="T2004" i="2"/>
  <c r="T2003" i="2"/>
  <c r="T2002" i="2"/>
  <c r="T2001" i="2"/>
  <c r="T2000" i="2"/>
  <c r="T1999" i="2"/>
  <c r="T1998" i="2"/>
  <c r="T1997" i="2"/>
  <c r="T1996" i="2"/>
  <c r="T1995" i="2"/>
  <c r="T1994" i="2"/>
  <c r="T1993" i="2"/>
  <c r="T1992" i="2"/>
  <c r="T1991" i="2"/>
  <c r="T1990" i="2"/>
  <c r="T1989" i="2"/>
  <c r="T1988" i="2"/>
  <c r="T1987" i="2"/>
  <c r="T1986" i="2"/>
  <c r="T1985" i="2"/>
  <c r="T1984" i="2"/>
  <c r="T1983" i="2"/>
  <c r="T1982" i="2"/>
  <c r="T1981" i="2"/>
  <c r="T1980" i="2"/>
  <c r="T1979" i="2"/>
  <c r="T1978" i="2"/>
  <c r="T1977" i="2"/>
  <c r="T1976" i="2"/>
  <c r="T1975" i="2"/>
  <c r="T1974" i="2"/>
  <c r="T1973" i="2"/>
  <c r="T1972" i="2"/>
  <c r="T1971" i="2"/>
  <c r="T1970" i="2"/>
  <c r="T1969" i="2"/>
  <c r="T1968" i="2"/>
  <c r="T1967" i="2"/>
  <c r="T1966" i="2"/>
  <c r="T1965" i="2"/>
  <c r="T1964" i="2"/>
  <c r="T1963" i="2"/>
  <c r="T1962" i="2"/>
  <c r="T1961" i="2"/>
  <c r="T1960" i="2"/>
  <c r="T1959" i="2"/>
  <c r="T1958" i="2"/>
  <c r="T1957" i="2"/>
  <c r="T1956" i="2"/>
  <c r="T1955" i="2"/>
  <c r="T1954" i="2"/>
  <c r="T1953" i="2"/>
  <c r="T1952" i="2"/>
  <c r="T1951" i="2"/>
  <c r="T1950" i="2"/>
  <c r="T1949" i="2"/>
  <c r="T1948" i="2"/>
  <c r="T1947" i="2"/>
  <c r="T1946" i="2"/>
  <c r="T1945" i="2"/>
  <c r="T1944" i="2"/>
  <c r="T1943" i="2"/>
  <c r="T1942" i="2"/>
  <c r="T1941" i="2"/>
  <c r="T1940" i="2"/>
  <c r="T1939" i="2"/>
  <c r="T1938" i="2"/>
  <c r="T1937" i="2"/>
  <c r="T1936" i="2"/>
  <c r="T1935" i="2"/>
  <c r="T1934" i="2"/>
  <c r="T1933" i="2"/>
  <c r="T1932" i="2"/>
  <c r="T1931" i="2"/>
  <c r="T1930" i="2"/>
  <c r="T1929" i="2"/>
  <c r="T1928" i="2"/>
  <c r="T1927" i="2"/>
  <c r="T1926" i="2"/>
  <c r="T1925" i="2"/>
  <c r="T1924" i="2"/>
  <c r="T1923" i="2"/>
  <c r="T1922" i="2"/>
  <c r="T1921" i="2"/>
  <c r="T1920" i="2"/>
  <c r="T1919" i="2"/>
  <c r="T1918" i="2"/>
  <c r="T1917" i="2"/>
  <c r="T1916" i="2"/>
  <c r="T1915" i="2"/>
  <c r="T1914" i="2"/>
  <c r="T1913" i="2"/>
  <c r="T1912" i="2"/>
  <c r="T1911" i="2"/>
  <c r="T1910" i="2"/>
  <c r="T1909" i="2"/>
  <c r="T1908" i="2"/>
  <c r="T1907" i="2"/>
  <c r="T1906" i="2"/>
  <c r="T1905" i="2"/>
  <c r="T1904" i="2"/>
  <c r="T1903" i="2"/>
  <c r="T1902" i="2"/>
  <c r="T1901" i="2"/>
  <c r="T1900" i="2"/>
  <c r="T1899" i="2"/>
  <c r="T1898" i="2"/>
  <c r="T1897" i="2"/>
  <c r="T1896" i="2"/>
  <c r="T1895" i="2"/>
  <c r="T1894" i="2"/>
  <c r="T1893" i="2"/>
  <c r="T1892" i="2"/>
  <c r="T1891" i="2"/>
  <c r="T1890" i="2"/>
  <c r="T1889" i="2"/>
  <c r="T1888" i="2"/>
  <c r="T1887" i="2"/>
  <c r="T1886" i="2"/>
  <c r="T1885" i="2"/>
  <c r="T1884" i="2"/>
  <c r="T1883" i="2"/>
  <c r="T1882" i="2"/>
  <c r="T1881" i="2"/>
  <c r="T1880" i="2"/>
  <c r="T1879" i="2"/>
  <c r="T1878" i="2"/>
  <c r="T1877" i="2"/>
  <c r="T1876" i="2"/>
  <c r="T1875" i="2"/>
  <c r="T1874" i="2"/>
  <c r="T1873" i="2"/>
  <c r="T1872" i="2"/>
  <c r="T1871" i="2"/>
  <c r="T1870" i="2"/>
  <c r="T1869" i="2"/>
  <c r="T1868" i="2"/>
  <c r="T1867" i="2"/>
  <c r="T1866" i="2"/>
  <c r="T1865" i="2"/>
  <c r="T1864" i="2"/>
  <c r="T1863" i="2"/>
  <c r="T1862" i="2"/>
  <c r="T1861" i="2"/>
  <c r="T1860" i="2"/>
  <c r="T1859" i="2"/>
  <c r="T1858" i="2"/>
  <c r="T1857" i="2"/>
  <c r="T1856" i="2"/>
  <c r="T1855" i="2"/>
  <c r="T1854" i="2"/>
  <c r="T1853" i="2"/>
  <c r="T1852" i="2"/>
  <c r="T1851" i="2"/>
  <c r="T1850" i="2"/>
  <c r="T1849" i="2"/>
  <c r="T1848" i="2"/>
  <c r="T1847" i="2"/>
  <c r="T1846" i="2"/>
  <c r="T1845" i="2"/>
  <c r="T1844" i="2"/>
  <c r="T1843" i="2"/>
  <c r="T1842" i="2"/>
  <c r="T1841" i="2"/>
  <c r="T1840" i="2"/>
  <c r="T1839" i="2"/>
  <c r="T1838" i="2"/>
  <c r="T1837" i="2"/>
  <c r="T1836" i="2"/>
  <c r="T1835" i="2"/>
  <c r="T1834" i="2"/>
  <c r="T1833" i="2"/>
  <c r="T1832" i="2"/>
  <c r="T1831" i="2"/>
  <c r="T1830" i="2"/>
  <c r="T1829" i="2"/>
  <c r="T1828" i="2"/>
  <c r="T1827" i="2"/>
  <c r="T1826" i="2"/>
  <c r="T1825" i="2"/>
  <c r="T1824" i="2"/>
  <c r="T1823" i="2"/>
  <c r="T1822" i="2"/>
  <c r="T1821" i="2"/>
  <c r="T1820" i="2"/>
  <c r="T1819" i="2"/>
  <c r="T1818" i="2"/>
  <c r="T1817" i="2"/>
  <c r="T1816" i="2"/>
  <c r="T1815" i="2"/>
  <c r="T1814" i="2"/>
  <c r="T1813" i="2"/>
  <c r="T1812" i="2"/>
  <c r="T1811" i="2"/>
  <c r="T1810" i="2"/>
  <c r="T1809" i="2"/>
  <c r="T1808" i="2"/>
  <c r="T1807" i="2"/>
  <c r="T1806" i="2"/>
  <c r="T1805" i="2"/>
  <c r="T1804" i="2"/>
  <c r="T1803" i="2"/>
  <c r="T1802" i="2"/>
  <c r="T1801" i="2"/>
  <c r="T1800" i="2"/>
  <c r="T1799" i="2"/>
  <c r="T1798" i="2"/>
  <c r="T1797" i="2"/>
  <c r="T1796" i="2"/>
  <c r="T1795" i="2"/>
  <c r="T1794" i="2"/>
  <c r="T1793" i="2"/>
  <c r="T1792" i="2"/>
  <c r="T1791" i="2"/>
  <c r="T1790" i="2"/>
  <c r="T1789" i="2"/>
  <c r="T1788" i="2"/>
  <c r="T1787" i="2"/>
  <c r="T1786" i="2"/>
  <c r="T1785" i="2"/>
  <c r="T1784" i="2"/>
  <c r="T1783" i="2"/>
  <c r="T1782" i="2"/>
  <c r="T1781" i="2"/>
  <c r="T1780" i="2"/>
  <c r="T1779" i="2"/>
  <c r="T1778" i="2"/>
  <c r="T1777" i="2"/>
  <c r="T1776" i="2"/>
  <c r="T1775" i="2"/>
  <c r="T1774" i="2"/>
  <c r="T1773" i="2"/>
  <c r="T1772" i="2"/>
  <c r="T1771" i="2"/>
  <c r="T1770" i="2"/>
  <c r="T1769" i="2"/>
  <c r="T1768" i="2"/>
  <c r="T1767" i="2"/>
  <c r="T1766" i="2"/>
  <c r="T1765" i="2"/>
  <c r="T1764" i="2"/>
  <c r="T1763" i="2"/>
  <c r="T1762" i="2"/>
  <c r="T1761" i="2"/>
  <c r="T1760" i="2"/>
  <c r="T1759" i="2"/>
  <c r="T1758" i="2"/>
  <c r="T1757" i="2"/>
  <c r="T1756" i="2"/>
  <c r="T1755" i="2"/>
  <c r="T1754" i="2"/>
  <c r="T1753" i="2"/>
  <c r="T1752" i="2"/>
  <c r="T1751" i="2"/>
  <c r="T1750" i="2"/>
  <c r="T1749" i="2"/>
  <c r="T1748" i="2"/>
  <c r="T1747" i="2"/>
  <c r="T1746" i="2"/>
  <c r="T1745" i="2"/>
  <c r="T1744" i="2"/>
  <c r="T1743" i="2"/>
  <c r="T1742" i="2"/>
  <c r="T1741" i="2"/>
  <c r="T1740" i="2"/>
  <c r="T1739" i="2"/>
  <c r="T1738" i="2"/>
  <c r="T1737" i="2"/>
  <c r="T1736" i="2"/>
  <c r="T1735" i="2"/>
  <c r="T1734" i="2"/>
  <c r="T1733" i="2"/>
  <c r="T1732" i="2"/>
  <c r="T1731" i="2"/>
  <c r="T1730" i="2"/>
  <c r="T1729" i="2"/>
  <c r="T1728" i="2"/>
  <c r="T1727" i="2"/>
  <c r="T1726" i="2"/>
  <c r="T1725" i="2"/>
  <c r="T1724" i="2"/>
  <c r="T1723" i="2"/>
  <c r="T1722" i="2"/>
  <c r="T1721" i="2"/>
  <c r="T1720" i="2"/>
  <c r="T1719" i="2"/>
  <c r="T1718" i="2"/>
  <c r="T1717" i="2"/>
  <c r="T1716" i="2"/>
  <c r="T1715" i="2"/>
  <c r="T1714" i="2"/>
  <c r="T1713" i="2"/>
  <c r="T1712" i="2"/>
  <c r="T1711" i="2"/>
  <c r="T1710" i="2"/>
  <c r="T1709" i="2"/>
  <c r="T1708" i="2"/>
  <c r="T1707" i="2"/>
  <c r="T1706" i="2"/>
  <c r="T1705" i="2"/>
  <c r="T1704" i="2"/>
  <c r="T1703" i="2"/>
  <c r="T1702" i="2"/>
  <c r="T1701" i="2"/>
  <c r="T1700" i="2"/>
  <c r="T1699" i="2"/>
  <c r="T1698" i="2"/>
  <c r="T1697" i="2"/>
  <c r="T1696" i="2"/>
  <c r="T1695" i="2"/>
  <c r="T1694" i="2"/>
  <c r="T1693" i="2"/>
  <c r="T1692" i="2"/>
  <c r="T1691" i="2"/>
  <c r="T1690" i="2"/>
  <c r="T1689" i="2"/>
  <c r="T1688" i="2"/>
  <c r="T1687" i="2"/>
  <c r="T1686" i="2"/>
  <c r="T1685" i="2"/>
  <c r="T1684" i="2"/>
  <c r="T1683" i="2"/>
  <c r="T1682" i="2"/>
  <c r="T1681" i="2"/>
  <c r="T1680" i="2"/>
  <c r="T1679" i="2"/>
  <c r="T1678" i="2"/>
  <c r="T1677" i="2"/>
  <c r="T1676" i="2"/>
  <c r="T1675" i="2"/>
  <c r="T1674" i="2"/>
  <c r="T1673" i="2"/>
  <c r="T1672" i="2"/>
  <c r="T1671" i="2"/>
  <c r="T1670" i="2"/>
  <c r="T1669" i="2"/>
  <c r="T1668" i="2"/>
  <c r="T1667" i="2"/>
  <c r="T1666" i="2"/>
  <c r="T1665" i="2"/>
  <c r="T1664" i="2"/>
  <c r="T1663" i="2"/>
  <c r="T1662" i="2"/>
  <c r="T1661" i="2"/>
  <c r="T1660" i="2"/>
  <c r="T1659" i="2"/>
  <c r="T1658" i="2"/>
  <c r="T1657" i="2"/>
  <c r="T1656" i="2"/>
  <c r="T1655" i="2"/>
  <c r="T1654" i="2"/>
  <c r="T1653" i="2"/>
  <c r="T1652" i="2"/>
  <c r="T1651" i="2"/>
  <c r="T1650" i="2"/>
  <c r="T1649" i="2"/>
  <c r="T1648" i="2"/>
  <c r="T1647" i="2"/>
  <c r="T1646" i="2"/>
  <c r="T1645" i="2"/>
  <c r="T1644" i="2"/>
  <c r="T1643" i="2"/>
  <c r="T1642" i="2"/>
  <c r="T1641" i="2"/>
  <c r="T1640" i="2"/>
  <c r="T1639" i="2"/>
  <c r="T1638" i="2"/>
  <c r="T1637" i="2"/>
  <c r="T1636" i="2"/>
  <c r="T1635" i="2"/>
  <c r="T1634" i="2"/>
  <c r="T1633" i="2"/>
  <c r="T1632" i="2"/>
  <c r="T1631" i="2"/>
  <c r="T1630" i="2"/>
  <c r="T1629" i="2"/>
  <c r="T1628" i="2"/>
  <c r="T1627" i="2"/>
  <c r="T1626" i="2"/>
  <c r="T1625" i="2"/>
  <c r="T1624" i="2"/>
  <c r="T1623" i="2"/>
  <c r="T1622" i="2"/>
  <c r="T1621" i="2"/>
  <c r="T1620" i="2"/>
  <c r="T1619" i="2"/>
  <c r="T1618" i="2"/>
  <c r="T1617" i="2"/>
  <c r="T1616" i="2"/>
  <c r="T1615" i="2"/>
  <c r="T1614" i="2"/>
  <c r="T1613" i="2"/>
  <c r="T1612" i="2"/>
  <c r="T1611" i="2"/>
  <c r="T1610" i="2"/>
  <c r="T1609" i="2"/>
  <c r="T1608" i="2"/>
  <c r="T1607" i="2"/>
  <c r="T1606" i="2"/>
  <c r="T1605" i="2"/>
  <c r="T1604" i="2"/>
  <c r="T1603" i="2"/>
  <c r="T1602" i="2"/>
  <c r="T1601" i="2"/>
  <c r="T1600" i="2"/>
  <c r="T1599" i="2"/>
  <c r="T1598" i="2"/>
  <c r="T1597" i="2"/>
  <c r="T1596" i="2"/>
  <c r="T1595" i="2"/>
  <c r="T1594" i="2"/>
  <c r="T1593" i="2"/>
  <c r="T1592" i="2"/>
  <c r="T1591" i="2"/>
  <c r="T1590" i="2"/>
  <c r="T1589" i="2"/>
  <c r="T1588" i="2"/>
  <c r="T1587" i="2"/>
  <c r="T1586" i="2"/>
  <c r="T1585" i="2"/>
  <c r="T1584" i="2"/>
  <c r="T1583" i="2"/>
  <c r="T1582" i="2"/>
  <c r="T1581" i="2"/>
  <c r="T1580" i="2"/>
  <c r="T1579" i="2"/>
  <c r="T1578" i="2"/>
  <c r="T1577" i="2"/>
  <c r="T1576" i="2"/>
  <c r="T1575" i="2"/>
  <c r="T1574" i="2"/>
  <c r="T1573" i="2"/>
  <c r="T1572" i="2"/>
  <c r="T1571" i="2"/>
  <c r="T1570" i="2"/>
  <c r="T1569" i="2"/>
  <c r="T1568" i="2"/>
  <c r="T1567" i="2"/>
  <c r="T1566" i="2"/>
  <c r="T1565" i="2"/>
  <c r="T1564" i="2"/>
  <c r="T1563" i="2"/>
  <c r="T1562" i="2"/>
  <c r="T1561" i="2"/>
  <c r="T1560" i="2"/>
  <c r="T1559" i="2"/>
  <c r="T1558" i="2"/>
  <c r="T1557" i="2"/>
  <c r="T1556" i="2"/>
  <c r="T1555" i="2"/>
  <c r="T1554" i="2"/>
  <c r="T1553" i="2"/>
  <c r="T1552" i="2"/>
  <c r="T1551" i="2"/>
  <c r="T1550" i="2"/>
  <c r="T1549" i="2"/>
  <c r="T1548" i="2"/>
  <c r="T1547" i="2"/>
  <c r="T1546" i="2"/>
  <c r="T1545" i="2"/>
  <c r="T1544" i="2"/>
  <c r="T1543" i="2"/>
  <c r="T1542" i="2"/>
  <c r="T1541" i="2"/>
  <c r="T1540" i="2"/>
  <c r="T1539" i="2"/>
  <c r="T1538" i="2"/>
  <c r="T1537" i="2"/>
  <c r="T1536" i="2"/>
  <c r="T1535" i="2"/>
  <c r="T1534" i="2"/>
  <c r="T1533" i="2"/>
  <c r="T1532" i="2"/>
  <c r="T1531" i="2"/>
  <c r="T1530" i="2"/>
  <c r="T1529" i="2"/>
  <c r="T1528" i="2"/>
  <c r="T1527" i="2"/>
  <c r="T1526" i="2"/>
  <c r="T1525" i="2"/>
  <c r="T1524" i="2"/>
  <c r="T1523" i="2"/>
  <c r="T1522" i="2"/>
  <c r="T1521" i="2"/>
  <c r="T1520" i="2"/>
  <c r="T1519" i="2"/>
  <c r="T1518" i="2"/>
  <c r="T1517" i="2"/>
  <c r="T1516" i="2"/>
  <c r="T1515" i="2"/>
  <c r="T1514" i="2"/>
  <c r="T1513" i="2"/>
  <c r="T1512" i="2"/>
  <c r="T1511" i="2"/>
  <c r="T1510" i="2"/>
  <c r="T1509" i="2"/>
  <c r="T1508" i="2"/>
  <c r="T1507" i="2"/>
  <c r="T1506" i="2"/>
  <c r="T1505" i="2"/>
  <c r="T1504" i="2"/>
  <c r="T1503" i="2"/>
  <c r="T1502" i="2"/>
  <c r="T1501" i="2"/>
  <c r="T1500" i="2"/>
  <c r="T1499" i="2"/>
  <c r="T1498" i="2"/>
  <c r="T1497" i="2"/>
  <c r="T1496" i="2"/>
  <c r="T1495" i="2"/>
  <c r="T1494" i="2"/>
  <c r="T1493" i="2"/>
  <c r="T1492" i="2"/>
  <c r="T1491" i="2"/>
  <c r="T1490" i="2"/>
  <c r="T1489" i="2"/>
  <c r="T1488" i="2"/>
  <c r="T1487" i="2"/>
  <c r="T1486" i="2"/>
  <c r="T1485" i="2"/>
  <c r="T1484" i="2"/>
  <c r="T1483" i="2"/>
  <c r="T1482" i="2"/>
  <c r="T1481" i="2"/>
  <c r="T1480" i="2"/>
  <c r="T1479" i="2"/>
  <c r="T1478" i="2"/>
  <c r="T1477" i="2"/>
  <c r="T1476" i="2"/>
  <c r="T1475" i="2"/>
  <c r="T1474" i="2"/>
  <c r="T1473" i="2"/>
  <c r="T1472" i="2"/>
  <c r="T1471" i="2"/>
  <c r="T1470" i="2"/>
  <c r="T1469" i="2"/>
  <c r="T1468" i="2"/>
  <c r="T1467" i="2"/>
  <c r="T1466" i="2"/>
  <c r="T1465" i="2"/>
  <c r="T1464" i="2"/>
  <c r="T1463" i="2"/>
  <c r="T1462" i="2"/>
  <c r="T1461" i="2"/>
  <c r="T1460" i="2"/>
  <c r="T1459" i="2"/>
  <c r="T1458" i="2"/>
  <c r="T1457" i="2"/>
  <c r="T1456" i="2"/>
  <c r="T1455" i="2"/>
  <c r="T1454" i="2"/>
  <c r="T1453" i="2"/>
  <c r="T1452" i="2"/>
  <c r="T1451" i="2"/>
  <c r="T1450" i="2"/>
  <c r="T1449" i="2"/>
  <c r="T1448" i="2"/>
  <c r="T1447" i="2"/>
  <c r="T1446" i="2"/>
  <c r="T1445" i="2"/>
  <c r="T1444" i="2"/>
  <c r="T1443" i="2"/>
  <c r="T1442" i="2"/>
  <c r="T1441" i="2"/>
  <c r="T1440" i="2"/>
  <c r="T1439" i="2"/>
  <c r="T1438" i="2"/>
  <c r="T1437" i="2"/>
  <c r="T1436" i="2"/>
  <c r="T1435" i="2"/>
  <c r="T1434" i="2"/>
  <c r="T1433" i="2"/>
  <c r="T1432" i="2"/>
  <c r="T1431" i="2"/>
  <c r="T1430" i="2"/>
  <c r="T1429" i="2"/>
  <c r="T1428" i="2"/>
  <c r="T1427" i="2"/>
  <c r="T1426" i="2"/>
  <c r="T1425" i="2"/>
  <c r="T1424" i="2"/>
  <c r="T1423" i="2"/>
  <c r="T1422" i="2"/>
  <c r="T1421" i="2"/>
  <c r="T1420" i="2"/>
  <c r="T1419" i="2"/>
  <c r="T1418" i="2"/>
  <c r="T1417" i="2"/>
  <c r="T1416" i="2"/>
  <c r="T1415" i="2"/>
  <c r="T1414" i="2"/>
  <c r="T1413" i="2"/>
  <c r="T1412" i="2"/>
  <c r="T1411" i="2"/>
  <c r="T1410" i="2"/>
  <c r="T1409" i="2"/>
  <c r="T1408" i="2"/>
  <c r="T1407" i="2"/>
  <c r="T1406" i="2"/>
  <c r="T1405" i="2"/>
  <c r="T1404" i="2"/>
  <c r="T1403" i="2"/>
  <c r="T1402" i="2"/>
  <c r="T1401" i="2"/>
  <c r="T1400" i="2"/>
  <c r="T1399" i="2"/>
  <c r="T1398" i="2"/>
  <c r="T1397" i="2"/>
  <c r="T1396" i="2"/>
  <c r="T1395" i="2"/>
  <c r="T1394" i="2"/>
  <c r="T1393" i="2"/>
  <c r="T1392" i="2"/>
  <c r="T1391" i="2"/>
  <c r="T1390" i="2"/>
  <c r="T1389" i="2"/>
  <c r="T1388" i="2"/>
  <c r="T1387" i="2"/>
  <c r="T1386" i="2"/>
  <c r="T1385" i="2"/>
  <c r="T1384" i="2"/>
  <c r="T1383" i="2"/>
  <c r="T1382" i="2"/>
  <c r="T1381" i="2"/>
  <c r="T1380" i="2"/>
  <c r="T1379" i="2"/>
  <c r="T1378" i="2"/>
  <c r="T1377" i="2"/>
  <c r="T1376" i="2"/>
  <c r="T1375" i="2"/>
  <c r="T1374" i="2"/>
  <c r="T1373" i="2"/>
  <c r="T1372" i="2"/>
  <c r="T1371" i="2"/>
  <c r="T1370" i="2"/>
  <c r="T1369" i="2"/>
  <c r="T1368" i="2"/>
  <c r="T1367" i="2"/>
  <c r="T1366" i="2"/>
  <c r="T1365" i="2"/>
  <c r="T1364" i="2"/>
  <c r="T1363" i="2"/>
  <c r="T1362" i="2"/>
  <c r="T1361" i="2"/>
  <c r="T1360" i="2"/>
  <c r="T1359" i="2"/>
  <c r="T1358" i="2"/>
  <c r="T1357" i="2"/>
  <c r="T1356" i="2"/>
  <c r="T1355" i="2"/>
  <c r="T1354" i="2"/>
  <c r="T1353" i="2"/>
  <c r="T1352" i="2"/>
  <c r="T1351" i="2"/>
  <c r="T1350" i="2"/>
  <c r="T1349" i="2"/>
  <c r="T1348" i="2"/>
  <c r="T1347" i="2"/>
  <c r="T1346" i="2"/>
  <c r="T1345" i="2"/>
  <c r="T1344" i="2"/>
  <c r="T1343" i="2"/>
  <c r="T1342" i="2"/>
  <c r="T1341" i="2"/>
  <c r="T1340" i="2"/>
  <c r="T1339" i="2"/>
  <c r="T1338" i="2"/>
  <c r="T1337" i="2"/>
  <c r="T1336" i="2"/>
  <c r="T1335" i="2"/>
  <c r="T1334" i="2"/>
  <c r="T1333" i="2"/>
  <c r="T1332" i="2"/>
  <c r="T1331" i="2"/>
  <c r="T1330" i="2"/>
  <c r="T1329" i="2"/>
  <c r="T1328" i="2"/>
  <c r="T1327" i="2"/>
  <c r="T1326" i="2"/>
  <c r="T1325" i="2"/>
  <c r="T1324" i="2"/>
  <c r="T1323" i="2"/>
  <c r="T1322" i="2"/>
  <c r="T1321" i="2"/>
  <c r="T1320" i="2"/>
  <c r="T1319" i="2"/>
  <c r="T1318" i="2"/>
  <c r="T1317" i="2"/>
  <c r="T1316" i="2"/>
  <c r="T1315" i="2"/>
  <c r="T1314" i="2"/>
  <c r="T1313" i="2"/>
  <c r="T1312" i="2"/>
  <c r="T1311" i="2"/>
  <c r="T1310" i="2"/>
  <c r="T1309" i="2"/>
  <c r="T1308" i="2"/>
  <c r="T1307" i="2"/>
  <c r="T1306" i="2"/>
  <c r="T1305" i="2"/>
  <c r="T1304" i="2"/>
  <c r="T1303" i="2"/>
  <c r="T1302" i="2"/>
  <c r="T1301" i="2"/>
  <c r="T1300" i="2"/>
  <c r="T1299" i="2"/>
  <c r="T1298" i="2"/>
  <c r="T1297" i="2"/>
  <c r="T1296" i="2"/>
  <c r="T1295" i="2"/>
  <c r="T1294" i="2"/>
  <c r="T1293" i="2"/>
  <c r="T1292" i="2"/>
  <c r="T1291" i="2"/>
  <c r="T1290" i="2"/>
  <c r="T1289" i="2"/>
  <c r="T1288" i="2"/>
  <c r="T1287" i="2"/>
  <c r="T1286" i="2"/>
  <c r="T1285" i="2"/>
  <c r="T1284" i="2"/>
  <c r="T1283" i="2"/>
  <c r="T1282" i="2"/>
  <c r="T1281" i="2"/>
  <c r="T1280" i="2"/>
  <c r="T1279" i="2"/>
  <c r="T1278" i="2"/>
  <c r="T1277" i="2"/>
  <c r="T1276" i="2"/>
  <c r="T1275" i="2"/>
  <c r="T1274" i="2"/>
  <c r="T1273" i="2"/>
  <c r="T1272" i="2"/>
  <c r="T1271" i="2"/>
  <c r="T1270" i="2"/>
  <c r="T1269" i="2"/>
  <c r="T1268" i="2"/>
  <c r="T1267" i="2"/>
  <c r="T1266" i="2"/>
  <c r="T1265" i="2"/>
  <c r="T1264" i="2"/>
  <c r="T1263" i="2"/>
  <c r="T1262" i="2"/>
  <c r="T1261" i="2"/>
  <c r="T1260" i="2"/>
  <c r="T1259" i="2"/>
  <c r="T1258" i="2"/>
  <c r="T1257" i="2"/>
  <c r="T1256" i="2"/>
  <c r="T1255" i="2"/>
  <c r="T1254" i="2"/>
  <c r="T1253" i="2"/>
  <c r="T1252" i="2"/>
  <c r="T1251" i="2"/>
  <c r="T1250" i="2"/>
  <c r="T1249" i="2"/>
  <c r="T1248" i="2"/>
  <c r="T1247" i="2"/>
  <c r="T1246" i="2"/>
  <c r="T1245" i="2"/>
  <c r="T1244" i="2"/>
  <c r="T1243" i="2"/>
  <c r="T1242" i="2"/>
  <c r="T1241" i="2"/>
  <c r="T1240" i="2"/>
  <c r="T1239" i="2"/>
  <c r="T1238" i="2"/>
  <c r="T1237" i="2"/>
  <c r="T1236" i="2"/>
  <c r="T1235" i="2"/>
  <c r="T1234" i="2"/>
  <c r="T1233" i="2"/>
  <c r="T1232" i="2"/>
  <c r="T1231" i="2"/>
  <c r="T1230" i="2"/>
  <c r="T1229" i="2"/>
  <c r="T1228" i="2"/>
  <c r="T1227" i="2"/>
  <c r="T1226" i="2"/>
  <c r="T1225" i="2"/>
  <c r="T1224" i="2"/>
  <c r="T1223" i="2"/>
  <c r="T1222" i="2"/>
  <c r="T1221" i="2"/>
  <c r="T1220" i="2"/>
  <c r="T1219" i="2"/>
  <c r="T1218" i="2"/>
  <c r="T1217" i="2"/>
  <c r="T1216" i="2"/>
  <c r="T1215" i="2"/>
  <c r="T1214" i="2"/>
  <c r="T1213" i="2"/>
  <c r="T1212" i="2"/>
  <c r="T1211" i="2"/>
  <c r="T1210" i="2"/>
  <c r="T1209" i="2"/>
  <c r="T1208" i="2"/>
  <c r="T1207" i="2"/>
  <c r="T1206" i="2"/>
  <c r="T1205" i="2"/>
  <c r="T1204" i="2"/>
  <c r="T1203" i="2"/>
  <c r="T1202" i="2"/>
  <c r="T1201" i="2"/>
  <c r="T1200" i="2"/>
  <c r="T1199" i="2"/>
  <c r="T1198" i="2"/>
  <c r="T1197" i="2"/>
  <c r="T1196" i="2"/>
  <c r="T1195" i="2"/>
  <c r="T1194" i="2"/>
  <c r="T1193" i="2"/>
  <c r="T1192" i="2"/>
  <c r="T1191" i="2"/>
  <c r="T1190" i="2"/>
  <c r="T1189" i="2"/>
  <c r="T1188" i="2"/>
  <c r="T1187" i="2"/>
  <c r="T1186" i="2"/>
  <c r="T1185" i="2"/>
  <c r="T1184" i="2"/>
  <c r="T1183" i="2"/>
  <c r="T1182" i="2"/>
  <c r="T1181" i="2"/>
  <c r="T1180" i="2"/>
  <c r="T1179" i="2"/>
  <c r="T1178" i="2"/>
  <c r="T1177" i="2"/>
  <c r="T1176" i="2"/>
  <c r="T1175" i="2"/>
  <c r="T1174" i="2"/>
  <c r="T1173" i="2"/>
  <c r="T1172" i="2"/>
  <c r="T1171" i="2"/>
  <c r="T1170" i="2"/>
  <c r="T1169" i="2"/>
  <c r="T1168" i="2"/>
  <c r="T1167" i="2"/>
  <c r="T1166" i="2"/>
  <c r="T1165" i="2"/>
  <c r="T1164" i="2"/>
  <c r="T1163" i="2"/>
  <c r="T1162" i="2"/>
  <c r="T1161" i="2"/>
  <c r="T1160" i="2"/>
  <c r="T1159" i="2"/>
  <c r="T1158" i="2"/>
  <c r="T1157" i="2"/>
  <c r="T1156" i="2"/>
  <c r="T1155" i="2"/>
  <c r="T1154" i="2"/>
  <c r="T1153" i="2"/>
  <c r="T1152" i="2"/>
  <c r="T1151" i="2"/>
  <c r="T1150" i="2"/>
  <c r="T1149" i="2"/>
  <c r="T1148" i="2"/>
  <c r="T1147" i="2"/>
  <c r="T1146" i="2"/>
  <c r="T1145" i="2"/>
  <c r="T1144" i="2"/>
  <c r="T1143" i="2"/>
  <c r="T1142" i="2"/>
  <c r="T1141" i="2"/>
  <c r="T1140" i="2"/>
  <c r="T1139" i="2"/>
  <c r="T1138" i="2"/>
  <c r="T1137" i="2"/>
  <c r="T1136" i="2"/>
  <c r="T1135" i="2"/>
  <c r="T1134" i="2"/>
  <c r="T1133" i="2"/>
  <c r="T1132" i="2"/>
  <c r="T1131" i="2"/>
  <c r="T1130" i="2"/>
  <c r="T1129" i="2"/>
  <c r="T1128" i="2"/>
  <c r="T1127" i="2"/>
  <c r="T1126" i="2"/>
  <c r="T1125" i="2"/>
  <c r="T1124" i="2"/>
  <c r="T1123" i="2"/>
  <c r="T1122" i="2"/>
  <c r="T1121" i="2"/>
  <c r="T1120" i="2"/>
  <c r="T1119" i="2"/>
  <c r="T1118" i="2"/>
  <c r="T1117" i="2"/>
  <c r="T1116" i="2"/>
  <c r="T1115" i="2"/>
  <c r="T1114" i="2"/>
  <c r="T1113" i="2"/>
  <c r="T1112" i="2"/>
  <c r="T1111" i="2"/>
  <c r="T1110" i="2"/>
  <c r="T1109" i="2"/>
  <c r="T1108" i="2"/>
  <c r="T1107" i="2"/>
  <c r="T1106" i="2"/>
  <c r="T1105" i="2"/>
  <c r="T1104" i="2"/>
  <c r="T1103" i="2"/>
  <c r="T1102" i="2"/>
  <c r="T1101" i="2"/>
  <c r="T1100" i="2"/>
  <c r="T1099" i="2"/>
  <c r="T1098" i="2"/>
  <c r="T1097" i="2"/>
  <c r="T1096" i="2"/>
  <c r="T1095" i="2"/>
  <c r="T1094" i="2"/>
  <c r="T1093" i="2"/>
  <c r="T1092" i="2"/>
  <c r="T1091" i="2"/>
  <c r="T1090" i="2"/>
  <c r="T1089" i="2"/>
  <c r="T1088" i="2"/>
  <c r="T1087" i="2"/>
  <c r="T1086" i="2"/>
  <c r="T1085" i="2"/>
  <c r="T1084" i="2"/>
  <c r="T1083" i="2"/>
  <c r="T1082" i="2"/>
  <c r="T1081" i="2"/>
  <c r="T1080" i="2"/>
  <c r="T1079" i="2"/>
  <c r="T1078" i="2"/>
  <c r="T1077" i="2"/>
  <c r="T1076" i="2"/>
  <c r="T1075" i="2"/>
  <c r="T1074" i="2"/>
  <c r="T1073" i="2"/>
  <c r="T1072" i="2"/>
  <c r="T1071" i="2"/>
  <c r="T1070" i="2"/>
  <c r="T1069" i="2"/>
  <c r="T1068" i="2"/>
  <c r="T1067" i="2"/>
  <c r="T1066" i="2"/>
  <c r="T1065" i="2"/>
  <c r="T1064" i="2"/>
  <c r="T1063" i="2"/>
  <c r="T1062" i="2"/>
  <c r="T1061" i="2"/>
  <c r="T1060" i="2"/>
  <c r="T1059" i="2"/>
  <c r="T1058" i="2"/>
  <c r="T1057" i="2"/>
  <c r="T1056" i="2"/>
  <c r="T1055" i="2"/>
  <c r="T1054" i="2"/>
  <c r="T1053" i="2"/>
  <c r="T1052" i="2"/>
  <c r="T1051" i="2"/>
  <c r="T1050" i="2"/>
  <c r="T1049" i="2"/>
  <c r="T1048" i="2"/>
  <c r="T1047" i="2"/>
  <c r="T1046" i="2"/>
  <c r="T1045" i="2"/>
  <c r="T1044" i="2"/>
  <c r="T1043" i="2"/>
  <c r="T1042" i="2"/>
  <c r="T1041" i="2"/>
  <c r="T1040" i="2"/>
  <c r="T1039" i="2"/>
  <c r="T1038" i="2"/>
  <c r="T1037" i="2"/>
  <c r="T1036" i="2"/>
  <c r="T1035" i="2"/>
  <c r="T1034" i="2"/>
  <c r="T1033" i="2"/>
  <c r="T1032" i="2"/>
  <c r="T1031" i="2"/>
  <c r="T1030" i="2"/>
  <c r="T1029" i="2"/>
  <c r="T1028" i="2"/>
  <c r="T1027" i="2"/>
  <c r="T1026" i="2"/>
  <c r="T1025" i="2"/>
  <c r="T1024" i="2"/>
  <c r="T1023" i="2"/>
  <c r="T1022" i="2"/>
  <c r="T1021" i="2"/>
  <c r="T1020" i="2"/>
  <c r="T1019" i="2"/>
  <c r="T1018" i="2"/>
  <c r="T1017" i="2"/>
  <c r="T1016" i="2"/>
  <c r="T1015" i="2"/>
  <c r="T1014" i="2"/>
  <c r="T1013" i="2"/>
  <c r="T1012" i="2"/>
  <c r="T1011" i="2"/>
  <c r="T1010" i="2"/>
  <c r="T1009" i="2"/>
  <c r="T1008" i="2"/>
  <c r="T1007" i="2"/>
  <c r="T1006" i="2"/>
  <c r="T1005" i="2"/>
  <c r="T1004" i="2"/>
  <c r="T1003" i="2"/>
  <c r="T1002" i="2"/>
  <c r="T1001" i="2"/>
  <c r="T1000" i="2"/>
  <c r="T999" i="2"/>
  <c r="T998" i="2"/>
  <c r="T997" i="2"/>
  <c r="T996" i="2"/>
  <c r="T995" i="2"/>
  <c r="T994" i="2"/>
  <c r="T993" i="2"/>
  <c r="T992" i="2"/>
  <c r="T991" i="2"/>
  <c r="T990" i="2"/>
  <c r="T989" i="2"/>
  <c r="T988" i="2"/>
  <c r="T987" i="2"/>
  <c r="T986" i="2"/>
  <c r="T985" i="2"/>
  <c r="T984" i="2"/>
  <c r="T983" i="2"/>
  <c r="T982" i="2"/>
  <c r="T981" i="2"/>
  <c r="T980" i="2"/>
  <c r="T979" i="2"/>
  <c r="T978" i="2"/>
  <c r="T977" i="2"/>
  <c r="T976" i="2"/>
  <c r="T975" i="2"/>
  <c r="T974" i="2"/>
  <c r="T973" i="2"/>
  <c r="T972" i="2"/>
  <c r="T971" i="2"/>
  <c r="T970" i="2"/>
  <c r="T969" i="2"/>
  <c r="T968" i="2"/>
  <c r="T967" i="2"/>
  <c r="T966" i="2"/>
  <c r="T965" i="2"/>
  <c r="T964" i="2"/>
  <c r="T963" i="2"/>
  <c r="T962" i="2"/>
  <c r="T961" i="2"/>
  <c r="T960" i="2"/>
  <c r="T959" i="2"/>
  <c r="T958" i="2"/>
  <c r="T957" i="2"/>
  <c r="T956" i="2"/>
  <c r="T955" i="2"/>
  <c r="T954" i="2"/>
  <c r="T953" i="2"/>
  <c r="T952" i="2"/>
  <c r="T951" i="2"/>
  <c r="T950" i="2"/>
  <c r="T949" i="2"/>
  <c r="T948" i="2"/>
  <c r="T947" i="2"/>
  <c r="T946" i="2"/>
  <c r="T945" i="2"/>
  <c r="T944" i="2"/>
  <c r="T943" i="2"/>
  <c r="T942" i="2"/>
  <c r="T941" i="2"/>
  <c r="T940" i="2"/>
  <c r="T939" i="2"/>
  <c r="T938" i="2"/>
  <c r="T937" i="2"/>
  <c r="T936" i="2"/>
  <c r="T935" i="2"/>
  <c r="T934" i="2"/>
  <c r="T933" i="2"/>
  <c r="T932" i="2"/>
  <c r="T931" i="2"/>
  <c r="T930" i="2"/>
  <c r="T929" i="2"/>
  <c r="T928" i="2"/>
  <c r="T927" i="2"/>
  <c r="T926" i="2"/>
  <c r="T925" i="2"/>
  <c r="T924" i="2"/>
  <c r="T923" i="2"/>
  <c r="T922" i="2"/>
  <c r="T921" i="2"/>
  <c r="T920" i="2"/>
  <c r="T919" i="2"/>
  <c r="T918" i="2"/>
  <c r="T917" i="2"/>
  <c r="T916" i="2"/>
  <c r="T915" i="2"/>
  <c r="T914" i="2"/>
  <c r="T913" i="2"/>
  <c r="T912" i="2"/>
  <c r="T911" i="2"/>
  <c r="T910" i="2"/>
  <c r="T909" i="2"/>
  <c r="T908" i="2"/>
  <c r="T907" i="2"/>
  <c r="T906" i="2"/>
  <c r="T905" i="2"/>
  <c r="T904" i="2"/>
  <c r="T903" i="2"/>
  <c r="T902" i="2"/>
  <c r="T901" i="2"/>
  <c r="T900" i="2"/>
  <c r="T899" i="2"/>
  <c r="T898" i="2"/>
  <c r="T897" i="2"/>
  <c r="T896" i="2"/>
  <c r="T895" i="2"/>
  <c r="T894" i="2"/>
  <c r="T893" i="2"/>
  <c r="T892" i="2"/>
  <c r="T891" i="2"/>
  <c r="T890" i="2"/>
  <c r="T889" i="2"/>
  <c r="T888" i="2"/>
  <c r="T887" i="2"/>
  <c r="T886" i="2"/>
  <c r="T885" i="2"/>
  <c r="T884" i="2"/>
  <c r="T883" i="2"/>
  <c r="T882" i="2"/>
  <c r="T881" i="2"/>
  <c r="T880" i="2"/>
  <c r="T879" i="2"/>
  <c r="T878" i="2"/>
  <c r="T877" i="2"/>
  <c r="T876" i="2"/>
  <c r="T875" i="2"/>
  <c r="T874" i="2"/>
  <c r="T873" i="2"/>
  <c r="T872" i="2"/>
  <c r="T871" i="2"/>
  <c r="T870" i="2"/>
  <c r="T869" i="2"/>
  <c r="T868" i="2"/>
  <c r="T867" i="2"/>
  <c r="T866" i="2"/>
  <c r="T865" i="2"/>
  <c r="T864" i="2"/>
  <c r="T863" i="2"/>
  <c r="T862" i="2"/>
  <c r="T861" i="2"/>
  <c r="T860" i="2"/>
  <c r="T859" i="2"/>
  <c r="T858" i="2"/>
  <c r="T857" i="2"/>
  <c r="T856" i="2"/>
  <c r="T855" i="2"/>
  <c r="T854" i="2"/>
  <c r="T853" i="2"/>
  <c r="T852" i="2"/>
  <c r="T851" i="2"/>
  <c r="T850" i="2"/>
  <c r="T849" i="2"/>
  <c r="T848" i="2"/>
  <c r="T847" i="2"/>
  <c r="T846" i="2"/>
  <c r="T845" i="2"/>
  <c r="T844" i="2"/>
  <c r="T843" i="2"/>
  <c r="T842" i="2"/>
  <c r="T841" i="2"/>
  <c r="T840" i="2"/>
  <c r="T839" i="2"/>
  <c r="T838" i="2"/>
  <c r="T837" i="2"/>
  <c r="T836" i="2"/>
  <c r="T835" i="2"/>
  <c r="T834" i="2"/>
  <c r="T833" i="2"/>
  <c r="T832" i="2"/>
  <c r="T831" i="2"/>
  <c r="T830" i="2"/>
  <c r="T829" i="2"/>
  <c r="T828" i="2"/>
  <c r="T827" i="2"/>
  <c r="T826" i="2"/>
  <c r="T825" i="2"/>
  <c r="T824" i="2"/>
  <c r="T823" i="2"/>
  <c r="T822" i="2"/>
  <c r="T821" i="2"/>
  <c r="T820" i="2"/>
  <c r="T819" i="2"/>
  <c r="T818" i="2"/>
  <c r="T817" i="2"/>
  <c r="T816" i="2"/>
  <c r="T815" i="2"/>
  <c r="T814" i="2"/>
  <c r="T813" i="2"/>
  <c r="T812" i="2"/>
  <c r="T811" i="2"/>
  <c r="T810" i="2"/>
  <c r="T809" i="2"/>
  <c r="T808" i="2"/>
  <c r="T807" i="2"/>
  <c r="T806" i="2"/>
  <c r="T805" i="2"/>
  <c r="T804" i="2"/>
  <c r="T803" i="2"/>
  <c r="T802" i="2"/>
  <c r="T801" i="2"/>
  <c r="T800" i="2"/>
  <c r="T799" i="2"/>
  <c r="T798" i="2"/>
  <c r="T797" i="2"/>
  <c r="T796" i="2"/>
  <c r="T795" i="2"/>
  <c r="T794" i="2"/>
  <c r="T793" i="2"/>
  <c r="T792" i="2"/>
  <c r="T791" i="2"/>
  <c r="T790" i="2"/>
  <c r="T789" i="2"/>
  <c r="T788" i="2"/>
  <c r="T787" i="2"/>
  <c r="T786" i="2"/>
  <c r="T785" i="2"/>
  <c r="T784" i="2"/>
  <c r="T783" i="2"/>
  <c r="T782" i="2"/>
  <c r="T781" i="2"/>
  <c r="T780" i="2"/>
  <c r="T779" i="2"/>
  <c r="T778" i="2"/>
  <c r="T777" i="2"/>
  <c r="T776" i="2"/>
  <c r="T775" i="2"/>
  <c r="T774" i="2"/>
  <c r="T773" i="2"/>
  <c r="T772" i="2"/>
  <c r="T771" i="2"/>
  <c r="T770" i="2"/>
  <c r="T769" i="2"/>
  <c r="T768" i="2"/>
  <c r="T767" i="2"/>
  <c r="T766" i="2"/>
  <c r="T765" i="2"/>
  <c r="T764" i="2"/>
  <c r="T763" i="2"/>
  <c r="T762" i="2"/>
  <c r="T761" i="2"/>
  <c r="T760" i="2"/>
  <c r="T759" i="2"/>
  <c r="T758" i="2"/>
  <c r="T757" i="2"/>
  <c r="T756" i="2"/>
  <c r="T755" i="2"/>
  <c r="T754" i="2"/>
  <c r="T753" i="2"/>
  <c r="T752" i="2"/>
  <c r="T751" i="2"/>
  <c r="T750" i="2"/>
  <c r="T749" i="2"/>
  <c r="T748" i="2"/>
  <c r="T747" i="2"/>
  <c r="T746" i="2"/>
  <c r="T745" i="2"/>
  <c r="T744" i="2"/>
  <c r="T743" i="2"/>
  <c r="T742" i="2"/>
  <c r="T741" i="2"/>
  <c r="T740" i="2"/>
  <c r="T739" i="2"/>
  <c r="T738" i="2"/>
  <c r="T737" i="2"/>
  <c r="T736" i="2"/>
  <c r="T735" i="2"/>
  <c r="T734" i="2"/>
  <c r="T733" i="2"/>
  <c r="T732" i="2"/>
  <c r="T731" i="2"/>
  <c r="T730" i="2"/>
  <c r="T729" i="2"/>
  <c r="T728" i="2"/>
  <c r="T727" i="2"/>
  <c r="T726" i="2"/>
  <c r="T725" i="2"/>
  <c r="T724" i="2"/>
  <c r="T723" i="2"/>
  <c r="T722" i="2"/>
  <c r="T721" i="2"/>
  <c r="T720" i="2"/>
  <c r="T719" i="2"/>
  <c r="T718" i="2"/>
  <c r="T717" i="2"/>
  <c r="T716" i="2"/>
  <c r="T715" i="2"/>
  <c r="T714" i="2"/>
  <c r="T713" i="2"/>
  <c r="T712" i="2"/>
  <c r="T711" i="2"/>
  <c r="T710" i="2"/>
  <c r="T709" i="2"/>
  <c r="T708" i="2"/>
  <c r="T707" i="2"/>
  <c r="T706" i="2"/>
  <c r="T705" i="2"/>
  <c r="T704" i="2"/>
  <c r="T703" i="2"/>
  <c r="T702" i="2"/>
  <c r="T701" i="2"/>
  <c r="T700" i="2"/>
  <c r="T699" i="2"/>
  <c r="T698" i="2"/>
  <c r="T697" i="2"/>
  <c r="T696" i="2"/>
  <c r="T695" i="2"/>
  <c r="T694" i="2"/>
  <c r="T693" i="2"/>
  <c r="T692" i="2"/>
  <c r="T691" i="2"/>
  <c r="T690" i="2"/>
  <c r="T689" i="2"/>
  <c r="T688" i="2"/>
  <c r="T687" i="2"/>
  <c r="T686" i="2"/>
  <c r="T685" i="2"/>
  <c r="T684" i="2"/>
  <c r="T683" i="2"/>
  <c r="T682" i="2"/>
  <c r="T681" i="2"/>
  <c r="T680" i="2"/>
  <c r="T679" i="2"/>
  <c r="T678" i="2"/>
  <c r="T677" i="2"/>
  <c r="T676" i="2"/>
  <c r="T675" i="2"/>
  <c r="T674" i="2"/>
  <c r="T673" i="2"/>
  <c r="T672" i="2"/>
  <c r="T671" i="2"/>
  <c r="T670" i="2"/>
  <c r="T669" i="2"/>
  <c r="T668" i="2"/>
  <c r="T667" i="2"/>
  <c r="T666" i="2"/>
  <c r="T665" i="2"/>
  <c r="T664" i="2"/>
  <c r="T663" i="2"/>
  <c r="T662" i="2"/>
  <c r="T661" i="2"/>
  <c r="T660" i="2"/>
  <c r="T659" i="2"/>
  <c r="T658" i="2"/>
  <c r="T657" i="2"/>
  <c r="T656" i="2"/>
  <c r="T655" i="2"/>
  <c r="T654" i="2"/>
  <c r="T653" i="2"/>
  <c r="T652" i="2"/>
  <c r="T651" i="2"/>
  <c r="T650" i="2"/>
  <c r="T649" i="2"/>
  <c r="T648" i="2"/>
  <c r="T647" i="2"/>
  <c r="T646" i="2"/>
  <c r="T645" i="2"/>
  <c r="T644" i="2"/>
  <c r="T643" i="2"/>
  <c r="T642" i="2"/>
  <c r="T641" i="2"/>
  <c r="T640" i="2"/>
  <c r="T639" i="2"/>
  <c r="T638" i="2"/>
  <c r="T637" i="2"/>
  <c r="T636" i="2"/>
  <c r="T635" i="2"/>
  <c r="T634" i="2"/>
  <c r="T633" i="2"/>
  <c r="T632" i="2"/>
  <c r="T631" i="2"/>
  <c r="T630" i="2"/>
  <c r="T629" i="2"/>
  <c r="T628" i="2"/>
  <c r="T627" i="2"/>
  <c r="T626" i="2"/>
  <c r="T625" i="2"/>
  <c r="T624" i="2"/>
  <c r="T623" i="2"/>
  <c r="T622" i="2"/>
  <c r="T621" i="2"/>
  <c r="T620" i="2"/>
  <c r="T619" i="2"/>
  <c r="T618" i="2"/>
  <c r="T617" i="2"/>
  <c r="T616" i="2"/>
  <c r="T615" i="2"/>
  <c r="T614" i="2"/>
  <c r="T613" i="2"/>
  <c r="T612" i="2"/>
  <c r="T611" i="2"/>
  <c r="T610" i="2"/>
  <c r="T609" i="2"/>
  <c r="T608" i="2"/>
  <c r="T607" i="2"/>
  <c r="T606" i="2"/>
  <c r="T605" i="2"/>
  <c r="T604" i="2"/>
  <c r="T603" i="2"/>
  <c r="T602" i="2"/>
  <c r="T601" i="2"/>
  <c r="T600" i="2"/>
  <c r="T599" i="2"/>
  <c r="T598" i="2"/>
  <c r="T597" i="2"/>
  <c r="T596" i="2"/>
  <c r="T595" i="2"/>
  <c r="T594" i="2"/>
  <c r="T593" i="2"/>
  <c r="T592" i="2"/>
  <c r="T591" i="2"/>
  <c r="T590" i="2"/>
  <c r="T589" i="2"/>
  <c r="T588" i="2"/>
  <c r="T587" i="2"/>
  <c r="T586" i="2"/>
  <c r="T585" i="2"/>
  <c r="T584" i="2"/>
  <c r="T583" i="2"/>
  <c r="T582" i="2"/>
  <c r="T581" i="2"/>
  <c r="T580" i="2"/>
  <c r="T579" i="2"/>
  <c r="T578" i="2"/>
  <c r="T577" i="2"/>
  <c r="T576" i="2"/>
  <c r="T575" i="2"/>
  <c r="T574" i="2"/>
  <c r="T573" i="2"/>
  <c r="T572" i="2"/>
  <c r="T571" i="2"/>
  <c r="T570" i="2"/>
  <c r="T569" i="2"/>
  <c r="T568" i="2"/>
  <c r="T567" i="2"/>
  <c r="T566" i="2"/>
  <c r="T565" i="2"/>
  <c r="T564" i="2"/>
  <c r="T563" i="2"/>
  <c r="T562" i="2"/>
  <c r="T561" i="2"/>
  <c r="T560" i="2"/>
  <c r="T559" i="2"/>
  <c r="T558" i="2"/>
  <c r="T557" i="2"/>
  <c r="T556" i="2"/>
  <c r="T555" i="2"/>
  <c r="T554" i="2"/>
  <c r="T553" i="2"/>
  <c r="T552" i="2"/>
  <c r="T551" i="2"/>
  <c r="T550" i="2"/>
  <c r="T549" i="2"/>
  <c r="T548" i="2"/>
  <c r="T547" i="2"/>
  <c r="T546" i="2"/>
  <c r="T545" i="2"/>
  <c r="T544" i="2"/>
  <c r="T543" i="2"/>
  <c r="T542" i="2"/>
  <c r="T541" i="2"/>
  <c r="T540" i="2"/>
  <c r="T539" i="2"/>
  <c r="T538" i="2"/>
  <c r="T537" i="2"/>
  <c r="T536" i="2"/>
  <c r="T535" i="2"/>
  <c r="T534" i="2"/>
  <c r="T533" i="2"/>
  <c r="T532" i="2"/>
  <c r="T531" i="2"/>
  <c r="T530" i="2"/>
  <c r="T529" i="2"/>
  <c r="T528" i="2"/>
  <c r="T527" i="2"/>
  <c r="T526" i="2"/>
  <c r="T525" i="2"/>
  <c r="T524" i="2"/>
  <c r="T523" i="2"/>
  <c r="T522" i="2"/>
  <c r="T521" i="2"/>
  <c r="T520" i="2"/>
  <c r="T519" i="2"/>
  <c r="T518" i="2"/>
  <c r="T517" i="2"/>
  <c r="T516" i="2"/>
  <c r="T515" i="2"/>
  <c r="T514" i="2"/>
  <c r="T513" i="2"/>
  <c r="T512" i="2"/>
  <c r="T511" i="2"/>
  <c r="T510" i="2"/>
  <c r="T509" i="2"/>
  <c r="T508" i="2"/>
  <c r="T507" i="2"/>
  <c r="T506" i="2"/>
  <c r="T505" i="2"/>
  <c r="T504" i="2"/>
  <c r="T503" i="2"/>
  <c r="T502" i="2"/>
  <c r="T501" i="2"/>
  <c r="T500" i="2"/>
  <c r="T499" i="2"/>
  <c r="T498" i="2"/>
  <c r="T497" i="2"/>
  <c r="T496" i="2"/>
  <c r="T495" i="2"/>
  <c r="T494" i="2"/>
  <c r="T493" i="2"/>
  <c r="T492" i="2"/>
  <c r="T491" i="2"/>
  <c r="T490" i="2"/>
  <c r="T489" i="2"/>
  <c r="T488" i="2"/>
  <c r="T487" i="2"/>
  <c r="T486" i="2"/>
  <c r="T485" i="2"/>
  <c r="T484" i="2"/>
  <c r="T483" i="2"/>
  <c r="T482" i="2"/>
  <c r="T481" i="2"/>
  <c r="T480" i="2"/>
  <c r="T479" i="2"/>
  <c r="T478" i="2"/>
  <c r="T477" i="2"/>
  <c r="T476" i="2"/>
  <c r="T475" i="2"/>
  <c r="T474" i="2"/>
  <c r="T473" i="2"/>
  <c r="T472" i="2"/>
  <c r="T471" i="2"/>
  <c r="T470" i="2"/>
  <c r="T469" i="2"/>
  <c r="T468" i="2"/>
  <c r="T467" i="2"/>
  <c r="T466" i="2"/>
  <c r="T465" i="2"/>
  <c r="T464" i="2"/>
  <c r="T463" i="2"/>
  <c r="T462" i="2"/>
  <c r="T461" i="2"/>
  <c r="T460" i="2"/>
  <c r="T459" i="2"/>
  <c r="T458" i="2"/>
  <c r="T457" i="2"/>
  <c r="T456" i="2"/>
  <c r="T455" i="2"/>
  <c r="T454" i="2"/>
  <c r="T453" i="2"/>
  <c r="T452" i="2"/>
  <c r="T451" i="2"/>
  <c r="T450" i="2"/>
  <c r="T449" i="2"/>
  <c r="T448" i="2"/>
  <c r="T447" i="2"/>
  <c r="T446" i="2"/>
  <c r="T445" i="2"/>
  <c r="T444" i="2"/>
  <c r="T443" i="2"/>
  <c r="T442" i="2"/>
  <c r="T441" i="2"/>
  <c r="T440" i="2"/>
  <c r="T439" i="2"/>
  <c r="T438" i="2"/>
  <c r="T437" i="2"/>
  <c r="T436" i="2"/>
  <c r="T435" i="2"/>
  <c r="T434" i="2"/>
  <c r="T433" i="2"/>
  <c r="T432" i="2"/>
  <c r="T431" i="2"/>
  <c r="T430" i="2"/>
  <c r="T429" i="2"/>
  <c r="T428" i="2"/>
  <c r="T427" i="2"/>
  <c r="T426" i="2"/>
  <c r="T425" i="2"/>
  <c r="T424" i="2"/>
  <c r="T423" i="2"/>
  <c r="T422" i="2"/>
  <c r="T421" i="2"/>
  <c r="T420" i="2"/>
  <c r="T419" i="2"/>
  <c r="T418" i="2"/>
  <c r="T417" i="2"/>
  <c r="T416" i="2"/>
  <c r="T415" i="2"/>
  <c r="T414" i="2"/>
  <c r="T413" i="2"/>
  <c r="T412" i="2"/>
  <c r="T411" i="2"/>
  <c r="T410" i="2"/>
  <c r="T409" i="2"/>
  <c r="T408" i="2"/>
  <c r="T407" i="2"/>
  <c r="T406" i="2"/>
  <c r="T405" i="2"/>
  <c r="T404" i="2"/>
  <c r="T403" i="2"/>
  <c r="T402" i="2"/>
  <c r="T401" i="2"/>
  <c r="T400" i="2"/>
  <c r="T399" i="2"/>
  <c r="T398" i="2"/>
  <c r="T397" i="2"/>
  <c r="T396" i="2"/>
  <c r="T395" i="2"/>
  <c r="T394" i="2"/>
  <c r="T393" i="2"/>
  <c r="T392" i="2"/>
  <c r="T391" i="2"/>
  <c r="T390" i="2"/>
  <c r="T389" i="2"/>
  <c r="T388" i="2"/>
  <c r="T387" i="2"/>
  <c r="T386" i="2"/>
  <c r="T385" i="2"/>
  <c r="T384" i="2"/>
  <c r="T383" i="2"/>
  <c r="T382" i="2"/>
  <c r="T381" i="2"/>
  <c r="T380" i="2"/>
  <c r="T379" i="2"/>
  <c r="T378" i="2"/>
  <c r="T377" i="2"/>
  <c r="T376" i="2"/>
  <c r="T375" i="2"/>
  <c r="T374" i="2"/>
  <c r="T373" i="2"/>
  <c r="T372" i="2"/>
  <c r="T371" i="2"/>
  <c r="T370" i="2"/>
  <c r="T369" i="2"/>
  <c r="T368" i="2"/>
  <c r="T367" i="2"/>
  <c r="T366" i="2"/>
  <c r="T365" i="2"/>
  <c r="T364" i="2"/>
  <c r="T363" i="2"/>
  <c r="T362" i="2"/>
  <c r="T361" i="2"/>
  <c r="T360" i="2"/>
  <c r="T359" i="2"/>
  <c r="T358" i="2"/>
  <c r="T357" i="2"/>
  <c r="T356" i="2"/>
  <c r="T355" i="2"/>
  <c r="T354" i="2"/>
  <c r="T353" i="2"/>
  <c r="T352" i="2"/>
  <c r="T351" i="2"/>
  <c r="T350" i="2"/>
  <c r="T349" i="2"/>
  <c r="T348" i="2"/>
  <c r="T347" i="2"/>
  <c r="T346" i="2"/>
  <c r="T345" i="2"/>
  <c r="T344" i="2"/>
  <c r="T343" i="2"/>
  <c r="T342" i="2"/>
  <c r="T341" i="2"/>
  <c r="T340" i="2"/>
  <c r="T339" i="2"/>
  <c r="T338" i="2"/>
  <c r="T337" i="2"/>
  <c r="T336" i="2"/>
  <c r="T335" i="2"/>
  <c r="T334" i="2"/>
  <c r="T333" i="2"/>
  <c r="T332" i="2"/>
  <c r="T331" i="2"/>
  <c r="T330" i="2"/>
  <c r="T329" i="2"/>
  <c r="T328" i="2"/>
  <c r="T327" i="2"/>
  <c r="T326" i="2"/>
  <c r="T325" i="2"/>
  <c r="T324" i="2"/>
  <c r="T323" i="2"/>
  <c r="T322" i="2"/>
  <c r="T321" i="2"/>
  <c r="T320" i="2"/>
  <c r="T319" i="2"/>
  <c r="T318" i="2"/>
  <c r="T317" i="2"/>
  <c r="T316" i="2"/>
  <c r="T315" i="2"/>
  <c r="T314" i="2"/>
  <c r="T313" i="2"/>
  <c r="T312" i="2"/>
  <c r="T311" i="2"/>
  <c r="T310" i="2"/>
  <c r="T309" i="2"/>
  <c r="T308" i="2"/>
  <c r="T307" i="2"/>
  <c r="T306" i="2"/>
  <c r="T305" i="2"/>
  <c r="T304" i="2"/>
  <c r="T303" i="2"/>
  <c r="T302" i="2"/>
  <c r="T301" i="2"/>
  <c r="T300" i="2"/>
  <c r="T299" i="2"/>
  <c r="T298" i="2"/>
  <c r="T297" i="2"/>
  <c r="T296" i="2"/>
  <c r="T295" i="2"/>
  <c r="T294" i="2"/>
  <c r="T293" i="2"/>
  <c r="T292" i="2"/>
  <c r="T291" i="2"/>
  <c r="T290" i="2"/>
  <c r="T289" i="2"/>
  <c r="T288" i="2"/>
  <c r="T287" i="2"/>
  <c r="T286" i="2"/>
  <c r="T285" i="2"/>
  <c r="T284" i="2"/>
  <c r="T283" i="2"/>
  <c r="T282" i="2"/>
  <c r="T281" i="2"/>
  <c r="T280" i="2"/>
  <c r="T279" i="2"/>
  <c r="T278" i="2"/>
  <c r="T277" i="2"/>
  <c r="T276" i="2"/>
  <c r="T275" i="2"/>
  <c r="T274" i="2"/>
  <c r="T273" i="2"/>
  <c r="T272" i="2"/>
  <c r="T271" i="2"/>
  <c r="T270" i="2"/>
  <c r="T269" i="2"/>
  <c r="T268" i="2"/>
  <c r="T267" i="2"/>
  <c r="T266" i="2"/>
  <c r="T265" i="2"/>
  <c r="T264" i="2"/>
  <c r="T263" i="2"/>
  <c r="T262" i="2"/>
  <c r="T261" i="2"/>
  <c r="T260" i="2"/>
  <c r="T259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T238" i="2"/>
  <c r="T237" i="2"/>
  <c r="T236" i="2"/>
  <c r="T235" i="2"/>
  <c r="T234" i="2"/>
  <c r="T233" i="2"/>
  <c r="T232" i="2"/>
  <c r="T231" i="2"/>
  <c r="T230" i="2"/>
  <c r="T229" i="2"/>
  <c r="T228" i="2"/>
  <c r="T227" i="2"/>
  <c r="T226" i="2"/>
  <c r="T225" i="2"/>
  <c r="T224" i="2"/>
  <c r="T223" i="2"/>
  <c r="T222" i="2"/>
  <c r="T221" i="2"/>
  <c r="T220" i="2"/>
  <c r="T219" i="2"/>
  <c r="T218" i="2"/>
  <c r="T217" i="2"/>
  <c r="T216" i="2"/>
  <c r="T215" i="2"/>
  <c r="T214" i="2"/>
  <c r="T213" i="2"/>
  <c r="T212" i="2"/>
  <c r="T211" i="2"/>
  <c r="T210" i="2"/>
  <c r="T209" i="2"/>
  <c r="T208" i="2"/>
  <c r="T207" i="2"/>
  <c r="T206" i="2"/>
  <c r="T205" i="2"/>
  <c r="T204" i="2"/>
  <c r="T203" i="2"/>
  <c r="T202" i="2"/>
  <c r="T201" i="2"/>
  <c r="T200" i="2"/>
  <c r="T199" i="2"/>
  <c r="T198" i="2"/>
  <c r="T197" i="2"/>
  <c r="T196" i="2"/>
  <c r="T195" i="2"/>
  <c r="T194" i="2"/>
  <c r="T193" i="2"/>
  <c r="T192" i="2"/>
  <c r="T191" i="2"/>
  <c r="T190" i="2"/>
  <c r="T189" i="2"/>
  <c r="T188" i="2"/>
  <c r="T187" i="2"/>
  <c r="T186" i="2"/>
  <c r="T185" i="2"/>
  <c r="T184" i="2"/>
  <c r="T183" i="2"/>
  <c r="T182" i="2"/>
  <c r="T181" i="2"/>
  <c r="T180" i="2"/>
  <c r="T179" i="2"/>
  <c r="T178" i="2"/>
  <c r="T177" i="2"/>
  <c r="T176" i="2"/>
  <c r="T175" i="2"/>
  <c r="T174" i="2"/>
  <c r="T173" i="2"/>
  <c r="T172" i="2"/>
  <c r="T171" i="2"/>
  <c r="T170" i="2"/>
  <c r="T169" i="2"/>
  <c r="T168" i="2"/>
  <c r="T167" i="2"/>
  <c r="T166" i="2"/>
  <c r="T165" i="2"/>
  <c r="T164" i="2"/>
  <c r="T163" i="2"/>
  <c r="T162" i="2"/>
  <c r="T161" i="2"/>
  <c r="T160" i="2"/>
  <c r="T159" i="2"/>
  <c r="T158" i="2"/>
  <c r="T157" i="2"/>
  <c r="T156" i="2"/>
  <c r="T155" i="2"/>
  <c r="T154" i="2"/>
  <c r="T153" i="2"/>
  <c r="T152" i="2"/>
  <c r="T151" i="2"/>
  <c r="T150" i="2"/>
  <c r="T149" i="2"/>
  <c r="T148" i="2"/>
  <c r="T147" i="2"/>
  <c r="T146" i="2"/>
  <c r="T145" i="2"/>
  <c r="T144" i="2"/>
  <c r="T143" i="2"/>
  <c r="T142" i="2"/>
  <c r="T141" i="2"/>
  <c r="T140" i="2"/>
  <c r="T139" i="2"/>
  <c r="T138" i="2"/>
  <c r="T137" i="2"/>
  <c r="T136" i="2"/>
  <c r="T135" i="2"/>
  <c r="T134" i="2"/>
  <c r="T133" i="2"/>
  <c r="T132" i="2"/>
  <c r="T131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T2" i="2"/>
  <c r="T3" i="1"/>
  <c r="G18" i="1" l="1"/>
  <c r="G6" i="5"/>
  <c r="D36" i="5"/>
  <c r="AF2" i="5"/>
  <c r="Q14" i="1"/>
  <c r="D20" i="5"/>
  <c r="D28" i="5"/>
  <c r="D32" i="5"/>
  <c r="D24" i="5"/>
  <c r="D16" i="5"/>
  <c r="AF7" i="5"/>
  <c r="D13" i="5"/>
  <c r="AF3" i="5"/>
  <c r="D61" i="5"/>
  <c r="D42" i="5"/>
  <c r="D23" i="5"/>
  <c r="D27" i="5"/>
  <c r="D44" i="5"/>
  <c r="D11" i="5"/>
  <c r="B18" i="1"/>
  <c r="Q18" i="1"/>
  <c r="T2" i="5"/>
  <c r="D4" i="5"/>
  <c r="G5" i="5"/>
  <c r="AC5" i="5"/>
  <c r="T7" i="5"/>
  <c r="G8" i="5"/>
  <c r="D9" i="5"/>
  <c r="D3" i="5"/>
  <c r="G4" i="5"/>
  <c r="J5" i="5"/>
  <c r="AF5" i="5"/>
  <c r="T8" i="5"/>
  <c r="G9" i="5"/>
  <c r="D10" i="5"/>
  <c r="D12" i="5"/>
  <c r="D14" i="5"/>
  <c r="D18" i="5"/>
  <c r="D22" i="5"/>
  <c r="D26" i="5"/>
  <c r="D30" i="5"/>
  <c r="D34" i="5"/>
  <c r="D38" i="5"/>
  <c r="D46" i="5"/>
  <c r="D50" i="5"/>
  <c r="D54" i="5"/>
  <c r="D58" i="5"/>
  <c r="G14" i="1"/>
  <c r="D2" i="5"/>
  <c r="G3" i="5"/>
  <c r="J4" i="5"/>
  <c r="Z4" i="5"/>
  <c r="K5" i="5"/>
  <c r="AI5" i="5"/>
  <c r="T9" i="5"/>
  <c r="G10" i="5"/>
  <c r="G12" i="5"/>
  <c r="L14" i="1"/>
  <c r="G2" i="5"/>
  <c r="J3" i="5"/>
  <c r="Z3" i="5"/>
  <c r="K4" i="5"/>
  <c r="AC4" i="5"/>
  <c r="Q5" i="5"/>
  <c r="AC6" i="5"/>
  <c r="AF10" i="5"/>
  <c r="AF12" i="5"/>
  <c r="D15" i="5"/>
  <c r="D19" i="5"/>
  <c r="D31" i="5"/>
  <c r="D35" i="5"/>
  <c r="D39" i="5"/>
  <c r="D43" i="5"/>
  <c r="D47" i="5"/>
  <c r="D51" i="5"/>
  <c r="D55" i="5"/>
  <c r="D59" i="5"/>
  <c r="J2" i="5"/>
  <c r="Z2" i="5"/>
  <c r="K3" i="5"/>
  <c r="AC3" i="5"/>
  <c r="N4" i="5"/>
  <c r="AF4" i="5"/>
  <c r="T5" i="5"/>
  <c r="D6" i="5"/>
  <c r="AF6" i="5"/>
  <c r="AC7" i="5"/>
  <c r="K2" i="5"/>
  <c r="AC2" i="5"/>
  <c r="N3" i="5"/>
  <c r="Q4" i="5"/>
  <c r="AI4" i="5"/>
  <c r="AC8" i="5"/>
  <c r="D40" i="5"/>
  <c r="D48" i="5"/>
  <c r="D52" i="5"/>
  <c r="D56" i="5"/>
  <c r="D60" i="5"/>
  <c r="N2" i="5"/>
  <c r="Q3" i="5"/>
  <c r="AI3" i="5"/>
  <c r="T4" i="5"/>
  <c r="Q6" i="5"/>
  <c r="D7" i="5"/>
  <c r="AF8" i="5"/>
  <c r="AC9" i="5"/>
  <c r="G11" i="5"/>
  <c r="G13" i="5"/>
  <c r="L18" i="1"/>
  <c r="Q2" i="5"/>
  <c r="AI2" i="5"/>
  <c r="T3" i="5"/>
  <c r="D5" i="5"/>
  <c r="T6" i="5"/>
  <c r="G7" i="5"/>
  <c r="D8" i="5"/>
  <c r="AF9" i="5"/>
  <c r="AF11" i="5"/>
  <c r="AF13" i="5"/>
  <c r="D17" i="5"/>
  <c r="D21" i="5"/>
  <c r="D25" i="5"/>
  <c r="D29" i="5"/>
  <c r="D33" i="5"/>
  <c r="D37" i="5"/>
  <c r="D41" i="5"/>
  <c r="D45" i="5"/>
  <c r="D49" i="5"/>
  <c r="D53" i="5"/>
  <c r="D57" i="5"/>
  <c r="U9" i="5" l="1"/>
  <c r="U5" i="5"/>
  <c r="U6" i="5"/>
  <c r="U7" i="5"/>
  <c r="U8" i="5"/>
  <c r="U3" i="5"/>
  <c r="U4" i="5"/>
  <c r="U2" i="5"/>
  <c r="W5" i="5" l="1"/>
  <c r="V5" i="5"/>
  <c r="W9" i="5"/>
  <c r="V9" i="5"/>
  <c r="W8" i="5"/>
  <c r="V8" i="5"/>
  <c r="W7" i="5"/>
  <c r="W2" i="5"/>
  <c r="V7" i="5"/>
  <c r="W6" i="5"/>
  <c r="W3" i="5"/>
  <c r="V2" i="5"/>
  <c r="V6" i="5"/>
  <c r="W4" i="5"/>
  <c r="V3" i="5"/>
  <c r="V4" i="5"/>
</calcChain>
</file>

<file path=xl/sharedStrings.xml><?xml version="1.0" encoding="utf-8"?>
<sst xmlns="http://schemas.openxmlformats.org/spreadsheetml/2006/main" count="27238" uniqueCount="116">
  <si>
    <t>S</t>
  </si>
  <si>
    <t>MARUTI SUZUKI SALES ANALYSIS DASHBOARD</t>
  </si>
  <si>
    <t>LAST REFRESHED</t>
  </si>
  <si>
    <t>Executive Sales Performance Overview  |  FY 2021 – FY 2025</t>
  </si>
  <si>
    <t>🔍  INTERACTIVE FILTERS  (select a value, or leave "All")</t>
  </si>
  <si>
    <t>Year</t>
  </si>
  <si>
    <t>Month</t>
  </si>
  <si>
    <t>Region</t>
  </si>
  <si>
    <t>State</t>
  </si>
  <si>
    <t>City</t>
  </si>
  <si>
    <t>Dealer Name</t>
  </si>
  <si>
    <t>All</t>
  </si>
  <si>
    <t>Car Model</t>
  </si>
  <si>
    <t>Segment</t>
  </si>
  <si>
    <t>Fuel Type</t>
  </si>
  <si>
    <t>Customer Type</t>
  </si>
  <si>
    <t>Payment Mode</t>
  </si>
  <si>
    <t>📊  KEY PERFORMANCE INDICATORS</t>
  </si>
  <si>
    <t>Total Revenue</t>
  </si>
  <si>
    <t>Total Profit</t>
  </si>
  <si>
    <t>Total Units Sold</t>
  </si>
  <si>
    <t>Avg. Selling Price</t>
  </si>
  <si>
    <t>Avg. Customer Rating</t>
  </si>
  <si>
    <t>Total Dealers</t>
  </si>
  <si>
    <t>Total Discount</t>
  </si>
  <si>
    <t>Avg. Delivery Days</t>
  </si>
  <si>
    <t>Date</t>
  </si>
  <si>
    <t>Units Sold</t>
  </si>
  <si>
    <t>Selling Price</t>
  </si>
  <si>
    <t>Revenue</t>
  </si>
  <si>
    <t>Discount</t>
  </si>
  <si>
    <t>Profit</t>
  </si>
  <si>
    <t>Rating</t>
  </si>
  <si>
    <t>Delivery Days</t>
  </si>
  <si>
    <t>Match</t>
  </si>
  <si>
    <t>South</t>
  </si>
  <si>
    <t>Karnataka</t>
  </si>
  <si>
    <t>Bengaluru</t>
  </si>
  <si>
    <t>Bengaluru Motors</t>
  </si>
  <si>
    <t>Celerio</t>
  </si>
  <si>
    <t>Hatchback</t>
  </si>
  <si>
    <t>CNG</t>
  </si>
  <si>
    <t>Corporate</t>
  </si>
  <si>
    <t>Loan</t>
  </si>
  <si>
    <t>West</t>
  </si>
  <si>
    <t>Maharashtra</t>
  </si>
  <si>
    <t>Mumbai</t>
  </si>
  <si>
    <t>Mumbai Motors</t>
  </si>
  <si>
    <t>Alto K10</t>
  </si>
  <si>
    <t>Petrol</t>
  </si>
  <si>
    <t>Individual</t>
  </si>
  <si>
    <t>EMI</t>
  </si>
  <si>
    <t>Ertiga</t>
  </si>
  <si>
    <t>MPV</t>
  </si>
  <si>
    <t>North</t>
  </si>
  <si>
    <t>Delhi</t>
  </si>
  <si>
    <t>Delhi Motors</t>
  </si>
  <si>
    <t>Grand Vitara</t>
  </si>
  <si>
    <t>SUV</t>
  </si>
  <si>
    <t>Hybrid</t>
  </si>
  <si>
    <t>Telangana</t>
  </si>
  <si>
    <t>Hyderabad</t>
  </si>
  <si>
    <t>Hyderabad Motors</t>
  </si>
  <si>
    <t>Dzire</t>
  </si>
  <si>
    <t>Sedan</t>
  </si>
  <si>
    <t>XL6</t>
  </si>
  <si>
    <t>East</t>
  </si>
  <si>
    <t>West Bengal</t>
  </si>
  <si>
    <t>Kolkata</t>
  </si>
  <si>
    <t>Kolkata Motors</t>
  </si>
  <si>
    <t>Uttar Pradesh</t>
  </si>
  <si>
    <t>Lucknow</t>
  </si>
  <si>
    <t>Lucknow Motors</t>
  </si>
  <si>
    <t>Baleno</t>
  </si>
  <si>
    <t>Swift</t>
  </si>
  <si>
    <t>Cash</t>
  </si>
  <si>
    <t>Tamil Nadu</t>
  </si>
  <si>
    <t>Chennai</t>
  </si>
  <si>
    <t>Chennai Motors</t>
  </si>
  <si>
    <t>Fronx</t>
  </si>
  <si>
    <t>Eeco</t>
  </si>
  <si>
    <t>Van</t>
  </si>
  <si>
    <t>Gujarat</t>
  </si>
  <si>
    <t>Ahmedabad</t>
  </si>
  <si>
    <t>Ahmedabad Motors</t>
  </si>
  <si>
    <t>Brezza</t>
  </si>
  <si>
    <t>WagonR</t>
  </si>
  <si>
    <t>MARUTI SUZUKI INDIA SALES DASHBOARD</t>
  </si>
  <si>
    <t>Project Overview</t>
  </si>
  <si>
    <t>Executive dashboard designed to analyze Maruti Suzuki India sales performance from 2021 to 2025 with interactive pivots, slicers, KPI cards and charts.</t>
  </si>
  <si>
    <t>Dataset Description</t>
  </si>
  <si>
    <t>Transaction-level sales data with date, geography, dealer, model, segment, fuel type, units sold, selling price, revenue, discount, profit, customer type, payment mode, rating and delivery days.</t>
  </si>
  <si>
    <t>KPIs Included</t>
  </si>
  <si>
    <t>Total Revenue, Total Units Sold, Total Profit, Average Selling Price, Average Customer Rating, Average Delivery Days, Total Discount, Number of Dealers</t>
  </si>
  <si>
    <t>Dashboard Usage</t>
  </si>
  <si>
    <t>Use the slicers on the dashboard to filter the analysis by Year, Month, Region, State, City, Car Model, Segment, Fuel Type, Customer Type and Payment Mode.</t>
  </si>
  <si>
    <t>Sheets</t>
  </si>
  <si>
    <t>README, Raw Data, Pivot Tables, Dashboard</t>
  </si>
  <si>
    <t>Author</t>
  </si>
  <si>
    <t>Jai Bhagwan</t>
  </si>
  <si>
    <t>Role</t>
  </si>
  <si>
    <t>Data Analyst Portfolio Project</t>
  </si>
  <si>
    <t>Tools Used</t>
  </si>
  <si>
    <t>Microsoft Excel, Pivot Tables, Pivot Charts, Slicers, Conditional Formatting</t>
  </si>
  <si>
    <t>Version</t>
  </si>
  <si>
    <t>v1.0 | Generated on 11-Jul-2026</t>
  </si>
  <si>
    <t>Interactivity Note</t>
  </si>
  <si>
    <t>Filters use data-validation dropdowns (not native Slicers) driving SUMIFS/AVERAGEIFS formulas and native charts, ensuring full interactivity and 100% compatibility across Excel 2019, 2021 LTSC, and Microsoft 365 without risk of corrupted slicer caches.</t>
  </si>
  <si>
    <t>Label</t>
  </si>
  <si>
    <t>Dealer</t>
  </si>
  <si>
    <t>Rank</t>
  </si>
  <si>
    <t>Dealer (sorted)</t>
  </si>
  <si>
    <t>Revenue (sorted)</t>
  </si>
  <si>
    <t>Avg Rating</t>
  </si>
  <si>
    <t>Avg Delivery Days</t>
  </si>
  <si>
    <t xml:space="preserve">                                                                                                                                                     📈  SALES &amp; PERFORMANCE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</si>
</sst>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₹#,##0,,\M"/>
    <numFmt numFmtId="165" formatCode="\₹#,##0"/>
    <numFmt numFmtId="166" formatCode="0.00&quot; / 5&quot;"/>
    <numFmt numFmtId="167" formatCode="0.0&quot; days&quot;"/>
    <numFmt numFmtId="168" formatCode="yyyy\-mm\-dd"/>
    <numFmt numFmtId="169" formatCode="&quot;₹&quot;0.0,,&quot;M&quot;"/>
  </numFmts>
  <fonts count="17">
    <font>
      <sz val="11"/>
      <color theme="1"/>
      <name val="Calibri"/>
      <family val="2"/>
      <charset val="1"/>
    </font>
    <font>
      <b/>
      <sz val="36"/>
      <color rgb="FFFFFFFF"/>
      <name val="Segoe UI"/>
      <family val="2"/>
    </font>
    <font>
      <b/>
      <sz val="20"/>
      <color rgb="FFFFFFFF"/>
      <name val="Segoe UI"/>
      <family val="2"/>
    </font>
    <font>
      <b/>
      <sz val="9"/>
      <color rgb="FFD6E6F5"/>
      <name val="Segoe UI"/>
      <family val="2"/>
    </font>
    <font>
      <b/>
      <sz val="14"/>
      <color rgb="FFFFFFFF"/>
      <name val="Segoe UI"/>
      <family val="2"/>
    </font>
    <font>
      <i/>
      <sz val="11"/>
      <color rgb="FFD6E6F5"/>
      <name val="Segoe UI"/>
      <family val="2"/>
    </font>
    <font>
      <b/>
      <sz val="10"/>
      <color rgb="FF4A4A4A"/>
      <name val="Segoe UI"/>
      <family val="2"/>
    </font>
    <font>
      <b/>
      <sz val="9"/>
      <color rgb="FFFFFFFF"/>
      <name val="Segoe UI"/>
      <family val="2"/>
    </font>
    <font>
      <b/>
      <sz val="10"/>
      <color rgb="FF005BAC"/>
      <name val="Segoe UI"/>
      <family val="2"/>
    </font>
    <font>
      <b/>
      <sz val="16"/>
      <color rgb="FF005BAC"/>
      <name val="Segoe UI"/>
      <family val="2"/>
    </font>
    <font>
      <b/>
      <sz val="11"/>
      <name val="Calibri"/>
      <family val="2"/>
    </font>
    <font>
      <b/>
      <sz val="10"/>
      <name val="Segoe UI"/>
      <family val="2"/>
    </font>
    <font>
      <b/>
      <sz val="18"/>
      <color rgb="FFFFFFFF"/>
      <name val="Aptos"/>
      <charset val="1"/>
    </font>
    <font>
      <b/>
      <sz val="11"/>
      <color theme="1"/>
      <name val="Aptos"/>
      <charset val="1"/>
    </font>
    <font>
      <sz val="11"/>
      <color theme="1"/>
      <name val="Aptos"/>
      <charset val="1"/>
    </font>
    <font>
      <sz val="10"/>
      <name val="Segoe UI"/>
      <family val="2"/>
    </font>
    <font>
      <b/>
      <sz val="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5F7FA"/>
        <bgColor rgb="FFEAF2FB"/>
      </patternFill>
    </fill>
    <fill>
      <patternFill patternType="solid">
        <fgColor rgb="FF003D75"/>
        <bgColor rgb="FF003A70"/>
      </patternFill>
    </fill>
    <fill>
      <patternFill patternType="solid">
        <fgColor rgb="FF005BAC"/>
        <bgColor rgb="FF01458E"/>
      </patternFill>
    </fill>
    <fill>
      <patternFill patternType="solid">
        <fgColor rgb="FFE9ECEF"/>
        <bgColor rgb="FFEAF2FB"/>
      </patternFill>
    </fill>
    <fill>
      <patternFill patternType="solid">
        <fgColor rgb="FFFFFFFF"/>
        <bgColor rgb="FFF5F7FA"/>
      </patternFill>
    </fill>
    <fill>
      <patternFill patternType="solid">
        <fgColor rgb="FF003A70"/>
        <bgColor rgb="FF003D75"/>
      </patternFill>
    </fill>
    <fill>
      <patternFill patternType="solid">
        <fgColor rgb="FFEAF2FB"/>
        <bgColor rgb="FFE9ECEF"/>
      </patternFill>
    </fill>
  </fills>
  <borders count="5">
    <border>
      <left/>
      <right/>
      <top/>
      <bottom/>
      <diagonal/>
    </border>
    <border>
      <left style="thin">
        <color rgb="FFB9C6D3"/>
      </left>
      <right style="thin">
        <color rgb="FFB9C6D3"/>
      </right>
      <top style="thin">
        <color rgb="FFB9C6D3"/>
      </top>
      <bottom style="thin">
        <color rgb="FFB9C6D3"/>
      </bottom>
      <diagonal/>
    </border>
    <border>
      <left style="thin">
        <color rgb="FFB9C6D3"/>
      </left>
      <right style="thin">
        <color rgb="FFB9C6D3"/>
      </right>
      <top style="thin">
        <color rgb="FFB9C6D3"/>
      </top>
      <bottom/>
      <diagonal/>
    </border>
    <border>
      <left style="thin">
        <color rgb="FFB9C6D3"/>
      </left>
      <right style="thin">
        <color rgb="FFB9C6D3"/>
      </right>
      <top/>
      <bottom style="thin">
        <color rgb="FFB9C6D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0" fillId="0" borderId="4" xfId="0" applyFont="1" applyBorder="1" applyAlignment="1">
      <alignment horizontal="center" vertical="top"/>
    </xf>
    <xf numFmtId="0" fontId="11" fillId="0" borderId="0" xfId="0" applyFont="1"/>
    <xf numFmtId="168" fontId="0" fillId="0" borderId="0" xfId="0" applyNumberFormat="1"/>
    <xf numFmtId="0" fontId="0" fillId="0" borderId="0" xfId="0" applyFont="1"/>
    <xf numFmtId="0" fontId="13" fillId="8" borderId="0" xfId="0" applyFont="1" applyFill="1"/>
    <xf numFmtId="0" fontId="14" fillId="0" borderId="0" xfId="0" applyFont="1" applyAlignment="1">
      <alignment wrapText="1"/>
    </xf>
    <xf numFmtId="0" fontId="11" fillId="8" borderId="0" xfId="0" applyFont="1" applyFill="1"/>
    <xf numFmtId="0" fontId="15" fillId="0" borderId="0" xfId="0" applyFont="1" applyAlignment="1">
      <alignment vertical="top" wrapText="1"/>
    </xf>
    <xf numFmtId="0" fontId="16" fillId="0" borderId="0" xfId="0" applyFont="1"/>
    <xf numFmtId="0" fontId="1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left" vertical="center" indent="1"/>
    </xf>
    <xf numFmtId="0" fontId="7" fillId="4" borderId="0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4" fontId="9" fillId="6" borderId="3" xfId="0" applyNumberFormat="1" applyFont="1" applyFill="1" applyBorder="1" applyAlignment="1">
      <alignment horizontal="center" vertical="center"/>
    </xf>
    <xf numFmtId="3" fontId="9" fillId="6" borderId="3" xfId="0" applyNumberFormat="1" applyFont="1" applyFill="1" applyBorder="1" applyAlignment="1">
      <alignment horizontal="center" vertical="center"/>
    </xf>
    <xf numFmtId="165" fontId="9" fillId="6" borderId="3" xfId="0" applyNumberFormat="1" applyFont="1" applyFill="1" applyBorder="1" applyAlignment="1">
      <alignment horizontal="center" vertical="center"/>
    </xf>
    <xf numFmtId="166" fontId="9" fillId="6" borderId="3" xfId="0" applyNumberFormat="1" applyFont="1" applyFill="1" applyBorder="1" applyAlignment="1">
      <alignment horizontal="center" vertical="center"/>
    </xf>
    <xf numFmtId="167" fontId="9" fillId="6" borderId="3" xfId="0" applyNumberFormat="1" applyFont="1" applyFill="1" applyBorder="1" applyAlignment="1">
      <alignment horizontal="center" vertical="center"/>
    </xf>
    <xf numFmtId="0" fontId="12" fillId="7" borderId="0" xfId="0" applyFont="1" applyFill="1" applyBorder="1"/>
    <xf numFmtId="169" fontId="0" fillId="0" borderId="0" xfId="0" applyNumberFormat="1"/>
    <xf numFmtId="169" fontId="10" fillId="0" borderId="4" xfId="0" applyNumberFormat="1" applyFont="1" applyBorder="1" applyAlignment="1">
      <alignment horizontal="center" vertical="top"/>
    </xf>
  </cellXfs>
  <cellStyles count="1">
    <cellStyle name="Normal" xfId="0" builtinId="0"/>
  </cellStyles>
  <dxfs count="2">
    <dxf>
      <numFmt numFmtId="169" formatCode="&quot;₹&quot;0.0,,&quot;M&quot;"/>
    </dxf>
    <dxf>
      <numFmt numFmtId="169" formatCode="&quot;₹&quot;0.0,,&quot;M&quot;"/>
    </dxf>
  </dxfs>
  <tableStyles count="0" defaultTableStyle="TableStyleMedium2" defaultPivotStyle="PivotStyleLight16"/>
  <colors>
    <indexedColors>
      <rgbColor rgb="FF000000"/>
      <rgbColor rgb="FFFFFFFF"/>
      <rgbColor rgb="FFDA241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6D3"/>
      <rgbColor rgb="FF878787"/>
      <rgbColor rgb="FF9999FF"/>
      <rgbColor rgb="FF993366"/>
      <rgbColor rgb="FFF5F7FA"/>
      <rgbColor rgb="FFEAF2FB"/>
      <rgbColor rgb="FF660066"/>
      <rgbColor rgb="FFFF8080"/>
      <rgbColor rgb="FF005BA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6F5"/>
      <rgbColor rgb="FFE9ECEF"/>
      <rgbColor rgb="FFFFFF99"/>
      <rgbColor rgb="FF99CCFF"/>
      <rgbColor rgb="FFFF99CC"/>
      <rgbColor rgb="FFCC99FF"/>
      <rgbColor rgb="FFFFCC99"/>
      <rgbColor rgb="FF4A90D9"/>
      <rgbColor rgb="FF4C9BDB"/>
      <rgbColor rgb="FF99CC00"/>
      <rgbColor rgb="FFFFCC00"/>
      <rgbColor rgb="FFFF9900"/>
      <rgbColor rgb="FFFF6600"/>
      <rgbColor rgb="FF666699"/>
      <rgbColor rgb="FF969696"/>
      <rgbColor rgb="FF003A70"/>
      <rgbColor rgb="FF339966"/>
      <rgbColor rgb="FF003D75"/>
      <rgbColor rgb="FF333300"/>
      <rgbColor rgb="FF993300"/>
      <rgbColor rgb="FF993366"/>
      <rgbColor rgb="FF01458E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Calc!$D$1</c:f>
              <c:strCache>
                <c:ptCount val="1"/>
                <c:pt idx="0">
                  <c:v>Revenue</c:v>
                </c:pt>
              </c:strCache>
            </c:strRef>
          </c:tx>
          <c:spPr>
            <a:ln w="20160">
              <a:solidFill>
                <a:srgbClr val="005BA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Calc!$C$2:$C$61</c:f>
              <c:strCache>
                <c:ptCount val="60"/>
                <c:pt idx="0">
                  <c:v>Jan-21</c:v>
                </c:pt>
                <c:pt idx="1">
                  <c:v>Feb-21</c:v>
                </c:pt>
                <c:pt idx="2">
                  <c:v>Mar-21</c:v>
                </c:pt>
                <c:pt idx="3">
                  <c:v>Apr-21</c:v>
                </c:pt>
                <c:pt idx="4">
                  <c:v>May-21</c:v>
                </c:pt>
                <c:pt idx="5">
                  <c:v>Jun-21</c:v>
                </c:pt>
                <c:pt idx="6">
                  <c:v>Jul-21</c:v>
                </c:pt>
                <c:pt idx="7">
                  <c:v>Aug-21</c:v>
                </c:pt>
                <c:pt idx="8">
                  <c:v>Sep-21</c:v>
                </c:pt>
                <c:pt idx="9">
                  <c:v>Oct-21</c:v>
                </c:pt>
                <c:pt idx="10">
                  <c:v>Nov-21</c:v>
                </c:pt>
                <c:pt idx="11">
                  <c:v>Dec-21</c:v>
                </c:pt>
                <c:pt idx="12">
                  <c:v>Jan-22</c:v>
                </c:pt>
                <c:pt idx="13">
                  <c:v>Feb-22</c:v>
                </c:pt>
                <c:pt idx="14">
                  <c:v>Mar-22</c:v>
                </c:pt>
                <c:pt idx="15">
                  <c:v>Apr-22</c:v>
                </c:pt>
                <c:pt idx="16">
                  <c:v>May-22</c:v>
                </c:pt>
                <c:pt idx="17">
                  <c:v>Jun-22</c:v>
                </c:pt>
                <c:pt idx="18">
                  <c:v>Jul-22</c:v>
                </c:pt>
                <c:pt idx="19">
                  <c:v>Aug-22</c:v>
                </c:pt>
                <c:pt idx="20">
                  <c:v>Sep-22</c:v>
                </c:pt>
                <c:pt idx="21">
                  <c:v>Oct-22</c:v>
                </c:pt>
                <c:pt idx="22">
                  <c:v>Nov-22</c:v>
                </c:pt>
                <c:pt idx="23">
                  <c:v>Dec-22</c:v>
                </c:pt>
                <c:pt idx="24">
                  <c:v>Jan-23</c:v>
                </c:pt>
                <c:pt idx="25">
                  <c:v>Feb-23</c:v>
                </c:pt>
                <c:pt idx="26">
                  <c:v>Mar-23</c:v>
                </c:pt>
                <c:pt idx="27">
                  <c:v>Apr-23</c:v>
                </c:pt>
                <c:pt idx="28">
                  <c:v>May-23</c:v>
                </c:pt>
                <c:pt idx="29">
                  <c:v>Jun-23</c:v>
                </c:pt>
                <c:pt idx="30">
                  <c:v>Jul-23</c:v>
                </c:pt>
                <c:pt idx="31">
                  <c:v>Aug-23</c:v>
                </c:pt>
                <c:pt idx="32">
                  <c:v>Sep-23</c:v>
                </c:pt>
                <c:pt idx="33">
                  <c:v>Oct-23</c:v>
                </c:pt>
                <c:pt idx="34">
                  <c:v>Nov-23</c:v>
                </c:pt>
                <c:pt idx="35">
                  <c:v>Dec-23</c:v>
                </c:pt>
                <c:pt idx="36">
                  <c:v>Jan-24</c:v>
                </c:pt>
                <c:pt idx="37">
                  <c:v>Feb-24</c:v>
                </c:pt>
                <c:pt idx="38">
                  <c:v>Mar-24</c:v>
                </c:pt>
                <c:pt idx="39">
                  <c:v>Apr-24</c:v>
                </c:pt>
                <c:pt idx="40">
                  <c:v>May-24</c:v>
                </c:pt>
                <c:pt idx="41">
                  <c:v>Jun-24</c:v>
                </c:pt>
                <c:pt idx="42">
                  <c:v>Jul-24</c:v>
                </c:pt>
                <c:pt idx="43">
                  <c:v>Aug-24</c:v>
                </c:pt>
                <c:pt idx="44">
                  <c:v>Sep-24</c:v>
                </c:pt>
                <c:pt idx="45">
                  <c:v>Oct-24</c:v>
                </c:pt>
                <c:pt idx="46">
                  <c:v>Nov-24</c:v>
                </c:pt>
                <c:pt idx="47">
                  <c:v>Dec-24</c:v>
                </c:pt>
                <c:pt idx="48">
                  <c:v>Jan-25</c:v>
                </c:pt>
                <c:pt idx="49">
                  <c:v>Feb-25</c:v>
                </c:pt>
                <c:pt idx="50">
                  <c:v>Mar-25</c:v>
                </c:pt>
                <c:pt idx="51">
                  <c:v>Apr-25</c:v>
                </c:pt>
                <c:pt idx="52">
                  <c:v>May-25</c:v>
                </c:pt>
                <c:pt idx="53">
                  <c:v>Jun-25</c:v>
                </c:pt>
                <c:pt idx="54">
                  <c:v>Jul-25</c:v>
                </c:pt>
                <c:pt idx="55">
                  <c:v>Aug-25</c:v>
                </c:pt>
                <c:pt idx="56">
                  <c:v>Sep-25</c:v>
                </c:pt>
                <c:pt idx="57">
                  <c:v>Oct-25</c:v>
                </c:pt>
                <c:pt idx="58">
                  <c:v>Nov-25</c:v>
                </c:pt>
                <c:pt idx="59">
                  <c:v>Dec-25</c:v>
                </c:pt>
              </c:strCache>
            </c:strRef>
          </c:cat>
          <c:val>
            <c:numRef>
              <c:f>Calc!$D$2:$D$61</c:f>
              <c:numCache>
                <c:formatCode>General</c:formatCode>
                <c:ptCount val="60"/>
                <c:pt idx="0">
                  <c:v>717868954</c:v>
                </c:pt>
                <c:pt idx="1">
                  <c:v>740795113</c:v>
                </c:pt>
                <c:pt idx="2">
                  <c:v>805752152</c:v>
                </c:pt>
                <c:pt idx="3">
                  <c:v>714953762</c:v>
                </c:pt>
                <c:pt idx="4">
                  <c:v>656482760</c:v>
                </c:pt>
                <c:pt idx="5">
                  <c:v>635790349</c:v>
                </c:pt>
                <c:pt idx="6">
                  <c:v>613209547</c:v>
                </c:pt>
                <c:pt idx="7">
                  <c:v>607835973</c:v>
                </c:pt>
                <c:pt idx="8">
                  <c:v>580651649</c:v>
                </c:pt>
                <c:pt idx="9">
                  <c:v>622895915</c:v>
                </c:pt>
                <c:pt idx="10">
                  <c:v>645116964</c:v>
                </c:pt>
                <c:pt idx="11">
                  <c:v>733668086</c:v>
                </c:pt>
                <c:pt idx="12">
                  <c:v>624989756</c:v>
                </c:pt>
                <c:pt idx="13">
                  <c:v>483584875</c:v>
                </c:pt>
                <c:pt idx="14">
                  <c:v>666135918</c:v>
                </c:pt>
                <c:pt idx="15">
                  <c:v>631406516</c:v>
                </c:pt>
                <c:pt idx="16">
                  <c:v>684286087</c:v>
                </c:pt>
                <c:pt idx="17">
                  <c:v>541292728</c:v>
                </c:pt>
                <c:pt idx="18">
                  <c:v>780106068</c:v>
                </c:pt>
                <c:pt idx="19">
                  <c:v>681137586</c:v>
                </c:pt>
                <c:pt idx="20">
                  <c:v>764862343</c:v>
                </c:pt>
                <c:pt idx="21">
                  <c:v>705520597</c:v>
                </c:pt>
                <c:pt idx="22">
                  <c:v>840586095</c:v>
                </c:pt>
                <c:pt idx="23">
                  <c:v>731717689</c:v>
                </c:pt>
                <c:pt idx="24">
                  <c:v>498380968</c:v>
                </c:pt>
                <c:pt idx="25">
                  <c:v>662219650</c:v>
                </c:pt>
                <c:pt idx="26">
                  <c:v>770621017</c:v>
                </c:pt>
                <c:pt idx="27">
                  <c:v>696577683</c:v>
                </c:pt>
                <c:pt idx="28">
                  <c:v>598512360</c:v>
                </c:pt>
                <c:pt idx="29">
                  <c:v>460783869</c:v>
                </c:pt>
                <c:pt idx="30">
                  <c:v>580783751</c:v>
                </c:pt>
                <c:pt idx="31">
                  <c:v>842638610</c:v>
                </c:pt>
                <c:pt idx="32">
                  <c:v>764717642</c:v>
                </c:pt>
                <c:pt idx="33">
                  <c:v>770589723</c:v>
                </c:pt>
                <c:pt idx="34">
                  <c:v>538565342</c:v>
                </c:pt>
                <c:pt idx="35">
                  <c:v>514902383</c:v>
                </c:pt>
                <c:pt idx="36">
                  <c:v>527081512</c:v>
                </c:pt>
                <c:pt idx="37">
                  <c:v>826773197</c:v>
                </c:pt>
                <c:pt idx="38">
                  <c:v>581655079</c:v>
                </c:pt>
                <c:pt idx="39">
                  <c:v>559668067</c:v>
                </c:pt>
                <c:pt idx="40">
                  <c:v>982487836</c:v>
                </c:pt>
                <c:pt idx="41">
                  <c:v>697865437</c:v>
                </c:pt>
                <c:pt idx="42">
                  <c:v>715199007</c:v>
                </c:pt>
                <c:pt idx="43">
                  <c:v>481236432</c:v>
                </c:pt>
                <c:pt idx="44">
                  <c:v>716348888</c:v>
                </c:pt>
                <c:pt idx="45">
                  <c:v>667468481</c:v>
                </c:pt>
                <c:pt idx="46">
                  <c:v>774529494</c:v>
                </c:pt>
                <c:pt idx="47">
                  <c:v>682096498</c:v>
                </c:pt>
                <c:pt idx="48">
                  <c:v>632320158</c:v>
                </c:pt>
                <c:pt idx="49">
                  <c:v>642353224</c:v>
                </c:pt>
                <c:pt idx="50">
                  <c:v>750264321</c:v>
                </c:pt>
                <c:pt idx="51">
                  <c:v>619280949</c:v>
                </c:pt>
                <c:pt idx="52">
                  <c:v>685953002</c:v>
                </c:pt>
                <c:pt idx="53">
                  <c:v>572995488</c:v>
                </c:pt>
                <c:pt idx="54">
                  <c:v>809773483</c:v>
                </c:pt>
                <c:pt idx="55">
                  <c:v>881632380</c:v>
                </c:pt>
                <c:pt idx="56">
                  <c:v>595182129</c:v>
                </c:pt>
                <c:pt idx="57">
                  <c:v>525757618</c:v>
                </c:pt>
                <c:pt idx="58">
                  <c:v>542203161</c:v>
                </c:pt>
                <c:pt idx="59">
                  <c:v>875810117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8-4BE9-BC0D-A17D4C426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583238"/>
        <c:axId val="27756229"/>
      </c:lineChart>
      <c:catAx>
        <c:axId val="305832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756229"/>
        <c:crosses val="autoZero"/>
        <c:auto val="1"/>
        <c:lblAlgn val="ctr"/>
        <c:lblOffset val="100"/>
        <c:noMultiLvlLbl val="0"/>
      </c:catAx>
      <c:valAx>
        <c:axId val="277562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₹&quot;0.0,,,&quot;M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5832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Car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Calc!$G$1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5BA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Calc!$F$2:$F$13</c:f>
              <c:strCache>
                <c:ptCount val="12"/>
                <c:pt idx="0">
                  <c:v>Alto K10</c:v>
                </c:pt>
                <c:pt idx="1">
                  <c:v>Baleno</c:v>
                </c:pt>
                <c:pt idx="2">
                  <c:v>Brezza</c:v>
                </c:pt>
                <c:pt idx="3">
                  <c:v>Celerio</c:v>
                </c:pt>
                <c:pt idx="4">
                  <c:v>Dzire</c:v>
                </c:pt>
                <c:pt idx="5">
                  <c:v>Eeco</c:v>
                </c:pt>
                <c:pt idx="6">
                  <c:v>Ertiga</c:v>
                </c:pt>
                <c:pt idx="7">
                  <c:v>Fronx</c:v>
                </c:pt>
                <c:pt idx="8">
                  <c:v>Grand Vitara</c:v>
                </c:pt>
                <c:pt idx="9">
                  <c:v>Swift</c:v>
                </c:pt>
                <c:pt idx="10">
                  <c:v>WagonR</c:v>
                </c:pt>
                <c:pt idx="11">
                  <c:v>XL6</c:v>
                </c:pt>
              </c:strCache>
            </c:strRef>
          </c:cat>
          <c:val>
            <c:numRef>
              <c:f>Calc!$G$2:$G$13</c:f>
              <c:numCache>
                <c:formatCode>General</c:formatCode>
                <c:ptCount val="12"/>
                <c:pt idx="0">
                  <c:v>1851117985</c:v>
                </c:pt>
                <c:pt idx="1">
                  <c:v>2887086025</c:v>
                </c:pt>
                <c:pt idx="2">
                  <c:v>3874335475</c:v>
                </c:pt>
                <c:pt idx="3">
                  <c:v>2640789699</c:v>
                </c:pt>
                <c:pt idx="4">
                  <c:v>2565527215</c:v>
                </c:pt>
                <c:pt idx="5">
                  <c:v>2086956117</c:v>
                </c:pt>
                <c:pt idx="6">
                  <c:v>3686612169</c:v>
                </c:pt>
                <c:pt idx="7">
                  <c:v>3830441300</c:v>
                </c:pt>
                <c:pt idx="8">
                  <c:v>6358472706</c:v>
                </c:pt>
                <c:pt idx="9">
                  <c:v>2638660499</c:v>
                </c:pt>
                <c:pt idx="10">
                  <c:v>2501028313</c:v>
                </c:pt>
                <c:pt idx="11">
                  <c:v>5334848935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6-4751-8B4B-09BA2B5A5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28085"/>
        <c:axId val="65636982"/>
      </c:barChart>
      <c:catAx>
        <c:axId val="109280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36982"/>
        <c:crosses val="autoZero"/>
        <c:auto val="1"/>
        <c:lblAlgn val="ctr"/>
        <c:lblOffset val="100"/>
        <c:noMultiLvlLbl val="0"/>
      </c:catAx>
      <c:valAx>
        <c:axId val="65636982"/>
        <c:scaling>
          <c:orientation val="minMax"/>
        </c:scaling>
        <c:delete val="0"/>
        <c:axPos val="b"/>
        <c:numFmt formatCode="&quot;₹&quot;0.0,,,&quot;M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9280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&amp;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Calc!$J$1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5BA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Calc!$I$2:$I$5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Calc!$J$2:$J$5</c:f>
              <c:numCache>
                <c:formatCode>General</c:formatCode>
                <c:ptCount val="4"/>
                <c:pt idx="0">
                  <c:v>4555627781</c:v>
                </c:pt>
                <c:pt idx="1">
                  <c:v>10570223699</c:v>
                </c:pt>
                <c:pt idx="2">
                  <c:v>15446471439</c:v>
                </c:pt>
                <c:pt idx="3">
                  <c:v>9683553519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3-4F0C-8FD8-578DA1293F41}"/>
            </c:ext>
          </c:extLst>
        </c:ser>
        <c:ser>
          <c:idx val="1"/>
          <c:order val="1"/>
          <c:tx>
            <c:strRef>
              <c:f>Calc!$K$1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4C9BD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Calc!$I$2:$I$5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Calc!$K$2:$K$5</c:f>
              <c:numCache>
                <c:formatCode>General</c:formatCode>
                <c:ptCount val="4"/>
                <c:pt idx="0">
                  <c:v>544117738.28999996</c:v>
                </c:pt>
                <c:pt idx="1">
                  <c:v>1270059862.3400011</c:v>
                </c:pt>
                <c:pt idx="2">
                  <c:v>1864825303.0400014</c:v>
                </c:pt>
                <c:pt idx="3">
                  <c:v>1152544841.8099988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3-4F0C-8FD8-578DA1293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40048"/>
        <c:axId val="62013033"/>
      </c:barChart>
      <c:catAx>
        <c:axId val="7734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013033"/>
        <c:crosses val="autoZero"/>
        <c:auto val="1"/>
        <c:lblAlgn val="ctr"/>
        <c:lblOffset val="100"/>
        <c:noMultiLvlLbl val="0"/>
      </c:catAx>
      <c:valAx>
        <c:axId val="620130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₹&quot;0.0,,,&quot;B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3400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Fuel Type Distribution (Revenue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Calc!$N$1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1458E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1458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DBA5-42FB-942F-6C4DAC6886F7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BA5-42FB-942F-6C4DAC6886F7}"/>
              </c:ext>
            </c:extLst>
          </c:dPt>
          <c:dPt>
            <c:idx val="2"/>
            <c:bubble3D val="0"/>
            <c:spPr>
              <a:solidFill>
                <a:srgbClr val="4A90D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BA5-42FB-942F-6C4DAC6886F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A5-42FB-942F-6C4DAC6886F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BA5-42FB-942F-6C4DAC6886F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A5-42FB-942F-6C4DAC6886F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Calc!$M$2:$M$4</c:f>
              <c:strCache>
                <c:ptCount val="3"/>
                <c:pt idx="0">
                  <c:v>CNG</c:v>
                </c:pt>
                <c:pt idx="1">
                  <c:v>Hybrid</c:v>
                </c:pt>
                <c:pt idx="2">
                  <c:v>Petrol</c:v>
                </c:pt>
              </c:strCache>
            </c:strRef>
          </c:cat>
          <c:val>
            <c:numRef>
              <c:f>Calc!$N$2:$N$4</c:f>
              <c:numCache>
                <c:formatCode>General</c:formatCode>
                <c:ptCount val="3"/>
                <c:pt idx="0">
                  <c:v>13480913513</c:v>
                </c:pt>
                <c:pt idx="1">
                  <c:v>6358472706</c:v>
                </c:pt>
                <c:pt idx="2">
                  <c:v>20416490219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A5-42FB-942F-6C4DAC688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Segment-wise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Calc!$Q$1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5BA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Calc!$P$2:$P$6</c:f>
              <c:strCache>
                <c:ptCount val="5"/>
                <c:pt idx="0">
                  <c:v>Hatchback</c:v>
                </c:pt>
                <c:pt idx="1">
                  <c:v>MPV</c:v>
                </c:pt>
                <c:pt idx="2">
                  <c:v>SUV</c:v>
                </c:pt>
                <c:pt idx="3">
                  <c:v>Sedan</c:v>
                </c:pt>
                <c:pt idx="4">
                  <c:v>Van</c:v>
                </c:pt>
              </c:strCache>
            </c:strRef>
          </c:cat>
          <c:val>
            <c:numRef>
              <c:f>Calc!$Q$2:$Q$6</c:f>
              <c:numCache>
                <c:formatCode>General</c:formatCode>
                <c:ptCount val="5"/>
                <c:pt idx="0">
                  <c:v>12518682521</c:v>
                </c:pt>
                <c:pt idx="1">
                  <c:v>9021461104</c:v>
                </c:pt>
                <c:pt idx="2">
                  <c:v>14063249481</c:v>
                </c:pt>
                <c:pt idx="3">
                  <c:v>2565527215</c:v>
                </c:pt>
                <c:pt idx="4">
                  <c:v>2086956117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2-4AE7-811F-3EE104F58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788710"/>
        <c:axId val="67804327"/>
      </c:barChart>
      <c:catAx>
        <c:axId val="907887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804327"/>
        <c:crosses val="autoZero"/>
        <c:auto val="1"/>
        <c:lblAlgn val="ctr"/>
        <c:lblOffset val="100"/>
        <c:noMultiLvlLbl val="0"/>
      </c:catAx>
      <c:valAx>
        <c:axId val="678043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7887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Dealers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Calc!$W$1</c:f>
              <c:strCache>
                <c:ptCount val="1"/>
                <c:pt idx="0">
                  <c:v>Revenue (sorted)</c:v>
                </c:pt>
              </c:strCache>
            </c:strRef>
          </c:tx>
          <c:spPr>
            <a:solidFill>
              <a:srgbClr val="005BA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Calc!$V$2:$V$9</c:f>
              <c:strCache>
                <c:ptCount val="8"/>
                <c:pt idx="0">
                  <c:v>Delhi Motors</c:v>
                </c:pt>
                <c:pt idx="1">
                  <c:v>Hyderabad Motors</c:v>
                </c:pt>
                <c:pt idx="2">
                  <c:v>Ahmedabad Motors</c:v>
                </c:pt>
                <c:pt idx="3">
                  <c:v>Bengaluru Motors</c:v>
                </c:pt>
                <c:pt idx="4">
                  <c:v>Lucknow Motors</c:v>
                </c:pt>
                <c:pt idx="5">
                  <c:v>Chennai Motors</c:v>
                </c:pt>
                <c:pt idx="6">
                  <c:v>Kolkata Motors</c:v>
                </c:pt>
                <c:pt idx="7">
                  <c:v>Mumbai Motors</c:v>
                </c:pt>
              </c:strCache>
            </c:strRef>
          </c:cat>
          <c:val>
            <c:numRef>
              <c:f>Calc!$W$2:$W$9</c:f>
              <c:numCache>
                <c:formatCode>General</c:formatCode>
                <c:ptCount val="8"/>
                <c:pt idx="0">
                  <c:v>5493150571</c:v>
                </c:pt>
                <c:pt idx="1">
                  <c:v>5483356511</c:v>
                </c:pt>
                <c:pt idx="2">
                  <c:v>5171580078</c:v>
                </c:pt>
                <c:pt idx="3">
                  <c:v>5099121391</c:v>
                </c:pt>
                <c:pt idx="4">
                  <c:v>5077073128</c:v>
                </c:pt>
                <c:pt idx="5">
                  <c:v>4863993537</c:v>
                </c:pt>
                <c:pt idx="6">
                  <c:v>4555627781</c:v>
                </c:pt>
                <c:pt idx="7">
                  <c:v>4511973441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1-4E39-97E1-F5E4C958B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984837"/>
        <c:axId val="95579918"/>
      </c:barChart>
      <c:catAx>
        <c:axId val="8798483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579918"/>
        <c:crosses val="autoZero"/>
        <c:auto val="1"/>
        <c:lblAlgn val="ctr"/>
        <c:lblOffset val="100"/>
        <c:noMultiLvlLbl val="0"/>
      </c:catAx>
      <c:valAx>
        <c:axId val="95579918"/>
        <c:scaling>
          <c:orientation val="minMax"/>
        </c:scaling>
        <c:delete val="0"/>
        <c:axPos val="b"/>
        <c:numFmt formatCode="&quot;₹&quot;0.0,,,&quot;M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9848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Payment Mode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Calc!$Z$1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36B-478A-A789-634A5D9A8A08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36B-478A-A789-634A5D9A8A0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636B-478A-A789-634A5D9A8A0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6B-478A-A789-634A5D9A8A0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6B-478A-A789-634A5D9A8A0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6B-478A-A789-634A5D9A8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Calc!$Y$2:$Y$4</c:f>
              <c:strCache>
                <c:ptCount val="3"/>
                <c:pt idx="0">
                  <c:v>Cash</c:v>
                </c:pt>
                <c:pt idx="1">
                  <c:v>EMI</c:v>
                </c:pt>
                <c:pt idx="2">
                  <c:v>Loan</c:v>
                </c:pt>
              </c:strCache>
            </c:strRef>
          </c:cat>
          <c:val>
            <c:numRef>
              <c:f>Calc!$Z$2:$Z$4</c:f>
              <c:numCache>
                <c:formatCode>General</c:formatCode>
                <c:ptCount val="3"/>
                <c:pt idx="0">
                  <c:v>14609841203</c:v>
                </c:pt>
                <c:pt idx="1">
                  <c:v>11820283687</c:v>
                </c:pt>
                <c:pt idx="2">
                  <c:v>13825751548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6B-478A-A789-634A5D9A8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State-wise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Calc!$AC$1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05BA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Calc!$AB$2:$AB$9</c:f>
              <c:strCache>
                <c:ptCount val="8"/>
                <c:pt idx="0">
                  <c:v>Delhi</c:v>
                </c:pt>
                <c:pt idx="1">
                  <c:v>Gujarat</c:v>
                </c:pt>
                <c:pt idx="2">
                  <c:v>Karnataka</c:v>
                </c:pt>
                <c:pt idx="3">
                  <c:v>Maharashtra</c:v>
                </c:pt>
                <c:pt idx="4">
                  <c:v>Tamil Nadu</c:v>
                </c:pt>
                <c:pt idx="5">
                  <c:v>Telangana</c:v>
                </c:pt>
                <c:pt idx="6">
                  <c:v>Uttar Pradesh</c:v>
                </c:pt>
                <c:pt idx="7">
                  <c:v>West Bengal</c:v>
                </c:pt>
              </c:strCache>
            </c:strRef>
          </c:cat>
          <c:val>
            <c:numRef>
              <c:f>Calc!$AC$2:$AC$9</c:f>
              <c:numCache>
                <c:formatCode>General</c:formatCode>
                <c:ptCount val="8"/>
                <c:pt idx="0">
                  <c:v>5493150571</c:v>
                </c:pt>
                <c:pt idx="1">
                  <c:v>5171580078</c:v>
                </c:pt>
                <c:pt idx="2">
                  <c:v>5099121391</c:v>
                </c:pt>
                <c:pt idx="3">
                  <c:v>4511973441</c:v>
                </c:pt>
                <c:pt idx="4">
                  <c:v>4863993537</c:v>
                </c:pt>
                <c:pt idx="5">
                  <c:v>5483356511</c:v>
                </c:pt>
                <c:pt idx="6">
                  <c:v>5077073128</c:v>
                </c:pt>
                <c:pt idx="7">
                  <c:v>4555627781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4-4B5E-A42D-49DBB812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47604"/>
        <c:axId val="74647581"/>
      </c:barChart>
      <c:catAx>
        <c:axId val="369476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647581"/>
        <c:crosses val="autoZero"/>
        <c:auto val="1"/>
        <c:lblAlgn val="ctr"/>
        <c:lblOffset val="100"/>
        <c:noMultiLvlLbl val="0"/>
      </c:catAx>
      <c:valAx>
        <c:axId val="74647581"/>
        <c:scaling>
          <c:orientation val="minMax"/>
        </c:scaling>
        <c:delete val="0"/>
        <c:axPos val="b"/>
        <c:numFmt formatCode="&quot;₹&quot;0.0,,,&quot;M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9476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Rating by Car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Calc!$AF$1</c:f>
              <c:strCache>
                <c:ptCount val="1"/>
                <c:pt idx="0">
                  <c:v>Avg Rating</c:v>
                </c:pt>
              </c:strCache>
            </c:strRef>
          </c:tx>
          <c:spPr>
            <a:solidFill>
              <a:srgbClr val="005BA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Calc!$AE$2:$AE$13</c:f>
              <c:strCache>
                <c:ptCount val="12"/>
                <c:pt idx="0">
                  <c:v>Alto K10</c:v>
                </c:pt>
                <c:pt idx="1">
                  <c:v>Baleno</c:v>
                </c:pt>
                <c:pt idx="2">
                  <c:v>Brezza</c:v>
                </c:pt>
                <c:pt idx="3">
                  <c:v>Celerio</c:v>
                </c:pt>
                <c:pt idx="4">
                  <c:v>Dzire</c:v>
                </c:pt>
                <c:pt idx="5">
                  <c:v>Eeco</c:v>
                </c:pt>
                <c:pt idx="6">
                  <c:v>Ertiga</c:v>
                </c:pt>
                <c:pt idx="7">
                  <c:v>Fronx</c:v>
                </c:pt>
                <c:pt idx="8">
                  <c:v>Grand Vitara</c:v>
                </c:pt>
                <c:pt idx="9">
                  <c:v>Swift</c:v>
                </c:pt>
                <c:pt idx="10">
                  <c:v>WagonR</c:v>
                </c:pt>
                <c:pt idx="11">
                  <c:v>XL6</c:v>
                </c:pt>
              </c:strCache>
            </c:strRef>
          </c:cat>
          <c:val>
            <c:numRef>
              <c:f>Calc!$AF$2:$AF$13</c:f>
              <c:numCache>
                <c:formatCode>General</c:formatCode>
                <c:ptCount val="12"/>
                <c:pt idx="0">
                  <c:v>4.2287878787878794</c:v>
                </c:pt>
                <c:pt idx="1">
                  <c:v>4.1674999999999995</c:v>
                </c:pt>
                <c:pt idx="2">
                  <c:v>4.2432835820895534</c:v>
                </c:pt>
                <c:pt idx="3">
                  <c:v>4.297101449275365</c:v>
                </c:pt>
                <c:pt idx="4">
                  <c:v>4.2513513513513521</c:v>
                </c:pt>
                <c:pt idx="5">
                  <c:v>4.2647540983606547</c:v>
                </c:pt>
                <c:pt idx="6">
                  <c:v>4.2689655172413783</c:v>
                </c:pt>
                <c:pt idx="7">
                  <c:v>4.2575757575757551</c:v>
                </c:pt>
                <c:pt idx="8">
                  <c:v>4.3194029850746256</c:v>
                </c:pt>
                <c:pt idx="9">
                  <c:v>4.2835937499999988</c:v>
                </c:pt>
                <c:pt idx="10">
                  <c:v>4.303968253968252</c:v>
                </c:pt>
                <c:pt idx="11">
                  <c:v>4.2481203007518795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D-4C6E-A9F3-963217981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51571"/>
        <c:axId val="88683808"/>
      </c:barChart>
      <c:catAx>
        <c:axId val="39951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683808"/>
        <c:crosses val="autoZero"/>
        <c:auto val="1"/>
        <c:lblAlgn val="ctr"/>
        <c:lblOffset val="100"/>
        <c:noMultiLvlLbl val="0"/>
      </c:catAx>
      <c:valAx>
        <c:axId val="88683808"/>
        <c:scaling>
          <c:orientation val="minMax"/>
          <c:max val="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951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Delivery Days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Calc!$AI$1</c:f>
              <c:strCache>
                <c:ptCount val="1"/>
                <c:pt idx="0">
                  <c:v>Avg Delivery Days</c:v>
                </c:pt>
              </c:strCache>
            </c:strRef>
          </c:tx>
          <c:spPr>
            <a:solidFill>
              <a:srgbClr val="005BA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Calc!$AH$2:$AH$5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Calc!$AI$2:$AI$5</c:f>
              <c:numCache>
                <c:formatCode>General</c:formatCode>
                <c:ptCount val="4"/>
                <c:pt idx="0">
                  <c:v>11.780219780219781</c:v>
                </c:pt>
                <c:pt idx="1">
                  <c:v>11.414572864321608</c:v>
                </c:pt>
                <c:pt idx="2">
                  <c:v>11.619210977701544</c:v>
                </c:pt>
                <c:pt idx="3">
                  <c:v>12.024793388429751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4-43A9-8B74-ED088F914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954334"/>
        <c:axId val="83133270"/>
      </c:barChart>
      <c:catAx>
        <c:axId val="609543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133270"/>
        <c:crosses val="autoZero"/>
        <c:auto val="1"/>
        <c:lblAlgn val="ctr"/>
        <c:lblOffset val="100"/>
        <c:noMultiLvlLbl val="0"/>
      </c:catAx>
      <c:valAx>
        <c:axId val="83133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095433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1.jfif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8</xdr:col>
      <xdr:colOff>512280</xdr:colOff>
      <xdr:row>38</xdr:row>
      <xdr:rowOff>47520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538788</xdr:colOff>
      <xdr:row>22</xdr:row>
      <xdr:rowOff>0</xdr:rowOff>
    </xdr:from>
    <xdr:to>
      <xdr:col>16</xdr:col>
      <xdr:colOff>296765</xdr:colOff>
      <xdr:row>38</xdr:row>
      <xdr:rowOff>47520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8</xdr:col>
      <xdr:colOff>512280</xdr:colOff>
      <xdr:row>56</xdr:row>
      <xdr:rowOff>47520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577273</xdr:colOff>
      <xdr:row>40</xdr:row>
      <xdr:rowOff>15394</xdr:rowOff>
    </xdr:from>
    <xdr:to>
      <xdr:col>13</xdr:col>
      <xdr:colOff>346364</xdr:colOff>
      <xdr:row>56</xdr:row>
      <xdr:rowOff>62914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58</xdr:row>
      <xdr:rowOff>0</xdr:rowOff>
    </xdr:from>
    <xdr:to>
      <xdr:col>8</xdr:col>
      <xdr:colOff>512280</xdr:colOff>
      <xdr:row>74</xdr:row>
      <xdr:rowOff>47520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13</xdr:col>
      <xdr:colOff>415636</xdr:colOff>
      <xdr:row>40</xdr:row>
      <xdr:rowOff>30788</xdr:rowOff>
    </xdr:from>
    <xdr:to>
      <xdr:col>20</xdr:col>
      <xdr:colOff>84666</xdr:colOff>
      <xdr:row>56</xdr:row>
      <xdr:rowOff>78307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16</xdr:col>
      <xdr:colOff>361757</xdr:colOff>
      <xdr:row>22</xdr:row>
      <xdr:rowOff>0</xdr:rowOff>
    </xdr:from>
    <xdr:to>
      <xdr:col>20</xdr:col>
      <xdr:colOff>84667</xdr:colOff>
      <xdr:row>38</xdr:row>
      <xdr:rowOff>47519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592667</xdr:colOff>
      <xdr:row>57</xdr:row>
      <xdr:rowOff>177030</xdr:rowOff>
    </xdr:from>
    <xdr:to>
      <xdr:col>13</xdr:col>
      <xdr:colOff>361757</xdr:colOff>
      <xdr:row>74</xdr:row>
      <xdr:rowOff>39823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13</xdr:col>
      <xdr:colOff>400243</xdr:colOff>
      <xdr:row>57</xdr:row>
      <xdr:rowOff>169333</xdr:rowOff>
    </xdr:from>
    <xdr:to>
      <xdr:col>20</xdr:col>
      <xdr:colOff>107757</xdr:colOff>
      <xdr:row>74</xdr:row>
      <xdr:rowOff>32126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161636</xdr:colOff>
      <xdr:row>74</xdr:row>
      <xdr:rowOff>138546</xdr:rowOff>
    </xdr:from>
    <xdr:to>
      <xdr:col>20</xdr:col>
      <xdr:colOff>115454</xdr:colOff>
      <xdr:row>91</xdr:row>
      <xdr:rowOff>1338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</xdr:col>
      <xdr:colOff>7697</xdr:colOff>
      <xdr:row>0</xdr:row>
      <xdr:rowOff>169333</xdr:rowOff>
    </xdr:from>
    <xdr:to>
      <xdr:col>3</xdr:col>
      <xdr:colOff>46182</xdr:colOff>
      <xdr:row>4</xdr:row>
      <xdr:rowOff>38485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F07C9F5-7790-45FF-A809-E70DFD423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30" y="169333"/>
          <a:ext cx="1547091" cy="90054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S3001" totalsRowShown="0">
  <autoFilter ref="A1:S3001" xr:uid="{00000000-0009-0000-0100-000001000000}"/>
  <tableColumns count="19">
    <tableColumn id="1" xr3:uid="{00000000-0010-0000-0000-000001000000}" name="Date"/>
    <tableColumn id="2" xr3:uid="{00000000-0010-0000-0000-000002000000}" name="Year"/>
    <tableColumn id="3" xr3:uid="{00000000-0010-0000-0000-000003000000}" name="Month"/>
    <tableColumn id="4" xr3:uid="{00000000-0010-0000-0000-000004000000}" name="Region"/>
    <tableColumn id="5" xr3:uid="{00000000-0010-0000-0000-000005000000}" name="State"/>
    <tableColumn id="6" xr3:uid="{00000000-0010-0000-0000-000006000000}" name="City"/>
    <tableColumn id="7" xr3:uid="{00000000-0010-0000-0000-000007000000}" name="Dealer Name"/>
    <tableColumn id="8" xr3:uid="{00000000-0010-0000-0000-000008000000}" name="Car Model"/>
    <tableColumn id="9" xr3:uid="{00000000-0010-0000-0000-000009000000}" name="Segment"/>
    <tableColumn id="10" xr3:uid="{00000000-0010-0000-0000-00000A000000}" name="Fuel Type"/>
    <tableColumn id="11" xr3:uid="{00000000-0010-0000-0000-00000B000000}" name="Units Sold"/>
    <tableColumn id="12" xr3:uid="{00000000-0010-0000-0000-00000C000000}" name="Selling Price"/>
    <tableColumn id="13" xr3:uid="{00000000-0010-0000-0000-00000D000000}" name="Revenue" dataDxfId="1"/>
    <tableColumn id="14" xr3:uid="{00000000-0010-0000-0000-00000E000000}" name="Discount"/>
    <tableColumn id="15" xr3:uid="{00000000-0010-0000-0000-00000F000000}" name="Profit" dataDxfId="0"/>
    <tableColumn id="16" xr3:uid="{00000000-0010-0000-0000-000010000000}" name="Customer Type"/>
    <tableColumn id="17" xr3:uid="{00000000-0010-0000-0000-000011000000}" name="Payment Mode"/>
    <tableColumn id="18" xr3:uid="{00000000-0010-0000-0000-000012000000}" name="Rating"/>
    <tableColumn id="19" xr3:uid="{00000000-0010-0000-0000-000013000000}" name="Delivery Day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1458E"/>
      </a:dk2>
      <a:lt2>
        <a:srgbClr val="EEECE1"/>
      </a:lt2>
      <a:accent1>
        <a:srgbClr val="01458E"/>
      </a:accent1>
      <a:accent2>
        <a:srgbClr val="DA241C"/>
      </a:accent2>
      <a:accent3>
        <a:srgbClr val="4A90D9"/>
      </a:accent3>
      <a:accent4>
        <a:srgbClr val="6B7280"/>
      </a:accent4>
      <a:accent5>
        <a:srgbClr val="8FA9C4"/>
      </a:accent5>
      <a:accent6>
        <a:srgbClr val="B0BEC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5BAC"/>
    <pageSetUpPr fitToPage="1"/>
  </sheetPr>
  <dimension ref="A1:AB140"/>
  <sheetViews>
    <sheetView showGridLines="0" tabSelected="1" topLeftCell="A20" zoomScale="93" zoomScaleNormal="99" workbookViewId="0">
      <pane xSplit="1" topLeftCell="B1" activePane="topRight" state="frozen"/>
      <selection activeCell="A22" sqref="A22"/>
      <selection pane="topRight" activeCell="F14" sqref="F14"/>
    </sheetView>
  </sheetViews>
  <sheetFormatPr defaultColWidth="8.6640625" defaultRowHeight="14.4"/>
  <cols>
    <col min="1" max="1" width="2.44140625" customWidth="1"/>
    <col min="2" max="27" width="11" customWidth="1"/>
    <col min="28" max="28" width="2.44140625" customWidth="1"/>
  </cols>
  <sheetData>
    <row r="1" spans="1:2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5.5" customHeight="1">
      <c r="A2" s="1"/>
      <c r="B2" s="11" t="s">
        <v>0</v>
      </c>
      <c r="C2" s="11"/>
      <c r="D2" s="12" t="s">
        <v>1</v>
      </c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3" t="s">
        <v>2</v>
      </c>
      <c r="U2" s="13"/>
      <c r="V2" s="13"/>
      <c r="W2" s="13"/>
      <c r="X2" s="13"/>
      <c r="Y2" s="13"/>
      <c r="Z2" s="1"/>
      <c r="AA2" s="1"/>
      <c r="AB2" s="1"/>
    </row>
    <row r="3" spans="1:28" ht="21.75" customHeight="1">
      <c r="A3" s="1"/>
      <c r="B3" s="11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4" t="str">
        <f ca="1">TEXT(TODAY(),"dd-mmm-yyyy")</f>
        <v>12-Jul-2026</v>
      </c>
      <c r="U3" s="14"/>
      <c r="V3" s="14"/>
      <c r="W3" s="14"/>
      <c r="X3" s="14"/>
      <c r="Y3" s="14"/>
      <c r="Z3" s="1"/>
      <c r="AA3" s="1"/>
      <c r="AB3" s="1"/>
    </row>
    <row r="4" spans="1:28" ht="19.5" customHeight="1">
      <c r="A4" s="1"/>
      <c r="B4" s="11"/>
      <c r="C4" s="11"/>
      <c r="D4" s="15" t="s">
        <v>3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4"/>
      <c r="U4" s="14"/>
      <c r="V4" s="14"/>
      <c r="W4" s="14"/>
      <c r="X4" s="14"/>
      <c r="Y4" s="14"/>
      <c r="Z4" s="1"/>
      <c r="AA4" s="1"/>
      <c r="AB4" s="1"/>
    </row>
    <row r="5" spans="1:28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">
      <c r="A6" s="1"/>
      <c r="B6" s="16" t="s">
        <v>4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>
      <c r="A7" s="1"/>
      <c r="B7" s="17" t="s">
        <v>5</v>
      </c>
      <c r="C7" s="17"/>
      <c r="D7" s="1"/>
      <c r="E7" s="17" t="s">
        <v>6</v>
      </c>
      <c r="F7" s="17"/>
      <c r="G7" s="1"/>
      <c r="H7" s="17" t="s">
        <v>7</v>
      </c>
      <c r="I7" s="17"/>
      <c r="J7" s="1"/>
      <c r="K7" s="17" t="s">
        <v>8</v>
      </c>
      <c r="L7" s="17"/>
      <c r="M7" s="1"/>
      <c r="N7" s="17" t="s">
        <v>9</v>
      </c>
      <c r="O7" s="17"/>
      <c r="P7" s="1"/>
      <c r="Q7" s="17" t="s">
        <v>10</v>
      </c>
      <c r="R7" s="17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">
      <c r="A8" s="1"/>
      <c r="B8" s="18" t="s">
        <v>11</v>
      </c>
      <c r="C8" s="18"/>
      <c r="D8" s="1"/>
      <c r="E8" s="18" t="s">
        <v>11</v>
      </c>
      <c r="F8" s="18"/>
      <c r="G8" s="1"/>
      <c r="H8" s="18" t="s">
        <v>11</v>
      </c>
      <c r="I8" s="18"/>
      <c r="J8" s="1"/>
      <c r="K8" s="18" t="s">
        <v>11</v>
      </c>
      <c r="L8" s="18"/>
      <c r="M8" s="1"/>
      <c r="N8" s="18" t="s">
        <v>11</v>
      </c>
      <c r="O8" s="18"/>
      <c r="P8" s="1"/>
      <c r="Q8" s="18" t="s">
        <v>11</v>
      </c>
      <c r="R8" s="18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1"/>
      <c r="B9" s="17" t="s">
        <v>12</v>
      </c>
      <c r="C9" s="17"/>
      <c r="D9" s="1"/>
      <c r="E9" s="17" t="s">
        <v>13</v>
      </c>
      <c r="F9" s="17"/>
      <c r="G9" s="1"/>
      <c r="H9" s="17" t="s">
        <v>14</v>
      </c>
      <c r="I9" s="17"/>
      <c r="J9" s="1"/>
      <c r="K9" s="17" t="s">
        <v>15</v>
      </c>
      <c r="L9" s="17"/>
      <c r="M9" s="1"/>
      <c r="N9" s="17" t="s">
        <v>16</v>
      </c>
      <c r="O9" s="17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">
      <c r="A10" s="1"/>
      <c r="B10" s="18" t="s">
        <v>11</v>
      </c>
      <c r="C10" s="18"/>
      <c r="D10" s="1"/>
      <c r="E10" s="18" t="s">
        <v>11</v>
      </c>
      <c r="F10" s="18"/>
      <c r="G10" s="1"/>
      <c r="H10" s="18" t="s">
        <v>11</v>
      </c>
      <c r="I10" s="18"/>
      <c r="J10" s="1"/>
      <c r="K10" s="18" t="s">
        <v>42</v>
      </c>
      <c r="L10" s="18"/>
      <c r="M10" s="1"/>
      <c r="N10" s="18" t="s">
        <v>11</v>
      </c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">
      <c r="A12" s="1"/>
      <c r="B12" s="16" t="s">
        <v>17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"/>
      <c r="W12" s="1"/>
      <c r="X12" s="1"/>
      <c r="Y12" s="1"/>
      <c r="Z12" s="1"/>
      <c r="AA12" s="1"/>
      <c r="AB12" s="1"/>
    </row>
    <row r="13" spans="1:28">
      <c r="A13" s="1"/>
      <c r="B13" s="19" t="s">
        <v>18</v>
      </c>
      <c r="C13" s="19"/>
      <c r="D13" s="19"/>
      <c r="E13" s="19"/>
      <c r="F13" s="1"/>
      <c r="G13" s="19" t="s">
        <v>19</v>
      </c>
      <c r="H13" s="19"/>
      <c r="I13" s="19"/>
      <c r="J13" s="19"/>
      <c r="K13" s="1"/>
      <c r="L13" s="19" t="s">
        <v>20</v>
      </c>
      <c r="M13" s="19"/>
      <c r="N13" s="19"/>
      <c r="O13" s="19"/>
      <c r="P13" s="1"/>
      <c r="Q13" s="19" t="s">
        <v>21</v>
      </c>
      <c r="R13" s="19"/>
      <c r="S13" s="19"/>
      <c r="T13" s="19"/>
      <c r="U13" s="1"/>
      <c r="V13" s="1"/>
      <c r="W13" s="1"/>
      <c r="X13" s="1"/>
      <c r="Y13" s="1"/>
      <c r="Z13" s="1"/>
      <c r="AA13" s="1"/>
      <c r="AB13" s="1"/>
    </row>
    <row r="14" spans="1:28" ht="21.75" customHeight="1">
      <c r="A14" s="1"/>
      <c r="B14" s="20">
        <f>SUMIFS('Raw Data'!$M$2:$M$3001,'Raw Data'!$T$2:$T$3001,1)</f>
        <v>40255876438</v>
      </c>
      <c r="C14" s="20"/>
      <c r="D14" s="20"/>
      <c r="E14" s="20"/>
      <c r="F14" s="1"/>
      <c r="G14" s="20">
        <f>SUMIFS('Raw Data'!$O$2:$O$3001,'Raw Data'!$T$2:$T$3001,1)</f>
        <v>4831547745.4800005</v>
      </c>
      <c r="H14" s="20"/>
      <c r="I14" s="20"/>
      <c r="J14" s="20"/>
      <c r="K14" s="1"/>
      <c r="L14" s="21">
        <f>SUMIFS('Raw Data'!$K$2:$K$3001,'Raw Data'!$T$2:$T$3001,1)</f>
        <v>48982</v>
      </c>
      <c r="M14" s="21"/>
      <c r="N14" s="21"/>
      <c r="O14" s="21"/>
      <c r="P14" s="1"/>
      <c r="Q14" s="22">
        <f>IFERROR(AVERAGEIFS('Raw Data'!$L$2:$L$3001,'Raw Data'!$T$2:$T$3001,1),0)</f>
        <v>819184.15530799481</v>
      </c>
      <c r="R14" s="22"/>
      <c r="S14" s="22"/>
      <c r="T14" s="22"/>
      <c r="U14" s="1"/>
      <c r="V14" s="1"/>
      <c r="W14" s="1"/>
      <c r="X14" s="1"/>
      <c r="Y14" s="1"/>
      <c r="Z14" s="1"/>
      <c r="AA14" s="1"/>
      <c r="AB14" s="1"/>
    </row>
    <row r="15" spans="1:28" ht="21.75" customHeight="1">
      <c r="A15" s="1"/>
      <c r="B15" s="20"/>
      <c r="C15" s="20"/>
      <c r="D15" s="20"/>
      <c r="E15" s="20"/>
      <c r="F15" s="1"/>
      <c r="G15" s="20"/>
      <c r="H15" s="20"/>
      <c r="I15" s="20"/>
      <c r="J15" s="20"/>
      <c r="K15" s="1"/>
      <c r="L15" s="21"/>
      <c r="M15" s="21"/>
      <c r="N15" s="21"/>
      <c r="O15" s="21"/>
      <c r="P15" s="1"/>
      <c r="Q15" s="22"/>
      <c r="R15" s="22"/>
      <c r="S15" s="22"/>
      <c r="T15" s="22"/>
      <c r="U15" s="1"/>
      <c r="V15" s="1"/>
      <c r="W15" s="1"/>
      <c r="X15" s="1"/>
      <c r="Y15" s="1"/>
      <c r="Z15" s="1"/>
      <c r="AA15" s="1"/>
      <c r="AB15" s="1"/>
    </row>
    <row r="16" spans="1:28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>
      <c r="A17" s="1"/>
      <c r="B17" s="19" t="s">
        <v>22</v>
      </c>
      <c r="C17" s="19"/>
      <c r="D17" s="19"/>
      <c r="E17" s="19"/>
      <c r="F17" s="1"/>
      <c r="G17" s="19" t="s">
        <v>23</v>
      </c>
      <c r="H17" s="19"/>
      <c r="I17" s="19"/>
      <c r="J17" s="19"/>
      <c r="K17" s="1"/>
      <c r="L17" s="19" t="s">
        <v>24</v>
      </c>
      <c r="M17" s="19"/>
      <c r="N17" s="19"/>
      <c r="O17" s="19"/>
      <c r="P17" s="1"/>
      <c r="Q17" s="19" t="s">
        <v>25</v>
      </c>
      <c r="R17" s="19"/>
      <c r="S17" s="19"/>
      <c r="T17" s="19"/>
      <c r="U17" s="1"/>
      <c r="V17" s="1"/>
      <c r="W17" s="1"/>
      <c r="X17" s="1"/>
      <c r="Y17" s="1"/>
      <c r="Z17" s="1"/>
      <c r="AA17" s="1"/>
      <c r="AB17" s="1"/>
    </row>
    <row r="18" spans="1:28" ht="21.75" customHeight="1">
      <c r="A18" s="1"/>
      <c r="B18" s="23">
        <f>IFERROR(AVERAGEIFS('Raw Data'!$R$2:$R$3001,'Raw Data'!$T$2:$T$3001,1),0)</f>
        <v>4.2619266055045832</v>
      </c>
      <c r="C18" s="23"/>
      <c r="D18" s="23"/>
      <c r="E18" s="23"/>
      <c r="F18" s="1"/>
      <c r="G18" s="21">
        <f>SUMPRODUCT((COUNTIFS('Raw Data'!$G$2:$G$3001,'Raw Data'!$G$2:$G$3001,'Raw Data'!$T$2:$T$3001,1)&gt;0)/COUNTIF('Raw Data'!$G$2:$G$3001,'Raw Data'!$G$2:$G$3001&amp;""))</f>
        <v>7.9999999999999645</v>
      </c>
      <c r="H18" s="21"/>
      <c r="I18" s="21"/>
      <c r="J18" s="21"/>
      <c r="K18" s="1"/>
      <c r="L18" s="20">
        <f>SUMIFS('Raw Data'!$N$2:$N$3001,'Raw Data'!$T$2:$T$3001,1)</f>
        <v>42076900</v>
      </c>
      <c r="M18" s="20"/>
      <c r="N18" s="20"/>
      <c r="O18" s="20"/>
      <c r="P18" s="1"/>
      <c r="Q18" s="24">
        <f>IFERROR(AVERAGEIFS('Raw Data'!$S$2:$S$3001,'Raw Data'!$T$2:$T$3001,1),0)</f>
        <v>11.681520314547837</v>
      </c>
      <c r="R18" s="24"/>
      <c r="S18" s="24"/>
      <c r="T18" s="24"/>
      <c r="U18" s="1"/>
      <c r="V18" s="1"/>
      <c r="W18" s="1"/>
      <c r="X18" s="1"/>
      <c r="Y18" s="1"/>
      <c r="Z18" s="1"/>
      <c r="AA18" s="1"/>
      <c r="AB18" s="1"/>
    </row>
    <row r="19" spans="1:28" ht="21.75" customHeight="1">
      <c r="A19" s="1"/>
      <c r="B19" s="23"/>
      <c r="C19" s="23"/>
      <c r="D19" s="23"/>
      <c r="E19" s="23"/>
      <c r="F19" s="1"/>
      <c r="G19" s="21"/>
      <c r="H19" s="21"/>
      <c r="I19" s="21"/>
      <c r="J19" s="21"/>
      <c r="K19" s="1"/>
      <c r="L19" s="20"/>
      <c r="M19" s="20"/>
      <c r="N19" s="20"/>
      <c r="O19" s="20"/>
      <c r="P19" s="1"/>
      <c r="Q19" s="24"/>
      <c r="R19" s="24"/>
      <c r="S19" s="24"/>
      <c r="T19" s="24"/>
      <c r="U19" s="1"/>
      <c r="V19" s="1"/>
      <c r="W19" s="1"/>
      <c r="X19" s="1"/>
      <c r="Y19" s="1"/>
      <c r="Z19" s="1"/>
      <c r="AA19" s="1"/>
      <c r="AB19" s="1"/>
    </row>
    <row r="20" spans="1:2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>
      <c r="A21" s="1"/>
      <c r="B21" s="16" t="s">
        <v>115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"/>
      <c r="AA21" s="1"/>
      <c r="AB21" s="1"/>
    </row>
    <row r="22" spans="1:2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</sheetData>
  <mergeCells count="46">
    <mergeCell ref="B18:E19"/>
    <mergeCell ref="G18:J19"/>
    <mergeCell ref="L18:O19"/>
    <mergeCell ref="Q18:T19"/>
    <mergeCell ref="B21:Y21"/>
    <mergeCell ref="B14:E15"/>
    <mergeCell ref="G14:J15"/>
    <mergeCell ref="L14:O15"/>
    <mergeCell ref="Q14:T15"/>
    <mergeCell ref="B17:E17"/>
    <mergeCell ref="G17:J17"/>
    <mergeCell ref="L17:O17"/>
    <mergeCell ref="Q17:T17"/>
    <mergeCell ref="B12:U12"/>
    <mergeCell ref="B13:E13"/>
    <mergeCell ref="G13:J13"/>
    <mergeCell ref="L13:O13"/>
    <mergeCell ref="Q13:T13"/>
    <mergeCell ref="B10:C10"/>
    <mergeCell ref="E10:F10"/>
    <mergeCell ref="H10:I10"/>
    <mergeCell ref="K10:L10"/>
    <mergeCell ref="N10:O10"/>
    <mergeCell ref="Q8:R8"/>
    <mergeCell ref="B9:C9"/>
    <mergeCell ref="E9:F9"/>
    <mergeCell ref="H9:I9"/>
    <mergeCell ref="K9:L9"/>
    <mergeCell ref="N9:O9"/>
    <mergeCell ref="B8:C8"/>
    <mergeCell ref="E8:F8"/>
    <mergeCell ref="H8:I8"/>
    <mergeCell ref="K8:L8"/>
    <mergeCell ref="N8:O8"/>
    <mergeCell ref="B6:Q6"/>
    <mergeCell ref="B7:C7"/>
    <mergeCell ref="E7:F7"/>
    <mergeCell ref="H7:I7"/>
    <mergeCell ref="K7:L7"/>
    <mergeCell ref="N7:O7"/>
    <mergeCell ref="Q7:R7"/>
    <mergeCell ref="B2:C4"/>
    <mergeCell ref="D2:S3"/>
    <mergeCell ref="T2:Y2"/>
    <mergeCell ref="T3:Y4"/>
    <mergeCell ref="D4:S4"/>
  </mergeCell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errorTitle="Invalid entry" error="Please choose a value from the dropdown list." xr:uid="{00000000-0002-0000-0000-000000000000}">
          <x14:formula1>
            <xm:f>Lists!$A$2:$A$7</xm:f>
          </x14:formula1>
          <x14:formula2>
            <xm:f>0</xm:f>
          </x14:formula2>
          <xm:sqref>B8</xm:sqref>
        </x14:dataValidation>
        <x14:dataValidation type="list" errorTitle="Invalid entry" error="Please choose a value from the dropdown list." xr:uid="{00000000-0002-0000-0000-000001000000}">
          <x14:formula1>
            <xm:f>Lists!$B$2:$B$14</xm:f>
          </x14:formula1>
          <x14:formula2>
            <xm:f>0</xm:f>
          </x14:formula2>
          <xm:sqref>E8</xm:sqref>
        </x14:dataValidation>
        <x14:dataValidation type="list" errorTitle="Invalid entry" error="Please choose a value from the dropdown list." xr:uid="{00000000-0002-0000-0000-000002000000}">
          <x14:formula1>
            <xm:f>Lists!$C$2:$C$6</xm:f>
          </x14:formula1>
          <x14:formula2>
            <xm:f>0</xm:f>
          </x14:formula2>
          <xm:sqref>H8</xm:sqref>
        </x14:dataValidation>
        <x14:dataValidation type="list" errorTitle="Invalid entry" error="Please choose a value from the dropdown list." xr:uid="{00000000-0002-0000-0000-000003000000}">
          <x14:formula1>
            <xm:f>Lists!$D$2:$D$10</xm:f>
          </x14:formula1>
          <x14:formula2>
            <xm:f>0</xm:f>
          </x14:formula2>
          <xm:sqref>K8</xm:sqref>
        </x14:dataValidation>
        <x14:dataValidation type="list" errorTitle="Invalid entry" error="Please choose a value from the dropdown list." xr:uid="{00000000-0002-0000-0000-000004000000}">
          <x14:formula1>
            <xm:f>Lists!$E$2:$E$10</xm:f>
          </x14:formula1>
          <x14:formula2>
            <xm:f>0</xm:f>
          </x14:formula2>
          <xm:sqref>N8</xm:sqref>
        </x14:dataValidation>
        <x14:dataValidation type="list" errorTitle="Invalid entry" error="Please choose a value from the dropdown list." xr:uid="{00000000-0002-0000-0000-000005000000}">
          <x14:formula1>
            <xm:f>Lists!$F$2:$F$10</xm:f>
          </x14:formula1>
          <x14:formula2>
            <xm:f>0</xm:f>
          </x14:formula2>
          <xm:sqref>Q8</xm:sqref>
        </x14:dataValidation>
        <x14:dataValidation type="list" errorTitle="Invalid entry" error="Please choose a value from the dropdown list." xr:uid="{00000000-0002-0000-0000-000006000000}">
          <x14:formula1>
            <xm:f>Lists!$G$2:$G$14</xm:f>
          </x14:formula1>
          <x14:formula2>
            <xm:f>0</xm:f>
          </x14:formula2>
          <xm:sqref>B10</xm:sqref>
        </x14:dataValidation>
        <x14:dataValidation type="list" errorTitle="Invalid entry" error="Please choose a value from the dropdown list." xr:uid="{00000000-0002-0000-0000-000007000000}">
          <x14:formula1>
            <xm:f>Lists!$H$2:$H$7</xm:f>
          </x14:formula1>
          <x14:formula2>
            <xm:f>0</xm:f>
          </x14:formula2>
          <xm:sqref>E10</xm:sqref>
        </x14:dataValidation>
        <x14:dataValidation type="list" errorTitle="Invalid entry" error="Please choose a value from the dropdown list." xr:uid="{00000000-0002-0000-0000-000008000000}">
          <x14:formula1>
            <xm:f>Lists!$I$2:$I$5</xm:f>
          </x14:formula1>
          <x14:formula2>
            <xm:f>0</xm:f>
          </x14:formula2>
          <xm:sqref>H10</xm:sqref>
        </x14:dataValidation>
        <x14:dataValidation type="list" errorTitle="Invalid entry" error="Please choose a value from the dropdown list." xr:uid="{00000000-0002-0000-0000-000009000000}">
          <x14:formula1>
            <xm:f>Lists!$J$2:$J$4</xm:f>
          </x14:formula1>
          <x14:formula2>
            <xm:f>0</xm:f>
          </x14:formula2>
          <xm:sqref>K10</xm:sqref>
        </x14:dataValidation>
        <x14:dataValidation type="list" errorTitle="Invalid entry" error="Please choose a value from the dropdown list." xr:uid="{00000000-0002-0000-0000-00000A000000}">
          <x14:formula1>
            <xm:f>Lists!$K$2:$K$5</xm:f>
          </x14:formula1>
          <x14:formula2>
            <xm:f>0</xm:f>
          </x14:formula2>
          <xm:sqref>N10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001"/>
  <sheetViews>
    <sheetView topLeftCell="C1" zoomScaleNormal="100" workbookViewId="0">
      <selection activeCell="R15" sqref="R15"/>
    </sheetView>
  </sheetViews>
  <sheetFormatPr defaultColWidth="8.6640625" defaultRowHeight="14.4"/>
  <cols>
    <col min="1" max="1" width="10.33203125" bestFit="1" customWidth="1"/>
    <col min="2" max="2" width="9.109375" bestFit="1" customWidth="1"/>
    <col min="3" max="4" width="11.21875" bestFit="1" customWidth="1"/>
    <col min="5" max="5" width="12.21875" bestFit="1" customWidth="1"/>
    <col min="6" max="6" width="10.6640625" bestFit="1" customWidth="1"/>
    <col min="7" max="7" width="17.33203125" bestFit="1" customWidth="1"/>
    <col min="8" max="8" width="14.109375" bestFit="1" customWidth="1"/>
    <col min="9" max="9" width="12.88671875" bestFit="1" customWidth="1"/>
    <col min="10" max="10" width="13.44140625" bestFit="1" customWidth="1"/>
    <col min="11" max="11" width="13.88671875" bestFit="1" customWidth="1"/>
    <col min="12" max="12" width="15.44140625" bestFit="1" customWidth="1"/>
    <col min="13" max="14" width="12.77734375" bestFit="1" customWidth="1"/>
    <col min="15" max="15" width="10.109375" style="26" bestFit="1" customWidth="1"/>
    <col min="16" max="16" width="18.21875" bestFit="1" customWidth="1"/>
    <col min="17" max="17" width="18.5546875" bestFit="1" customWidth="1"/>
    <col min="18" max="18" width="10.77734375" bestFit="1" customWidth="1"/>
    <col min="19" max="19" width="16.6640625" bestFit="1" customWidth="1"/>
    <col min="20" max="20" width="13" hidden="1" customWidth="1"/>
  </cols>
  <sheetData>
    <row r="1" spans="1:20" ht="15">
      <c r="A1" s="2" t="s">
        <v>26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12</v>
      </c>
      <c r="I1" s="2" t="s">
        <v>13</v>
      </c>
      <c r="J1" s="2" t="s">
        <v>14</v>
      </c>
      <c r="K1" s="2" t="s">
        <v>27</v>
      </c>
      <c r="L1" s="2" t="s">
        <v>28</v>
      </c>
      <c r="M1" s="2" t="s">
        <v>29</v>
      </c>
      <c r="N1" s="2" t="s">
        <v>30</v>
      </c>
      <c r="O1" s="27" t="s">
        <v>31</v>
      </c>
      <c r="P1" s="2" t="s">
        <v>15</v>
      </c>
      <c r="Q1" s="2" t="s">
        <v>16</v>
      </c>
      <c r="R1" s="2" t="s">
        <v>32</v>
      </c>
      <c r="S1" s="2" t="s">
        <v>33</v>
      </c>
      <c r="T1" s="3" t="s">
        <v>34</v>
      </c>
    </row>
    <row r="2" spans="1:20">
      <c r="A2" s="4">
        <v>44212</v>
      </c>
      <c r="B2">
        <v>2021</v>
      </c>
      <c r="C2">
        <v>1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>
        <v>59</v>
      </c>
      <c r="L2">
        <v>602577</v>
      </c>
      <c r="M2" s="26">
        <v>35552043</v>
      </c>
      <c r="N2">
        <v>9135</v>
      </c>
      <c r="O2" s="26">
        <v>3569621.44</v>
      </c>
      <c r="P2" s="5" t="s">
        <v>42</v>
      </c>
      <c r="Q2" s="5" t="s">
        <v>43</v>
      </c>
      <c r="R2">
        <v>4.5</v>
      </c>
      <c r="S2">
        <v>8</v>
      </c>
      <c r="T2">
        <f t="shared" ref="T2:T65" si="0">IF(AND(OR($B2=Sel_Year,Sel_Year="All"),OR($C2=Sel_Month,Sel_Month="All"),OR($D2=Sel_Region,Sel_Region="All"),OR($E2=Sel_State,Sel_State="All"),OR($F2=Sel_City,Sel_City="All"),OR($G2=Sel_Dealer,Sel_Dealer="All"),OR($H2=Sel_Model,Sel_Model="All"),OR($I2=Sel_Segment,Sel_Segment="All"),OR($J2=Sel_Fuel,Sel_Fuel="All"),OR($P2=Sel_CustType,Sel_CustType="All"),OR($Q2=Sel_Payment,Sel_Payment="All")),1,0)</f>
        <v>1</v>
      </c>
    </row>
    <row r="3" spans="1:20">
      <c r="A3" s="4">
        <v>44221</v>
      </c>
      <c r="B3">
        <v>2021</v>
      </c>
      <c r="C3">
        <v>1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  <c r="I3" s="5" t="s">
        <v>40</v>
      </c>
      <c r="J3" s="5" t="s">
        <v>49</v>
      </c>
      <c r="K3">
        <v>6</v>
      </c>
      <c r="L3">
        <v>478544</v>
      </c>
      <c r="M3" s="26">
        <v>2871264</v>
      </c>
      <c r="N3">
        <v>30546</v>
      </c>
      <c r="O3" s="26">
        <v>329108.2</v>
      </c>
      <c r="P3" s="5" t="s">
        <v>50</v>
      </c>
      <c r="Q3" s="5" t="s">
        <v>51</v>
      </c>
      <c r="R3">
        <v>4.2</v>
      </c>
      <c r="S3">
        <v>9</v>
      </c>
      <c r="T3">
        <f t="shared" si="0"/>
        <v>0</v>
      </c>
    </row>
    <row r="4" spans="1:20">
      <c r="A4" s="4">
        <v>44197</v>
      </c>
      <c r="B4">
        <v>2021</v>
      </c>
      <c r="C4">
        <v>1</v>
      </c>
      <c r="D4" s="5" t="s">
        <v>44</v>
      </c>
      <c r="E4" s="5" t="s">
        <v>45</v>
      </c>
      <c r="F4" s="5" t="s">
        <v>46</v>
      </c>
      <c r="G4" s="5" t="s">
        <v>47</v>
      </c>
      <c r="H4" s="5" t="s">
        <v>52</v>
      </c>
      <c r="I4" s="5" t="s">
        <v>53</v>
      </c>
      <c r="J4" s="5" t="s">
        <v>41</v>
      </c>
      <c r="K4">
        <v>6</v>
      </c>
      <c r="L4">
        <v>921462</v>
      </c>
      <c r="M4" s="26">
        <v>5528772</v>
      </c>
      <c r="N4">
        <v>6667</v>
      </c>
      <c r="O4" s="26">
        <v>729597.16</v>
      </c>
      <c r="P4" s="5" t="s">
        <v>42</v>
      </c>
      <c r="Q4" s="5" t="s">
        <v>51</v>
      </c>
      <c r="R4">
        <v>3.8</v>
      </c>
      <c r="S4">
        <v>15</v>
      </c>
      <c r="T4">
        <f t="shared" si="0"/>
        <v>1</v>
      </c>
    </row>
    <row r="5" spans="1:20">
      <c r="A5" s="4">
        <v>44214</v>
      </c>
      <c r="B5">
        <v>2021</v>
      </c>
      <c r="C5">
        <v>1</v>
      </c>
      <c r="D5" s="5" t="s">
        <v>54</v>
      </c>
      <c r="E5" s="5" t="s">
        <v>55</v>
      </c>
      <c r="F5" s="5" t="s">
        <v>55</v>
      </c>
      <c r="G5" s="5" t="s">
        <v>56</v>
      </c>
      <c r="H5" s="5" t="s">
        <v>57</v>
      </c>
      <c r="I5" s="5" t="s">
        <v>58</v>
      </c>
      <c r="J5" s="5" t="s">
        <v>59</v>
      </c>
      <c r="K5">
        <v>19</v>
      </c>
      <c r="L5">
        <v>1420049</v>
      </c>
      <c r="M5" s="26">
        <v>26980931</v>
      </c>
      <c r="N5">
        <v>33697</v>
      </c>
      <c r="O5" s="26">
        <v>4185642.52</v>
      </c>
      <c r="P5" s="5" t="s">
        <v>50</v>
      </c>
      <c r="Q5" s="5" t="s">
        <v>43</v>
      </c>
      <c r="R5">
        <v>3.8</v>
      </c>
      <c r="S5">
        <v>9</v>
      </c>
      <c r="T5">
        <f t="shared" si="0"/>
        <v>0</v>
      </c>
    </row>
    <row r="6" spans="1:20">
      <c r="A6" s="4">
        <v>44200</v>
      </c>
      <c r="B6">
        <v>2021</v>
      </c>
      <c r="C6">
        <v>1</v>
      </c>
      <c r="D6" s="5" t="s">
        <v>35</v>
      </c>
      <c r="E6" s="5" t="s">
        <v>60</v>
      </c>
      <c r="F6" s="5" t="s">
        <v>61</v>
      </c>
      <c r="G6" s="5" t="s">
        <v>62</v>
      </c>
      <c r="H6" s="5" t="s">
        <v>63</v>
      </c>
      <c r="I6" s="5" t="s">
        <v>64</v>
      </c>
      <c r="J6" s="5" t="s">
        <v>41</v>
      </c>
      <c r="K6">
        <v>6</v>
      </c>
      <c r="L6">
        <v>757274</v>
      </c>
      <c r="M6" s="26">
        <v>4543644</v>
      </c>
      <c r="N6">
        <v>41467</v>
      </c>
      <c r="O6" s="26">
        <v>698699.24</v>
      </c>
      <c r="P6" s="5" t="s">
        <v>50</v>
      </c>
      <c r="Q6" s="5" t="s">
        <v>51</v>
      </c>
      <c r="R6">
        <v>5</v>
      </c>
      <c r="S6">
        <v>11</v>
      </c>
      <c r="T6">
        <f t="shared" si="0"/>
        <v>0</v>
      </c>
    </row>
    <row r="7" spans="1:20">
      <c r="A7" s="4">
        <v>44210</v>
      </c>
      <c r="B7">
        <v>2021</v>
      </c>
      <c r="C7">
        <v>1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65</v>
      </c>
      <c r="I7" s="5" t="s">
        <v>53</v>
      </c>
      <c r="J7" s="5" t="s">
        <v>49</v>
      </c>
      <c r="K7">
        <v>26</v>
      </c>
      <c r="L7">
        <v>1278692</v>
      </c>
      <c r="M7" s="26">
        <v>33245992</v>
      </c>
      <c r="N7">
        <v>37820</v>
      </c>
      <c r="O7" s="26">
        <v>5150311.0599999996</v>
      </c>
      <c r="P7" s="5" t="s">
        <v>50</v>
      </c>
      <c r="Q7" s="5" t="s">
        <v>43</v>
      </c>
      <c r="R7">
        <v>3.9</v>
      </c>
      <c r="S7">
        <v>17</v>
      </c>
      <c r="T7">
        <f t="shared" si="0"/>
        <v>0</v>
      </c>
    </row>
    <row r="8" spans="1:20">
      <c r="A8" s="4">
        <v>44222</v>
      </c>
      <c r="B8">
        <v>2021</v>
      </c>
      <c r="C8">
        <v>1</v>
      </c>
      <c r="D8" s="5" t="s">
        <v>66</v>
      </c>
      <c r="E8" s="5" t="s">
        <v>67</v>
      </c>
      <c r="F8" s="5" t="s">
        <v>68</v>
      </c>
      <c r="G8" s="5" t="s">
        <v>69</v>
      </c>
      <c r="H8" s="5" t="s">
        <v>39</v>
      </c>
      <c r="I8" s="5" t="s">
        <v>40</v>
      </c>
      <c r="J8" s="5" t="s">
        <v>41</v>
      </c>
      <c r="K8">
        <v>59</v>
      </c>
      <c r="L8">
        <v>552262</v>
      </c>
      <c r="M8" s="26">
        <v>32583458</v>
      </c>
      <c r="N8">
        <v>36472</v>
      </c>
      <c r="O8" s="26">
        <v>3239421.26</v>
      </c>
      <c r="P8" s="5" t="s">
        <v>42</v>
      </c>
      <c r="Q8" s="5" t="s">
        <v>43</v>
      </c>
      <c r="R8">
        <v>4.5</v>
      </c>
      <c r="S8">
        <v>13</v>
      </c>
      <c r="T8">
        <f t="shared" si="0"/>
        <v>1</v>
      </c>
    </row>
    <row r="9" spans="1:20">
      <c r="A9" s="4">
        <v>44202</v>
      </c>
      <c r="B9">
        <v>2021</v>
      </c>
      <c r="C9">
        <v>1</v>
      </c>
      <c r="D9" s="5" t="s">
        <v>54</v>
      </c>
      <c r="E9" s="5" t="s">
        <v>70</v>
      </c>
      <c r="F9" s="5" t="s">
        <v>71</v>
      </c>
      <c r="G9" s="5" t="s">
        <v>72</v>
      </c>
      <c r="H9" s="5" t="s">
        <v>73</v>
      </c>
      <c r="I9" s="5" t="s">
        <v>40</v>
      </c>
      <c r="J9" s="5" t="s">
        <v>49</v>
      </c>
      <c r="K9">
        <v>33</v>
      </c>
      <c r="L9">
        <v>733500</v>
      </c>
      <c r="M9" s="26">
        <v>24205500</v>
      </c>
      <c r="N9">
        <v>38320</v>
      </c>
      <c r="O9" s="26">
        <v>2145442.41</v>
      </c>
      <c r="P9" s="5" t="s">
        <v>42</v>
      </c>
      <c r="Q9" s="5" t="s">
        <v>43</v>
      </c>
      <c r="R9">
        <v>4.2</v>
      </c>
      <c r="S9">
        <v>2</v>
      </c>
      <c r="T9">
        <f t="shared" si="0"/>
        <v>1</v>
      </c>
    </row>
    <row r="10" spans="1:20">
      <c r="A10" s="4">
        <v>44209</v>
      </c>
      <c r="B10">
        <v>2021</v>
      </c>
      <c r="C10">
        <v>1</v>
      </c>
      <c r="D10" s="5" t="s">
        <v>35</v>
      </c>
      <c r="E10" s="5" t="s">
        <v>60</v>
      </c>
      <c r="F10" s="5" t="s">
        <v>61</v>
      </c>
      <c r="G10" s="5" t="s">
        <v>62</v>
      </c>
      <c r="H10" s="5" t="s">
        <v>74</v>
      </c>
      <c r="I10" s="5" t="s">
        <v>40</v>
      </c>
      <c r="J10" s="5" t="s">
        <v>49</v>
      </c>
      <c r="K10">
        <v>24</v>
      </c>
      <c r="L10">
        <v>666096</v>
      </c>
      <c r="M10" s="26">
        <v>15986304</v>
      </c>
      <c r="N10">
        <v>45292</v>
      </c>
      <c r="O10" s="26">
        <v>2037529.56</v>
      </c>
      <c r="P10" s="5" t="s">
        <v>50</v>
      </c>
      <c r="Q10" s="5" t="s">
        <v>75</v>
      </c>
      <c r="R10">
        <v>4.3</v>
      </c>
      <c r="S10">
        <v>2</v>
      </c>
      <c r="T10">
        <f t="shared" si="0"/>
        <v>0</v>
      </c>
    </row>
    <row r="11" spans="1:20">
      <c r="A11" s="4">
        <v>44208</v>
      </c>
      <c r="B11">
        <v>2021</v>
      </c>
      <c r="C11">
        <v>1</v>
      </c>
      <c r="D11" s="5" t="s">
        <v>35</v>
      </c>
      <c r="E11" s="5" t="s">
        <v>76</v>
      </c>
      <c r="F11" s="5" t="s">
        <v>77</v>
      </c>
      <c r="G11" s="5" t="s">
        <v>78</v>
      </c>
      <c r="H11" s="5" t="s">
        <v>57</v>
      </c>
      <c r="I11" s="5" t="s">
        <v>58</v>
      </c>
      <c r="J11" s="5" t="s">
        <v>59</v>
      </c>
      <c r="K11">
        <v>60</v>
      </c>
      <c r="L11">
        <v>1405935</v>
      </c>
      <c r="M11" s="26">
        <v>84356100</v>
      </c>
      <c r="N11">
        <v>20215</v>
      </c>
      <c r="O11" s="26">
        <v>9477946.8300000001</v>
      </c>
      <c r="P11" s="5" t="s">
        <v>42</v>
      </c>
      <c r="Q11" s="5" t="s">
        <v>43</v>
      </c>
      <c r="R11">
        <v>4.9000000000000004</v>
      </c>
      <c r="S11">
        <v>19</v>
      </c>
      <c r="T11">
        <f t="shared" si="0"/>
        <v>1</v>
      </c>
    </row>
    <row r="12" spans="1:20">
      <c r="A12" s="4">
        <v>44213</v>
      </c>
      <c r="B12">
        <v>2021</v>
      </c>
      <c r="C12">
        <v>1</v>
      </c>
      <c r="D12" s="5" t="s">
        <v>54</v>
      </c>
      <c r="E12" s="5" t="s">
        <v>55</v>
      </c>
      <c r="F12" s="5" t="s">
        <v>55</v>
      </c>
      <c r="G12" s="5" t="s">
        <v>56</v>
      </c>
      <c r="H12" s="5" t="s">
        <v>79</v>
      </c>
      <c r="I12" s="5" t="s">
        <v>58</v>
      </c>
      <c r="J12" s="5" t="s">
        <v>49</v>
      </c>
      <c r="K12">
        <v>55</v>
      </c>
      <c r="L12">
        <v>926161</v>
      </c>
      <c r="M12" s="26">
        <v>50938855</v>
      </c>
      <c r="N12">
        <v>38587</v>
      </c>
      <c r="O12" s="26">
        <v>7372441.21</v>
      </c>
      <c r="P12" s="5" t="s">
        <v>50</v>
      </c>
      <c r="Q12" s="5" t="s">
        <v>43</v>
      </c>
      <c r="R12">
        <v>4.9000000000000004</v>
      </c>
      <c r="S12">
        <v>17</v>
      </c>
      <c r="T12">
        <f t="shared" si="0"/>
        <v>0</v>
      </c>
    </row>
    <row r="13" spans="1:20">
      <c r="A13" s="4">
        <v>44223</v>
      </c>
      <c r="B13">
        <v>2021</v>
      </c>
      <c r="C13">
        <v>1</v>
      </c>
      <c r="D13" s="5" t="s">
        <v>54</v>
      </c>
      <c r="E13" s="5" t="s">
        <v>70</v>
      </c>
      <c r="F13" s="5" t="s">
        <v>71</v>
      </c>
      <c r="G13" s="5" t="s">
        <v>72</v>
      </c>
      <c r="H13" s="5" t="s">
        <v>39</v>
      </c>
      <c r="I13" s="5" t="s">
        <v>40</v>
      </c>
      <c r="J13" s="5" t="s">
        <v>41</v>
      </c>
      <c r="K13">
        <v>40</v>
      </c>
      <c r="L13">
        <v>563096</v>
      </c>
      <c r="M13" s="26">
        <v>22523840</v>
      </c>
      <c r="N13">
        <v>38077</v>
      </c>
      <c r="O13" s="26">
        <v>2546815.71</v>
      </c>
      <c r="P13" s="5" t="s">
        <v>42</v>
      </c>
      <c r="Q13" s="5" t="s">
        <v>43</v>
      </c>
      <c r="R13">
        <v>4</v>
      </c>
      <c r="S13">
        <v>19</v>
      </c>
      <c r="T13">
        <f t="shared" si="0"/>
        <v>1</v>
      </c>
    </row>
    <row r="14" spans="1:20">
      <c r="A14" s="4">
        <v>44214</v>
      </c>
      <c r="B14">
        <v>2021</v>
      </c>
      <c r="C14">
        <v>1</v>
      </c>
      <c r="D14" s="5" t="s">
        <v>54</v>
      </c>
      <c r="E14" s="5" t="s">
        <v>70</v>
      </c>
      <c r="F14" s="5" t="s">
        <v>71</v>
      </c>
      <c r="G14" s="5" t="s">
        <v>72</v>
      </c>
      <c r="H14" s="5" t="s">
        <v>48</v>
      </c>
      <c r="I14" s="5" t="s">
        <v>40</v>
      </c>
      <c r="J14" s="5" t="s">
        <v>49</v>
      </c>
      <c r="K14">
        <v>43</v>
      </c>
      <c r="L14">
        <v>421833</v>
      </c>
      <c r="M14" s="26">
        <v>18138819</v>
      </c>
      <c r="N14">
        <v>20047</v>
      </c>
      <c r="O14" s="26">
        <v>2373096.02</v>
      </c>
      <c r="P14" s="5" t="s">
        <v>50</v>
      </c>
      <c r="Q14" s="5" t="s">
        <v>75</v>
      </c>
      <c r="R14">
        <v>4.7</v>
      </c>
      <c r="S14">
        <v>10</v>
      </c>
      <c r="T14">
        <f t="shared" si="0"/>
        <v>0</v>
      </c>
    </row>
    <row r="15" spans="1:20">
      <c r="A15" s="4">
        <v>44221</v>
      </c>
      <c r="B15">
        <v>2021</v>
      </c>
      <c r="C15">
        <v>1</v>
      </c>
      <c r="D15" s="5" t="s">
        <v>54</v>
      </c>
      <c r="E15" s="5" t="s">
        <v>55</v>
      </c>
      <c r="F15" s="5" t="s">
        <v>55</v>
      </c>
      <c r="G15" s="5" t="s">
        <v>56</v>
      </c>
      <c r="H15" s="5" t="s">
        <v>80</v>
      </c>
      <c r="I15" s="5" t="s">
        <v>81</v>
      </c>
      <c r="J15" s="5" t="s">
        <v>41</v>
      </c>
      <c r="K15">
        <v>9</v>
      </c>
      <c r="L15">
        <v>525454</v>
      </c>
      <c r="M15" s="26">
        <v>4729086</v>
      </c>
      <c r="N15">
        <v>6093</v>
      </c>
      <c r="O15" s="26">
        <v>549708.5</v>
      </c>
      <c r="P15" s="5" t="s">
        <v>42</v>
      </c>
      <c r="Q15" s="5" t="s">
        <v>75</v>
      </c>
      <c r="R15">
        <v>3.9</v>
      </c>
      <c r="S15">
        <v>21</v>
      </c>
      <c r="T15">
        <f t="shared" si="0"/>
        <v>1</v>
      </c>
    </row>
    <row r="16" spans="1:20">
      <c r="A16" s="4">
        <v>44213</v>
      </c>
      <c r="B16">
        <v>2021</v>
      </c>
      <c r="C16">
        <v>1</v>
      </c>
      <c r="D16" s="5" t="s">
        <v>35</v>
      </c>
      <c r="E16" s="5" t="s">
        <v>36</v>
      </c>
      <c r="F16" s="5" t="s">
        <v>37</v>
      </c>
      <c r="G16" s="5" t="s">
        <v>38</v>
      </c>
      <c r="H16" s="5" t="s">
        <v>52</v>
      </c>
      <c r="I16" s="5" t="s">
        <v>53</v>
      </c>
      <c r="J16" s="5" t="s">
        <v>41</v>
      </c>
      <c r="K16">
        <v>23</v>
      </c>
      <c r="L16">
        <v>924555</v>
      </c>
      <c r="M16" s="26">
        <v>21264765</v>
      </c>
      <c r="N16">
        <v>15975</v>
      </c>
      <c r="O16" s="26">
        <v>1972733.14</v>
      </c>
      <c r="P16" s="5" t="s">
        <v>50</v>
      </c>
      <c r="Q16" s="5" t="s">
        <v>51</v>
      </c>
      <c r="R16">
        <v>3.9</v>
      </c>
      <c r="S16">
        <v>11</v>
      </c>
      <c r="T16">
        <f t="shared" si="0"/>
        <v>0</v>
      </c>
    </row>
    <row r="17" spans="1:20">
      <c r="A17" s="4">
        <v>44206</v>
      </c>
      <c r="B17">
        <v>2021</v>
      </c>
      <c r="C17">
        <v>1</v>
      </c>
      <c r="D17" s="5" t="s">
        <v>35</v>
      </c>
      <c r="E17" s="5" t="s">
        <v>60</v>
      </c>
      <c r="F17" s="5" t="s">
        <v>61</v>
      </c>
      <c r="G17" s="5" t="s">
        <v>62</v>
      </c>
      <c r="H17" s="5" t="s">
        <v>65</v>
      </c>
      <c r="I17" s="5" t="s">
        <v>53</v>
      </c>
      <c r="J17" s="5" t="s">
        <v>49</v>
      </c>
      <c r="K17">
        <v>25</v>
      </c>
      <c r="L17">
        <v>1252538</v>
      </c>
      <c r="M17" s="26">
        <v>31313450</v>
      </c>
      <c r="N17">
        <v>36049</v>
      </c>
      <c r="O17" s="26">
        <v>2791132.25</v>
      </c>
      <c r="P17" s="5" t="s">
        <v>42</v>
      </c>
      <c r="Q17" s="5" t="s">
        <v>43</v>
      </c>
      <c r="R17">
        <v>4.0999999999999996</v>
      </c>
      <c r="S17">
        <v>8</v>
      </c>
      <c r="T17">
        <f t="shared" si="0"/>
        <v>1</v>
      </c>
    </row>
    <row r="18" spans="1:20">
      <c r="A18" s="4">
        <v>44216</v>
      </c>
      <c r="B18">
        <v>2021</v>
      </c>
      <c r="C18">
        <v>1</v>
      </c>
      <c r="D18" s="5" t="s">
        <v>44</v>
      </c>
      <c r="E18" s="5" t="s">
        <v>82</v>
      </c>
      <c r="F18" s="5" t="s">
        <v>83</v>
      </c>
      <c r="G18" s="5" t="s">
        <v>84</v>
      </c>
      <c r="H18" s="5" t="s">
        <v>73</v>
      </c>
      <c r="I18" s="5" t="s">
        <v>40</v>
      </c>
      <c r="J18" s="5" t="s">
        <v>49</v>
      </c>
      <c r="K18">
        <v>21</v>
      </c>
      <c r="L18">
        <v>748970</v>
      </c>
      <c r="M18" s="26">
        <v>15728370</v>
      </c>
      <c r="N18">
        <v>38430</v>
      </c>
      <c r="O18" s="26">
        <v>2487269.6800000002</v>
      </c>
      <c r="P18" s="5" t="s">
        <v>42</v>
      </c>
      <c r="Q18" s="5" t="s">
        <v>75</v>
      </c>
      <c r="R18">
        <v>3.8</v>
      </c>
      <c r="S18">
        <v>14</v>
      </c>
      <c r="T18">
        <f t="shared" si="0"/>
        <v>1</v>
      </c>
    </row>
    <row r="19" spans="1:20">
      <c r="A19" s="4">
        <v>44218</v>
      </c>
      <c r="B19">
        <v>2021</v>
      </c>
      <c r="C19">
        <v>1</v>
      </c>
      <c r="D19" s="5" t="s">
        <v>35</v>
      </c>
      <c r="E19" s="5" t="s">
        <v>36</v>
      </c>
      <c r="F19" s="5" t="s">
        <v>37</v>
      </c>
      <c r="G19" s="5" t="s">
        <v>38</v>
      </c>
      <c r="H19" s="5" t="s">
        <v>74</v>
      </c>
      <c r="I19" s="5" t="s">
        <v>40</v>
      </c>
      <c r="J19" s="5" t="s">
        <v>49</v>
      </c>
      <c r="K19">
        <v>51</v>
      </c>
      <c r="L19">
        <v>630500</v>
      </c>
      <c r="M19" s="26">
        <v>32155500</v>
      </c>
      <c r="N19">
        <v>34207</v>
      </c>
      <c r="O19" s="26">
        <v>4384995.7</v>
      </c>
      <c r="P19" s="5" t="s">
        <v>42</v>
      </c>
      <c r="Q19" s="5" t="s">
        <v>51</v>
      </c>
      <c r="R19">
        <v>4.7</v>
      </c>
      <c r="S19">
        <v>18</v>
      </c>
      <c r="T19">
        <f t="shared" si="0"/>
        <v>1</v>
      </c>
    </row>
    <row r="20" spans="1:20">
      <c r="A20" s="4">
        <v>44215</v>
      </c>
      <c r="B20">
        <v>2021</v>
      </c>
      <c r="C20">
        <v>1</v>
      </c>
      <c r="D20" s="5" t="s">
        <v>35</v>
      </c>
      <c r="E20" s="5" t="s">
        <v>60</v>
      </c>
      <c r="F20" s="5" t="s">
        <v>61</v>
      </c>
      <c r="G20" s="5" t="s">
        <v>62</v>
      </c>
      <c r="H20" s="5" t="s">
        <v>85</v>
      </c>
      <c r="I20" s="5" t="s">
        <v>58</v>
      </c>
      <c r="J20" s="5" t="s">
        <v>49</v>
      </c>
      <c r="K20">
        <v>38</v>
      </c>
      <c r="L20">
        <v>992500</v>
      </c>
      <c r="M20" s="26">
        <v>37715000</v>
      </c>
      <c r="N20">
        <v>7011</v>
      </c>
      <c r="O20" s="26">
        <v>4208686.28</v>
      </c>
      <c r="P20" s="5" t="s">
        <v>42</v>
      </c>
      <c r="Q20" s="5" t="s">
        <v>51</v>
      </c>
      <c r="R20">
        <v>4.4000000000000004</v>
      </c>
      <c r="S20">
        <v>3</v>
      </c>
      <c r="T20">
        <f t="shared" si="0"/>
        <v>1</v>
      </c>
    </row>
    <row r="21" spans="1:20">
      <c r="A21" s="4">
        <v>44224</v>
      </c>
      <c r="B21">
        <v>2021</v>
      </c>
      <c r="C21">
        <v>1</v>
      </c>
      <c r="D21" s="5" t="s">
        <v>44</v>
      </c>
      <c r="E21" s="5" t="s">
        <v>82</v>
      </c>
      <c r="F21" s="5" t="s">
        <v>83</v>
      </c>
      <c r="G21" s="5" t="s">
        <v>84</v>
      </c>
      <c r="H21" s="5" t="s">
        <v>86</v>
      </c>
      <c r="I21" s="5" t="s">
        <v>40</v>
      </c>
      <c r="J21" s="5" t="s">
        <v>41</v>
      </c>
      <c r="K21">
        <v>18</v>
      </c>
      <c r="L21">
        <v>627379</v>
      </c>
      <c r="M21" s="26">
        <v>11292822</v>
      </c>
      <c r="N21">
        <v>8109</v>
      </c>
      <c r="O21" s="26">
        <v>1180223.33</v>
      </c>
      <c r="P21" s="5" t="s">
        <v>50</v>
      </c>
      <c r="Q21" s="5" t="s">
        <v>43</v>
      </c>
      <c r="R21">
        <v>4.9000000000000004</v>
      </c>
      <c r="S21">
        <v>11</v>
      </c>
      <c r="T21">
        <f t="shared" si="0"/>
        <v>0</v>
      </c>
    </row>
    <row r="22" spans="1:20">
      <c r="A22" s="4">
        <v>44224</v>
      </c>
      <c r="B22">
        <v>2021</v>
      </c>
      <c r="C22">
        <v>1</v>
      </c>
      <c r="D22" s="5" t="s">
        <v>35</v>
      </c>
      <c r="E22" s="5" t="s">
        <v>36</v>
      </c>
      <c r="F22" s="5" t="s">
        <v>37</v>
      </c>
      <c r="G22" s="5" t="s">
        <v>38</v>
      </c>
      <c r="H22" s="5" t="s">
        <v>79</v>
      </c>
      <c r="I22" s="5" t="s">
        <v>58</v>
      </c>
      <c r="J22" s="5" t="s">
        <v>49</v>
      </c>
      <c r="K22">
        <v>41</v>
      </c>
      <c r="L22">
        <v>886538</v>
      </c>
      <c r="M22" s="26">
        <v>36348058</v>
      </c>
      <c r="N22">
        <v>13545</v>
      </c>
      <c r="O22" s="26">
        <v>2932503.93</v>
      </c>
      <c r="P22" s="5" t="s">
        <v>50</v>
      </c>
      <c r="Q22" s="5" t="s">
        <v>51</v>
      </c>
      <c r="R22">
        <v>4.7</v>
      </c>
      <c r="S22">
        <v>20</v>
      </c>
      <c r="T22">
        <f t="shared" si="0"/>
        <v>0</v>
      </c>
    </row>
    <row r="23" spans="1:20">
      <c r="A23" s="4">
        <v>44209</v>
      </c>
      <c r="B23">
        <v>2021</v>
      </c>
      <c r="C23">
        <v>1</v>
      </c>
      <c r="D23" s="5" t="s">
        <v>35</v>
      </c>
      <c r="E23" s="5" t="s">
        <v>60</v>
      </c>
      <c r="F23" s="5" t="s">
        <v>61</v>
      </c>
      <c r="G23" s="5" t="s">
        <v>62</v>
      </c>
      <c r="H23" s="5" t="s">
        <v>86</v>
      </c>
      <c r="I23" s="5" t="s">
        <v>40</v>
      </c>
      <c r="J23" s="5" t="s">
        <v>41</v>
      </c>
      <c r="K23">
        <v>57</v>
      </c>
      <c r="L23">
        <v>626870</v>
      </c>
      <c r="M23" s="26">
        <v>35731590</v>
      </c>
      <c r="N23">
        <v>45826</v>
      </c>
      <c r="O23" s="26">
        <v>4313156.6399999997</v>
      </c>
      <c r="P23" s="5" t="s">
        <v>50</v>
      </c>
      <c r="Q23" s="5" t="s">
        <v>43</v>
      </c>
      <c r="R23">
        <v>3.6</v>
      </c>
      <c r="S23">
        <v>20</v>
      </c>
      <c r="T23">
        <f t="shared" si="0"/>
        <v>0</v>
      </c>
    </row>
    <row r="24" spans="1:20">
      <c r="A24" s="4">
        <v>44209</v>
      </c>
      <c r="B24">
        <v>2021</v>
      </c>
      <c r="C24">
        <v>1</v>
      </c>
      <c r="D24" s="5" t="s">
        <v>66</v>
      </c>
      <c r="E24" s="5" t="s">
        <v>67</v>
      </c>
      <c r="F24" s="5" t="s">
        <v>68</v>
      </c>
      <c r="G24" s="5" t="s">
        <v>69</v>
      </c>
      <c r="H24" s="5" t="s">
        <v>39</v>
      </c>
      <c r="I24" s="5" t="s">
        <v>40</v>
      </c>
      <c r="J24" s="5" t="s">
        <v>41</v>
      </c>
      <c r="K24">
        <v>17</v>
      </c>
      <c r="L24">
        <v>582266</v>
      </c>
      <c r="M24" s="26">
        <v>9898522</v>
      </c>
      <c r="N24">
        <v>11843</v>
      </c>
      <c r="O24" s="26">
        <v>1534630.35</v>
      </c>
      <c r="P24" s="5" t="s">
        <v>42</v>
      </c>
      <c r="Q24" s="5" t="s">
        <v>51</v>
      </c>
      <c r="R24">
        <v>4.2</v>
      </c>
      <c r="S24">
        <v>12</v>
      </c>
      <c r="T24">
        <f t="shared" si="0"/>
        <v>1</v>
      </c>
    </row>
    <row r="25" spans="1:20">
      <c r="A25" s="4">
        <v>44222</v>
      </c>
      <c r="B25">
        <v>2021</v>
      </c>
      <c r="C25">
        <v>1</v>
      </c>
      <c r="D25" s="5" t="s">
        <v>66</v>
      </c>
      <c r="E25" s="5" t="s">
        <v>67</v>
      </c>
      <c r="F25" s="5" t="s">
        <v>68</v>
      </c>
      <c r="G25" s="5" t="s">
        <v>69</v>
      </c>
      <c r="H25" s="5" t="s">
        <v>63</v>
      </c>
      <c r="I25" s="5" t="s">
        <v>64</v>
      </c>
      <c r="J25" s="5" t="s">
        <v>41</v>
      </c>
      <c r="K25">
        <v>6</v>
      </c>
      <c r="L25">
        <v>740286</v>
      </c>
      <c r="M25" s="26">
        <v>4441716</v>
      </c>
      <c r="N25">
        <v>18163</v>
      </c>
      <c r="O25" s="26">
        <v>660052.05000000005</v>
      </c>
      <c r="P25" s="5" t="s">
        <v>50</v>
      </c>
      <c r="Q25" s="5" t="s">
        <v>43</v>
      </c>
      <c r="R25">
        <v>4.0999999999999996</v>
      </c>
      <c r="S25">
        <v>10</v>
      </c>
      <c r="T25">
        <f t="shared" si="0"/>
        <v>0</v>
      </c>
    </row>
    <row r="26" spans="1:20">
      <c r="A26" s="4">
        <v>44214</v>
      </c>
      <c r="B26">
        <v>2021</v>
      </c>
      <c r="C26">
        <v>1</v>
      </c>
      <c r="D26" s="5" t="s">
        <v>44</v>
      </c>
      <c r="E26" s="5" t="s">
        <v>45</v>
      </c>
      <c r="F26" s="5" t="s">
        <v>46</v>
      </c>
      <c r="G26" s="5" t="s">
        <v>47</v>
      </c>
      <c r="H26" s="5" t="s">
        <v>79</v>
      </c>
      <c r="I26" s="5" t="s">
        <v>58</v>
      </c>
      <c r="J26" s="5" t="s">
        <v>49</v>
      </c>
      <c r="K26">
        <v>40</v>
      </c>
      <c r="L26">
        <v>892534</v>
      </c>
      <c r="M26" s="26">
        <v>35701360</v>
      </c>
      <c r="N26">
        <v>40017</v>
      </c>
      <c r="O26" s="26">
        <v>4239889.87</v>
      </c>
      <c r="P26" s="5" t="s">
        <v>50</v>
      </c>
      <c r="Q26" s="5" t="s">
        <v>75</v>
      </c>
      <c r="R26">
        <v>4.5999999999999996</v>
      </c>
      <c r="S26">
        <v>4</v>
      </c>
      <c r="T26">
        <f t="shared" si="0"/>
        <v>0</v>
      </c>
    </row>
    <row r="27" spans="1:20">
      <c r="A27" s="4">
        <v>44221</v>
      </c>
      <c r="B27">
        <v>2021</v>
      </c>
      <c r="C27">
        <v>1</v>
      </c>
      <c r="D27" s="5" t="s">
        <v>35</v>
      </c>
      <c r="E27" s="5" t="s">
        <v>36</v>
      </c>
      <c r="F27" s="5" t="s">
        <v>37</v>
      </c>
      <c r="G27" s="5" t="s">
        <v>38</v>
      </c>
      <c r="H27" s="5" t="s">
        <v>86</v>
      </c>
      <c r="I27" s="5" t="s">
        <v>40</v>
      </c>
      <c r="J27" s="5" t="s">
        <v>41</v>
      </c>
      <c r="K27">
        <v>15</v>
      </c>
      <c r="L27">
        <v>629702</v>
      </c>
      <c r="M27" s="26">
        <v>9445530</v>
      </c>
      <c r="N27">
        <v>40272</v>
      </c>
      <c r="O27" s="26">
        <v>916570.2</v>
      </c>
      <c r="P27" s="5" t="s">
        <v>42</v>
      </c>
      <c r="Q27" s="5" t="s">
        <v>51</v>
      </c>
      <c r="R27">
        <v>4.3</v>
      </c>
      <c r="S27">
        <v>10</v>
      </c>
      <c r="T27">
        <f t="shared" si="0"/>
        <v>1</v>
      </c>
    </row>
    <row r="28" spans="1:20">
      <c r="A28" s="4">
        <v>44216</v>
      </c>
      <c r="B28">
        <v>2021</v>
      </c>
      <c r="C28">
        <v>1</v>
      </c>
      <c r="D28" s="5" t="s">
        <v>54</v>
      </c>
      <c r="E28" s="5" t="s">
        <v>70</v>
      </c>
      <c r="F28" s="5" t="s">
        <v>71</v>
      </c>
      <c r="G28" s="5" t="s">
        <v>72</v>
      </c>
      <c r="H28" s="5" t="s">
        <v>52</v>
      </c>
      <c r="I28" s="5" t="s">
        <v>53</v>
      </c>
      <c r="J28" s="5" t="s">
        <v>41</v>
      </c>
      <c r="K28">
        <v>26</v>
      </c>
      <c r="L28">
        <v>927465</v>
      </c>
      <c r="M28" s="26">
        <v>24114090</v>
      </c>
      <c r="N28">
        <v>24085</v>
      </c>
      <c r="O28" s="26">
        <v>2382837.6800000002</v>
      </c>
      <c r="P28" s="5" t="s">
        <v>42</v>
      </c>
      <c r="Q28" s="5" t="s">
        <v>75</v>
      </c>
      <c r="R28">
        <v>4.4000000000000004</v>
      </c>
      <c r="S28">
        <v>5</v>
      </c>
      <c r="T28">
        <f t="shared" si="0"/>
        <v>1</v>
      </c>
    </row>
    <row r="29" spans="1:20">
      <c r="A29" s="4">
        <v>44222</v>
      </c>
      <c r="B29">
        <v>2021</v>
      </c>
      <c r="C29">
        <v>1</v>
      </c>
      <c r="D29" s="5" t="s">
        <v>54</v>
      </c>
      <c r="E29" s="5" t="s">
        <v>70</v>
      </c>
      <c r="F29" s="5" t="s">
        <v>71</v>
      </c>
      <c r="G29" s="5" t="s">
        <v>72</v>
      </c>
      <c r="H29" s="5" t="s">
        <v>74</v>
      </c>
      <c r="I29" s="5" t="s">
        <v>40</v>
      </c>
      <c r="J29" s="5" t="s">
        <v>49</v>
      </c>
      <c r="K29">
        <v>31</v>
      </c>
      <c r="L29">
        <v>624796</v>
      </c>
      <c r="M29" s="26">
        <v>19368676</v>
      </c>
      <c r="N29">
        <v>29918</v>
      </c>
      <c r="O29" s="26">
        <v>2891616.82</v>
      </c>
      <c r="P29" s="5" t="s">
        <v>50</v>
      </c>
      <c r="Q29" s="5" t="s">
        <v>75</v>
      </c>
      <c r="R29">
        <v>4</v>
      </c>
      <c r="S29">
        <v>21</v>
      </c>
      <c r="T29">
        <f t="shared" si="0"/>
        <v>0</v>
      </c>
    </row>
    <row r="30" spans="1:20">
      <c r="A30" s="4">
        <v>44205</v>
      </c>
      <c r="B30">
        <v>2021</v>
      </c>
      <c r="C30">
        <v>1</v>
      </c>
      <c r="D30" s="5" t="s">
        <v>66</v>
      </c>
      <c r="E30" s="5" t="s">
        <v>67</v>
      </c>
      <c r="F30" s="5" t="s">
        <v>68</v>
      </c>
      <c r="G30" s="5" t="s">
        <v>69</v>
      </c>
      <c r="H30" s="5" t="s">
        <v>73</v>
      </c>
      <c r="I30" s="5" t="s">
        <v>40</v>
      </c>
      <c r="J30" s="5" t="s">
        <v>49</v>
      </c>
      <c r="K30">
        <v>41</v>
      </c>
      <c r="L30">
        <v>726062</v>
      </c>
      <c r="M30" s="26">
        <v>29768542</v>
      </c>
      <c r="N30">
        <v>19661</v>
      </c>
      <c r="O30" s="26">
        <v>3729323.2</v>
      </c>
      <c r="P30" s="5" t="s">
        <v>42</v>
      </c>
      <c r="Q30" s="5" t="s">
        <v>43</v>
      </c>
      <c r="R30">
        <v>4.3</v>
      </c>
      <c r="S30">
        <v>5</v>
      </c>
      <c r="T30">
        <f t="shared" si="0"/>
        <v>1</v>
      </c>
    </row>
    <row r="31" spans="1:20">
      <c r="A31" s="4">
        <v>44197</v>
      </c>
      <c r="B31">
        <v>2021</v>
      </c>
      <c r="C31">
        <v>1</v>
      </c>
      <c r="D31" s="5" t="s">
        <v>35</v>
      </c>
      <c r="E31" s="5" t="s">
        <v>60</v>
      </c>
      <c r="F31" s="5" t="s">
        <v>61</v>
      </c>
      <c r="G31" s="5" t="s">
        <v>62</v>
      </c>
      <c r="H31" s="5" t="s">
        <v>63</v>
      </c>
      <c r="I31" s="5" t="s">
        <v>64</v>
      </c>
      <c r="J31" s="5" t="s">
        <v>41</v>
      </c>
      <c r="K31">
        <v>11</v>
      </c>
      <c r="L31">
        <v>781577</v>
      </c>
      <c r="M31" s="26">
        <v>8597347</v>
      </c>
      <c r="N31">
        <v>7998</v>
      </c>
      <c r="O31" s="26">
        <v>1257116.57</v>
      </c>
      <c r="P31" s="5" t="s">
        <v>50</v>
      </c>
      <c r="Q31" s="5" t="s">
        <v>75</v>
      </c>
      <c r="R31">
        <v>4.0999999999999996</v>
      </c>
      <c r="S31">
        <v>3</v>
      </c>
      <c r="T31">
        <f t="shared" si="0"/>
        <v>0</v>
      </c>
    </row>
    <row r="32" spans="1:20">
      <c r="A32" s="4">
        <v>44211</v>
      </c>
      <c r="B32">
        <v>2021</v>
      </c>
      <c r="C32">
        <v>1</v>
      </c>
      <c r="D32" s="5" t="s">
        <v>35</v>
      </c>
      <c r="E32" s="5" t="s">
        <v>76</v>
      </c>
      <c r="F32" s="5" t="s">
        <v>77</v>
      </c>
      <c r="G32" s="5" t="s">
        <v>78</v>
      </c>
      <c r="H32" s="5" t="s">
        <v>85</v>
      </c>
      <c r="I32" s="5" t="s">
        <v>58</v>
      </c>
      <c r="J32" s="5" t="s">
        <v>49</v>
      </c>
      <c r="K32">
        <v>55</v>
      </c>
      <c r="L32">
        <v>988456</v>
      </c>
      <c r="M32" s="26">
        <v>54365080</v>
      </c>
      <c r="N32">
        <v>32591</v>
      </c>
      <c r="O32" s="26">
        <v>5053864.0999999996</v>
      </c>
      <c r="P32" s="5" t="s">
        <v>50</v>
      </c>
      <c r="Q32" s="5" t="s">
        <v>51</v>
      </c>
      <c r="R32">
        <v>3.9</v>
      </c>
      <c r="S32">
        <v>5</v>
      </c>
      <c r="T32">
        <f t="shared" si="0"/>
        <v>0</v>
      </c>
    </row>
    <row r="33" spans="1:20">
      <c r="A33" s="4">
        <v>44219</v>
      </c>
      <c r="B33">
        <v>2021</v>
      </c>
      <c r="C33">
        <v>1</v>
      </c>
      <c r="D33" s="5" t="s">
        <v>66</v>
      </c>
      <c r="E33" s="5" t="s">
        <v>67</v>
      </c>
      <c r="F33" s="5" t="s">
        <v>68</v>
      </c>
      <c r="G33" s="5" t="s">
        <v>69</v>
      </c>
      <c r="H33" s="5" t="s">
        <v>79</v>
      </c>
      <c r="I33" s="5" t="s">
        <v>58</v>
      </c>
      <c r="J33" s="5" t="s">
        <v>49</v>
      </c>
      <c r="K33">
        <v>56</v>
      </c>
      <c r="L33">
        <v>905581</v>
      </c>
      <c r="M33" s="26">
        <v>50712536</v>
      </c>
      <c r="N33">
        <v>24269</v>
      </c>
      <c r="O33" s="26">
        <v>6289202.7199999997</v>
      </c>
      <c r="P33" s="5" t="s">
        <v>42</v>
      </c>
      <c r="Q33" s="5" t="s">
        <v>43</v>
      </c>
      <c r="R33">
        <v>3.7</v>
      </c>
      <c r="S33">
        <v>12</v>
      </c>
      <c r="T33">
        <f t="shared" si="0"/>
        <v>1</v>
      </c>
    </row>
    <row r="34" spans="1:20">
      <c r="A34" s="4">
        <v>44207</v>
      </c>
      <c r="B34">
        <v>2021</v>
      </c>
      <c r="C34">
        <v>1</v>
      </c>
      <c r="D34" s="5" t="s">
        <v>54</v>
      </c>
      <c r="E34" s="5" t="s">
        <v>55</v>
      </c>
      <c r="F34" s="5" t="s">
        <v>55</v>
      </c>
      <c r="G34" s="5" t="s">
        <v>56</v>
      </c>
      <c r="H34" s="5" t="s">
        <v>74</v>
      </c>
      <c r="I34" s="5" t="s">
        <v>40</v>
      </c>
      <c r="J34" s="5" t="s">
        <v>49</v>
      </c>
      <c r="K34">
        <v>5</v>
      </c>
      <c r="L34">
        <v>671567</v>
      </c>
      <c r="M34" s="26">
        <v>3357835</v>
      </c>
      <c r="N34">
        <v>24369</v>
      </c>
      <c r="O34" s="26">
        <v>463779.8</v>
      </c>
      <c r="P34" s="5" t="s">
        <v>42</v>
      </c>
      <c r="Q34" s="5" t="s">
        <v>43</v>
      </c>
      <c r="R34">
        <v>4</v>
      </c>
      <c r="S34">
        <v>4</v>
      </c>
      <c r="T34">
        <f t="shared" si="0"/>
        <v>1</v>
      </c>
    </row>
    <row r="35" spans="1:20">
      <c r="A35" s="4">
        <v>44222</v>
      </c>
      <c r="B35">
        <v>2021</v>
      </c>
      <c r="C35">
        <v>1</v>
      </c>
      <c r="D35" s="5" t="s">
        <v>44</v>
      </c>
      <c r="E35" s="5" t="s">
        <v>45</v>
      </c>
      <c r="F35" s="5" t="s">
        <v>46</v>
      </c>
      <c r="G35" s="5" t="s">
        <v>47</v>
      </c>
      <c r="H35" s="5" t="s">
        <v>52</v>
      </c>
      <c r="I35" s="5" t="s">
        <v>53</v>
      </c>
      <c r="J35" s="5" t="s">
        <v>41</v>
      </c>
      <c r="K35">
        <v>43</v>
      </c>
      <c r="L35">
        <v>949875</v>
      </c>
      <c r="M35" s="26">
        <v>40844625</v>
      </c>
      <c r="N35">
        <v>12298</v>
      </c>
      <c r="O35" s="26">
        <v>4084667.78</v>
      </c>
      <c r="P35" s="5" t="s">
        <v>42</v>
      </c>
      <c r="Q35" s="5" t="s">
        <v>51</v>
      </c>
      <c r="R35">
        <v>4</v>
      </c>
      <c r="S35">
        <v>7</v>
      </c>
      <c r="T35">
        <f t="shared" si="0"/>
        <v>1</v>
      </c>
    </row>
    <row r="36" spans="1:20">
      <c r="A36" s="4">
        <v>44205</v>
      </c>
      <c r="B36">
        <v>2021</v>
      </c>
      <c r="C36">
        <v>1</v>
      </c>
      <c r="D36" s="5" t="s">
        <v>35</v>
      </c>
      <c r="E36" s="5" t="s">
        <v>76</v>
      </c>
      <c r="F36" s="5" t="s">
        <v>77</v>
      </c>
      <c r="G36" s="5" t="s">
        <v>78</v>
      </c>
      <c r="H36" s="5" t="s">
        <v>63</v>
      </c>
      <c r="I36" s="5" t="s">
        <v>64</v>
      </c>
      <c r="J36" s="5" t="s">
        <v>41</v>
      </c>
      <c r="K36">
        <v>17</v>
      </c>
      <c r="L36">
        <v>746146</v>
      </c>
      <c r="M36" s="26">
        <v>12684482</v>
      </c>
      <c r="N36">
        <v>28623</v>
      </c>
      <c r="O36" s="26">
        <v>1097328.21</v>
      </c>
      <c r="P36" s="5" t="s">
        <v>50</v>
      </c>
      <c r="Q36" s="5" t="s">
        <v>43</v>
      </c>
      <c r="R36">
        <v>3.6</v>
      </c>
      <c r="S36">
        <v>20</v>
      </c>
      <c r="T36">
        <f t="shared" si="0"/>
        <v>0</v>
      </c>
    </row>
    <row r="37" spans="1:20">
      <c r="A37" s="4">
        <v>44207</v>
      </c>
      <c r="B37">
        <v>2021</v>
      </c>
      <c r="C37">
        <v>1</v>
      </c>
      <c r="D37" s="5" t="s">
        <v>54</v>
      </c>
      <c r="E37" s="5" t="s">
        <v>70</v>
      </c>
      <c r="F37" s="5" t="s">
        <v>71</v>
      </c>
      <c r="G37" s="5" t="s">
        <v>72</v>
      </c>
      <c r="H37" s="5" t="s">
        <v>85</v>
      </c>
      <c r="I37" s="5" t="s">
        <v>58</v>
      </c>
      <c r="J37" s="5" t="s">
        <v>49</v>
      </c>
      <c r="K37">
        <v>29</v>
      </c>
      <c r="L37">
        <v>970105</v>
      </c>
      <c r="M37" s="26">
        <v>28133045</v>
      </c>
      <c r="N37">
        <v>7690</v>
      </c>
      <c r="O37" s="26">
        <v>2987147.4</v>
      </c>
      <c r="P37" s="5" t="s">
        <v>42</v>
      </c>
      <c r="Q37" s="5" t="s">
        <v>75</v>
      </c>
      <c r="R37">
        <v>4</v>
      </c>
      <c r="S37">
        <v>19</v>
      </c>
      <c r="T37">
        <f t="shared" si="0"/>
        <v>1</v>
      </c>
    </row>
    <row r="38" spans="1:20">
      <c r="A38" s="4">
        <v>44205</v>
      </c>
      <c r="B38">
        <v>2021</v>
      </c>
      <c r="C38">
        <v>1</v>
      </c>
      <c r="D38" s="5" t="s">
        <v>44</v>
      </c>
      <c r="E38" s="5" t="s">
        <v>45</v>
      </c>
      <c r="F38" s="5" t="s">
        <v>46</v>
      </c>
      <c r="G38" s="5" t="s">
        <v>47</v>
      </c>
      <c r="H38" s="5" t="s">
        <v>85</v>
      </c>
      <c r="I38" s="5" t="s">
        <v>58</v>
      </c>
      <c r="J38" s="5" t="s">
        <v>49</v>
      </c>
      <c r="K38">
        <v>19</v>
      </c>
      <c r="L38">
        <v>951335</v>
      </c>
      <c r="M38" s="26">
        <v>18075365</v>
      </c>
      <c r="N38">
        <v>20975</v>
      </c>
      <c r="O38" s="26">
        <v>2027005.64</v>
      </c>
      <c r="P38" s="5" t="s">
        <v>50</v>
      </c>
      <c r="Q38" s="5" t="s">
        <v>51</v>
      </c>
      <c r="R38">
        <v>3.6</v>
      </c>
      <c r="S38">
        <v>2</v>
      </c>
      <c r="T38">
        <f t="shared" si="0"/>
        <v>0</v>
      </c>
    </row>
    <row r="39" spans="1:20">
      <c r="A39" s="4">
        <v>44221</v>
      </c>
      <c r="B39">
        <v>2021</v>
      </c>
      <c r="C39">
        <v>1</v>
      </c>
      <c r="D39" s="5" t="s">
        <v>44</v>
      </c>
      <c r="E39" s="5" t="s">
        <v>82</v>
      </c>
      <c r="F39" s="5" t="s">
        <v>83</v>
      </c>
      <c r="G39" s="5" t="s">
        <v>84</v>
      </c>
      <c r="H39" s="5" t="s">
        <v>52</v>
      </c>
      <c r="I39" s="5" t="s">
        <v>53</v>
      </c>
      <c r="J39" s="5" t="s">
        <v>41</v>
      </c>
      <c r="K39">
        <v>36</v>
      </c>
      <c r="L39">
        <v>950725</v>
      </c>
      <c r="M39" s="26">
        <v>34226100</v>
      </c>
      <c r="N39">
        <v>15104</v>
      </c>
      <c r="O39" s="26">
        <v>3014455.43</v>
      </c>
      <c r="P39" s="5" t="s">
        <v>42</v>
      </c>
      <c r="Q39" s="5" t="s">
        <v>75</v>
      </c>
      <c r="R39">
        <v>4.3</v>
      </c>
      <c r="S39">
        <v>7</v>
      </c>
      <c r="T39">
        <f t="shared" si="0"/>
        <v>1</v>
      </c>
    </row>
    <row r="40" spans="1:20">
      <c r="A40" s="4">
        <v>44219</v>
      </c>
      <c r="B40">
        <v>2021</v>
      </c>
      <c r="C40">
        <v>1</v>
      </c>
      <c r="D40" s="5" t="s">
        <v>35</v>
      </c>
      <c r="E40" s="5" t="s">
        <v>36</v>
      </c>
      <c r="F40" s="5" t="s">
        <v>37</v>
      </c>
      <c r="G40" s="5" t="s">
        <v>38</v>
      </c>
      <c r="H40" s="5" t="s">
        <v>86</v>
      </c>
      <c r="I40" s="5" t="s">
        <v>40</v>
      </c>
      <c r="J40" s="5" t="s">
        <v>41</v>
      </c>
      <c r="K40">
        <v>14</v>
      </c>
      <c r="L40">
        <v>623841</v>
      </c>
      <c r="M40" s="26">
        <v>8733774</v>
      </c>
      <c r="N40">
        <v>25957</v>
      </c>
      <c r="O40" s="26">
        <v>912241.21</v>
      </c>
      <c r="P40" s="5" t="s">
        <v>42</v>
      </c>
      <c r="Q40" s="5" t="s">
        <v>75</v>
      </c>
      <c r="R40">
        <v>4.8</v>
      </c>
      <c r="S40">
        <v>6</v>
      </c>
      <c r="T40">
        <f t="shared" si="0"/>
        <v>1</v>
      </c>
    </row>
    <row r="41" spans="1:20">
      <c r="A41" s="4">
        <v>44214</v>
      </c>
      <c r="B41">
        <v>2021</v>
      </c>
      <c r="C41">
        <v>1</v>
      </c>
      <c r="D41" s="5" t="s">
        <v>54</v>
      </c>
      <c r="E41" s="5" t="s">
        <v>55</v>
      </c>
      <c r="F41" s="5" t="s">
        <v>55</v>
      </c>
      <c r="G41" s="5" t="s">
        <v>56</v>
      </c>
      <c r="H41" s="5" t="s">
        <v>52</v>
      </c>
      <c r="I41" s="5" t="s">
        <v>53</v>
      </c>
      <c r="J41" s="5" t="s">
        <v>41</v>
      </c>
      <c r="K41">
        <v>57</v>
      </c>
      <c r="L41">
        <v>979184</v>
      </c>
      <c r="M41" s="26">
        <v>55813488</v>
      </c>
      <c r="N41">
        <v>45863</v>
      </c>
      <c r="O41" s="26">
        <v>8054360.8700000001</v>
      </c>
      <c r="P41" s="5" t="s">
        <v>50</v>
      </c>
      <c r="Q41" s="5" t="s">
        <v>75</v>
      </c>
      <c r="R41">
        <v>3.9</v>
      </c>
      <c r="S41">
        <v>19</v>
      </c>
      <c r="T41">
        <f t="shared" si="0"/>
        <v>0</v>
      </c>
    </row>
    <row r="42" spans="1:20">
      <c r="A42" s="4">
        <v>44221</v>
      </c>
      <c r="B42">
        <v>2021</v>
      </c>
      <c r="C42">
        <v>1</v>
      </c>
      <c r="D42" s="5" t="s">
        <v>35</v>
      </c>
      <c r="E42" s="5" t="s">
        <v>36</v>
      </c>
      <c r="F42" s="5" t="s">
        <v>37</v>
      </c>
      <c r="G42" s="5" t="s">
        <v>38</v>
      </c>
      <c r="H42" s="5" t="s">
        <v>74</v>
      </c>
      <c r="I42" s="5" t="s">
        <v>40</v>
      </c>
      <c r="J42" s="5" t="s">
        <v>49</v>
      </c>
      <c r="K42">
        <v>50</v>
      </c>
      <c r="L42">
        <v>676498</v>
      </c>
      <c r="M42" s="26">
        <v>33824900</v>
      </c>
      <c r="N42">
        <v>48763</v>
      </c>
      <c r="O42" s="26">
        <v>3375175.4</v>
      </c>
      <c r="P42" s="5" t="s">
        <v>50</v>
      </c>
      <c r="Q42" s="5" t="s">
        <v>51</v>
      </c>
      <c r="R42">
        <v>4.9000000000000004</v>
      </c>
      <c r="S42">
        <v>15</v>
      </c>
      <c r="T42">
        <f t="shared" si="0"/>
        <v>0</v>
      </c>
    </row>
    <row r="43" spans="1:20">
      <c r="A43" s="4">
        <v>44209</v>
      </c>
      <c r="B43">
        <v>2021</v>
      </c>
      <c r="C43">
        <v>1</v>
      </c>
      <c r="D43" s="5" t="s">
        <v>44</v>
      </c>
      <c r="E43" s="5" t="s">
        <v>82</v>
      </c>
      <c r="F43" s="5" t="s">
        <v>83</v>
      </c>
      <c r="G43" s="5" t="s">
        <v>84</v>
      </c>
      <c r="H43" s="5" t="s">
        <v>57</v>
      </c>
      <c r="I43" s="5" t="s">
        <v>58</v>
      </c>
      <c r="J43" s="5" t="s">
        <v>59</v>
      </c>
      <c r="K43">
        <v>33</v>
      </c>
      <c r="L43">
        <v>1425790</v>
      </c>
      <c r="M43" s="26">
        <v>47051070</v>
      </c>
      <c r="N43">
        <v>40262</v>
      </c>
      <c r="O43" s="26">
        <v>5470382.0300000003</v>
      </c>
      <c r="P43" s="5" t="s">
        <v>42</v>
      </c>
      <c r="Q43" s="5" t="s">
        <v>75</v>
      </c>
      <c r="R43">
        <v>3.9</v>
      </c>
      <c r="S43">
        <v>2</v>
      </c>
      <c r="T43">
        <f t="shared" si="0"/>
        <v>1</v>
      </c>
    </row>
    <row r="44" spans="1:20">
      <c r="A44" s="4">
        <v>44215</v>
      </c>
      <c r="B44">
        <v>2021</v>
      </c>
      <c r="C44">
        <v>1</v>
      </c>
      <c r="D44" s="5" t="s">
        <v>66</v>
      </c>
      <c r="E44" s="5" t="s">
        <v>67</v>
      </c>
      <c r="F44" s="5" t="s">
        <v>68</v>
      </c>
      <c r="G44" s="5" t="s">
        <v>69</v>
      </c>
      <c r="H44" s="5" t="s">
        <v>39</v>
      </c>
      <c r="I44" s="5" t="s">
        <v>40</v>
      </c>
      <c r="J44" s="5" t="s">
        <v>41</v>
      </c>
      <c r="K44">
        <v>6</v>
      </c>
      <c r="L44">
        <v>554084</v>
      </c>
      <c r="M44" s="26">
        <v>3324504</v>
      </c>
      <c r="N44">
        <v>28261</v>
      </c>
      <c r="O44" s="26">
        <v>420236.07</v>
      </c>
      <c r="P44" s="5" t="s">
        <v>50</v>
      </c>
      <c r="Q44" s="5" t="s">
        <v>75</v>
      </c>
      <c r="R44">
        <v>3.9</v>
      </c>
      <c r="S44">
        <v>10</v>
      </c>
      <c r="T44">
        <f t="shared" si="0"/>
        <v>0</v>
      </c>
    </row>
    <row r="45" spans="1:20">
      <c r="A45" s="4">
        <v>44212</v>
      </c>
      <c r="B45">
        <v>2021</v>
      </c>
      <c r="C45">
        <v>1</v>
      </c>
      <c r="D45" s="5" t="s">
        <v>66</v>
      </c>
      <c r="E45" s="5" t="s">
        <v>67</v>
      </c>
      <c r="F45" s="5" t="s">
        <v>68</v>
      </c>
      <c r="G45" s="5" t="s">
        <v>69</v>
      </c>
      <c r="H45" s="5" t="s">
        <v>39</v>
      </c>
      <c r="I45" s="5" t="s">
        <v>40</v>
      </c>
      <c r="J45" s="5" t="s">
        <v>41</v>
      </c>
      <c r="K45">
        <v>30</v>
      </c>
      <c r="L45">
        <v>561283</v>
      </c>
      <c r="M45" s="26">
        <v>16838490</v>
      </c>
      <c r="N45">
        <v>45137</v>
      </c>
      <c r="O45" s="26">
        <v>1467302.29</v>
      </c>
      <c r="P45" s="5" t="s">
        <v>50</v>
      </c>
      <c r="Q45" s="5" t="s">
        <v>75</v>
      </c>
      <c r="R45">
        <v>4.3</v>
      </c>
      <c r="S45">
        <v>18</v>
      </c>
      <c r="T45">
        <f t="shared" si="0"/>
        <v>0</v>
      </c>
    </row>
    <row r="46" spans="1:20">
      <c r="A46" s="4">
        <v>44212</v>
      </c>
      <c r="B46">
        <v>2021</v>
      </c>
      <c r="C46">
        <v>1</v>
      </c>
      <c r="D46" s="5" t="s">
        <v>35</v>
      </c>
      <c r="E46" s="5" t="s">
        <v>60</v>
      </c>
      <c r="F46" s="5" t="s">
        <v>61</v>
      </c>
      <c r="G46" s="5" t="s">
        <v>62</v>
      </c>
      <c r="H46" s="5" t="s">
        <v>80</v>
      </c>
      <c r="I46" s="5" t="s">
        <v>81</v>
      </c>
      <c r="J46" s="5" t="s">
        <v>41</v>
      </c>
      <c r="K46">
        <v>45</v>
      </c>
      <c r="L46">
        <v>567934</v>
      </c>
      <c r="M46" s="26">
        <v>25557030</v>
      </c>
      <c r="N46">
        <v>19793</v>
      </c>
      <c r="O46" s="26">
        <v>2531934.2999999998</v>
      </c>
      <c r="P46" s="5" t="s">
        <v>42</v>
      </c>
      <c r="Q46" s="5" t="s">
        <v>75</v>
      </c>
      <c r="R46">
        <v>4.5999999999999996</v>
      </c>
      <c r="S46">
        <v>12</v>
      </c>
      <c r="T46">
        <f t="shared" si="0"/>
        <v>1</v>
      </c>
    </row>
    <row r="47" spans="1:20">
      <c r="A47" s="4">
        <v>44217</v>
      </c>
      <c r="B47">
        <v>2021</v>
      </c>
      <c r="C47">
        <v>1</v>
      </c>
      <c r="D47" s="5" t="s">
        <v>44</v>
      </c>
      <c r="E47" s="5" t="s">
        <v>82</v>
      </c>
      <c r="F47" s="5" t="s">
        <v>83</v>
      </c>
      <c r="G47" s="5" t="s">
        <v>84</v>
      </c>
      <c r="H47" s="5" t="s">
        <v>80</v>
      </c>
      <c r="I47" s="5" t="s">
        <v>81</v>
      </c>
      <c r="J47" s="5" t="s">
        <v>41</v>
      </c>
      <c r="K47">
        <v>19</v>
      </c>
      <c r="L47">
        <v>523158</v>
      </c>
      <c r="M47" s="26">
        <v>9940002</v>
      </c>
      <c r="N47">
        <v>9689</v>
      </c>
      <c r="O47" s="26">
        <v>1402092.39</v>
      </c>
      <c r="P47" s="5" t="s">
        <v>42</v>
      </c>
      <c r="Q47" s="5" t="s">
        <v>75</v>
      </c>
      <c r="R47">
        <v>4.3</v>
      </c>
      <c r="S47">
        <v>8</v>
      </c>
      <c r="T47">
        <f t="shared" si="0"/>
        <v>1</v>
      </c>
    </row>
    <row r="48" spans="1:20">
      <c r="A48" s="4">
        <v>44219</v>
      </c>
      <c r="B48">
        <v>2021</v>
      </c>
      <c r="C48">
        <v>1</v>
      </c>
      <c r="D48" s="5" t="s">
        <v>44</v>
      </c>
      <c r="E48" s="5" t="s">
        <v>82</v>
      </c>
      <c r="F48" s="5" t="s">
        <v>83</v>
      </c>
      <c r="G48" s="5" t="s">
        <v>84</v>
      </c>
      <c r="H48" s="5" t="s">
        <v>63</v>
      </c>
      <c r="I48" s="5" t="s">
        <v>64</v>
      </c>
      <c r="J48" s="5" t="s">
        <v>41</v>
      </c>
      <c r="K48">
        <v>49</v>
      </c>
      <c r="L48">
        <v>749632</v>
      </c>
      <c r="M48" s="26">
        <v>36731968</v>
      </c>
      <c r="N48">
        <v>41196</v>
      </c>
      <c r="O48" s="26">
        <v>4030567.5</v>
      </c>
      <c r="P48" s="5" t="s">
        <v>42</v>
      </c>
      <c r="Q48" s="5" t="s">
        <v>51</v>
      </c>
      <c r="R48">
        <v>3.6</v>
      </c>
      <c r="S48">
        <v>5</v>
      </c>
      <c r="T48">
        <f t="shared" si="0"/>
        <v>1</v>
      </c>
    </row>
    <row r="49" spans="1:20">
      <c r="A49" s="4">
        <v>44215</v>
      </c>
      <c r="B49">
        <v>2021</v>
      </c>
      <c r="C49">
        <v>1</v>
      </c>
      <c r="D49" s="5" t="s">
        <v>66</v>
      </c>
      <c r="E49" s="5" t="s">
        <v>67</v>
      </c>
      <c r="F49" s="5" t="s">
        <v>68</v>
      </c>
      <c r="G49" s="5" t="s">
        <v>69</v>
      </c>
      <c r="H49" s="5" t="s">
        <v>86</v>
      </c>
      <c r="I49" s="5" t="s">
        <v>40</v>
      </c>
      <c r="J49" s="5" t="s">
        <v>41</v>
      </c>
      <c r="K49">
        <v>14</v>
      </c>
      <c r="L49">
        <v>586423</v>
      </c>
      <c r="M49" s="26">
        <v>8209922</v>
      </c>
      <c r="N49">
        <v>32967</v>
      </c>
      <c r="O49" s="26">
        <v>799724.36</v>
      </c>
      <c r="P49" s="5" t="s">
        <v>50</v>
      </c>
      <c r="Q49" s="5" t="s">
        <v>43</v>
      </c>
      <c r="R49">
        <v>4.5</v>
      </c>
      <c r="S49">
        <v>13</v>
      </c>
      <c r="T49">
        <f t="shared" si="0"/>
        <v>0</v>
      </c>
    </row>
    <row r="50" spans="1:20">
      <c r="A50" s="4">
        <v>44198</v>
      </c>
      <c r="B50">
        <v>2021</v>
      </c>
      <c r="C50">
        <v>1</v>
      </c>
      <c r="D50" s="5" t="s">
        <v>66</v>
      </c>
      <c r="E50" s="5" t="s">
        <v>67</v>
      </c>
      <c r="F50" s="5" t="s">
        <v>68</v>
      </c>
      <c r="G50" s="5" t="s">
        <v>69</v>
      </c>
      <c r="H50" s="5" t="s">
        <v>57</v>
      </c>
      <c r="I50" s="5" t="s">
        <v>58</v>
      </c>
      <c r="J50" s="5" t="s">
        <v>59</v>
      </c>
      <c r="K50">
        <v>59</v>
      </c>
      <c r="L50">
        <v>1380800</v>
      </c>
      <c r="M50" s="26">
        <v>81467200</v>
      </c>
      <c r="N50">
        <v>40666</v>
      </c>
      <c r="O50" s="26">
        <v>11274383.65</v>
      </c>
      <c r="P50" s="5" t="s">
        <v>50</v>
      </c>
      <c r="Q50" s="5" t="s">
        <v>43</v>
      </c>
      <c r="R50">
        <v>4.4000000000000004</v>
      </c>
      <c r="S50">
        <v>10</v>
      </c>
      <c r="T50">
        <f t="shared" si="0"/>
        <v>0</v>
      </c>
    </row>
    <row r="51" spans="1:20">
      <c r="A51" s="4">
        <v>44199</v>
      </c>
      <c r="B51">
        <v>2021</v>
      </c>
      <c r="C51">
        <v>1</v>
      </c>
      <c r="D51" s="5" t="s">
        <v>44</v>
      </c>
      <c r="E51" s="5" t="s">
        <v>45</v>
      </c>
      <c r="F51" s="5" t="s">
        <v>46</v>
      </c>
      <c r="G51" s="5" t="s">
        <v>47</v>
      </c>
      <c r="H51" s="5" t="s">
        <v>86</v>
      </c>
      <c r="I51" s="5" t="s">
        <v>40</v>
      </c>
      <c r="J51" s="5" t="s">
        <v>41</v>
      </c>
      <c r="K51">
        <v>54</v>
      </c>
      <c r="L51">
        <v>610429</v>
      </c>
      <c r="M51" s="26">
        <v>32963166</v>
      </c>
      <c r="N51">
        <v>48235</v>
      </c>
      <c r="O51" s="26">
        <v>4447731.07</v>
      </c>
      <c r="P51" s="5" t="s">
        <v>42</v>
      </c>
      <c r="Q51" s="5" t="s">
        <v>75</v>
      </c>
      <c r="R51">
        <v>5</v>
      </c>
      <c r="S51">
        <v>14</v>
      </c>
      <c r="T51">
        <f t="shared" si="0"/>
        <v>1</v>
      </c>
    </row>
    <row r="52" spans="1:20">
      <c r="A52" s="4">
        <v>44247</v>
      </c>
      <c r="B52">
        <v>2021</v>
      </c>
      <c r="C52">
        <v>2</v>
      </c>
      <c r="D52" s="5" t="s">
        <v>66</v>
      </c>
      <c r="E52" s="5" t="s">
        <v>67</v>
      </c>
      <c r="F52" s="5" t="s">
        <v>68</v>
      </c>
      <c r="G52" s="5" t="s">
        <v>69</v>
      </c>
      <c r="H52" s="5" t="s">
        <v>79</v>
      </c>
      <c r="I52" s="5" t="s">
        <v>58</v>
      </c>
      <c r="J52" s="5" t="s">
        <v>49</v>
      </c>
      <c r="K52">
        <v>15</v>
      </c>
      <c r="L52">
        <v>929643</v>
      </c>
      <c r="M52" s="26">
        <v>13944645</v>
      </c>
      <c r="N52">
        <v>26329</v>
      </c>
      <c r="O52" s="26">
        <v>1604335.81</v>
      </c>
      <c r="P52" s="5" t="s">
        <v>42</v>
      </c>
      <c r="Q52" s="5" t="s">
        <v>75</v>
      </c>
      <c r="R52">
        <v>3.7</v>
      </c>
      <c r="S52">
        <v>21</v>
      </c>
      <c r="T52">
        <f t="shared" si="0"/>
        <v>1</v>
      </c>
    </row>
    <row r="53" spans="1:20">
      <c r="A53" s="4">
        <v>44251</v>
      </c>
      <c r="B53">
        <v>2021</v>
      </c>
      <c r="C53">
        <v>2</v>
      </c>
      <c r="D53" s="5" t="s">
        <v>66</v>
      </c>
      <c r="E53" s="5" t="s">
        <v>67</v>
      </c>
      <c r="F53" s="5" t="s">
        <v>68</v>
      </c>
      <c r="G53" s="5" t="s">
        <v>69</v>
      </c>
      <c r="H53" s="5" t="s">
        <v>73</v>
      </c>
      <c r="I53" s="5" t="s">
        <v>40</v>
      </c>
      <c r="J53" s="5" t="s">
        <v>49</v>
      </c>
      <c r="K53">
        <v>47</v>
      </c>
      <c r="L53">
        <v>709364</v>
      </c>
      <c r="M53" s="26">
        <v>33340108</v>
      </c>
      <c r="N53">
        <v>23197</v>
      </c>
      <c r="O53" s="26">
        <v>3329253.49</v>
      </c>
      <c r="P53" s="5" t="s">
        <v>50</v>
      </c>
      <c r="Q53" s="5" t="s">
        <v>75</v>
      </c>
      <c r="R53">
        <v>4.3</v>
      </c>
      <c r="S53">
        <v>20</v>
      </c>
      <c r="T53">
        <f t="shared" si="0"/>
        <v>0</v>
      </c>
    </row>
    <row r="54" spans="1:20">
      <c r="A54" s="4">
        <v>44234</v>
      </c>
      <c r="B54">
        <v>2021</v>
      </c>
      <c r="C54">
        <v>2</v>
      </c>
      <c r="D54" s="5" t="s">
        <v>54</v>
      </c>
      <c r="E54" s="5" t="s">
        <v>55</v>
      </c>
      <c r="F54" s="5" t="s">
        <v>55</v>
      </c>
      <c r="G54" s="5" t="s">
        <v>56</v>
      </c>
      <c r="H54" s="5" t="s">
        <v>74</v>
      </c>
      <c r="I54" s="5" t="s">
        <v>40</v>
      </c>
      <c r="J54" s="5" t="s">
        <v>49</v>
      </c>
      <c r="K54">
        <v>45</v>
      </c>
      <c r="L54">
        <v>659690</v>
      </c>
      <c r="M54" s="26">
        <v>29686050</v>
      </c>
      <c r="N54">
        <v>20875</v>
      </c>
      <c r="O54" s="26">
        <v>4358701.43</v>
      </c>
      <c r="P54" s="5" t="s">
        <v>50</v>
      </c>
      <c r="Q54" s="5" t="s">
        <v>43</v>
      </c>
      <c r="R54">
        <v>3.7</v>
      </c>
      <c r="S54">
        <v>8</v>
      </c>
      <c r="T54">
        <f t="shared" si="0"/>
        <v>0</v>
      </c>
    </row>
    <row r="55" spans="1:20">
      <c r="A55" s="4">
        <v>44242</v>
      </c>
      <c r="B55">
        <v>2021</v>
      </c>
      <c r="C55">
        <v>2</v>
      </c>
      <c r="D55" s="5" t="s">
        <v>44</v>
      </c>
      <c r="E55" s="5" t="s">
        <v>82</v>
      </c>
      <c r="F55" s="5" t="s">
        <v>83</v>
      </c>
      <c r="G55" s="5" t="s">
        <v>84</v>
      </c>
      <c r="H55" s="5" t="s">
        <v>63</v>
      </c>
      <c r="I55" s="5" t="s">
        <v>64</v>
      </c>
      <c r="J55" s="5" t="s">
        <v>41</v>
      </c>
      <c r="K55">
        <v>42</v>
      </c>
      <c r="L55">
        <v>779638</v>
      </c>
      <c r="M55" s="26">
        <v>32744796</v>
      </c>
      <c r="N55">
        <v>21441</v>
      </c>
      <c r="O55" s="26">
        <v>4800007.07</v>
      </c>
      <c r="P55" s="5" t="s">
        <v>50</v>
      </c>
      <c r="Q55" s="5" t="s">
        <v>51</v>
      </c>
      <c r="R55">
        <v>4</v>
      </c>
      <c r="S55">
        <v>15</v>
      </c>
      <c r="T55">
        <f t="shared" si="0"/>
        <v>0</v>
      </c>
    </row>
    <row r="56" spans="1:20">
      <c r="A56" s="4">
        <v>44253</v>
      </c>
      <c r="B56">
        <v>2021</v>
      </c>
      <c r="C56">
        <v>2</v>
      </c>
      <c r="D56" s="5" t="s">
        <v>44</v>
      </c>
      <c r="E56" s="5" t="s">
        <v>45</v>
      </c>
      <c r="F56" s="5" t="s">
        <v>46</v>
      </c>
      <c r="G56" s="5" t="s">
        <v>47</v>
      </c>
      <c r="H56" s="5" t="s">
        <v>85</v>
      </c>
      <c r="I56" s="5" t="s">
        <v>58</v>
      </c>
      <c r="J56" s="5" t="s">
        <v>49</v>
      </c>
      <c r="K56">
        <v>41</v>
      </c>
      <c r="L56">
        <v>1007601</v>
      </c>
      <c r="M56" s="26">
        <v>41311641</v>
      </c>
      <c r="N56">
        <v>30117</v>
      </c>
      <c r="O56" s="26">
        <v>3981853.05</v>
      </c>
      <c r="P56" s="5" t="s">
        <v>50</v>
      </c>
      <c r="Q56" s="5" t="s">
        <v>75</v>
      </c>
      <c r="R56">
        <v>3.7</v>
      </c>
      <c r="S56">
        <v>2</v>
      </c>
      <c r="T56">
        <f t="shared" si="0"/>
        <v>0</v>
      </c>
    </row>
    <row r="57" spans="1:20">
      <c r="A57" s="4">
        <v>44244</v>
      </c>
      <c r="B57">
        <v>2021</v>
      </c>
      <c r="C57">
        <v>2</v>
      </c>
      <c r="D57" s="5" t="s">
        <v>44</v>
      </c>
      <c r="E57" s="5" t="s">
        <v>82</v>
      </c>
      <c r="F57" s="5" t="s">
        <v>83</v>
      </c>
      <c r="G57" s="5" t="s">
        <v>84</v>
      </c>
      <c r="H57" s="5" t="s">
        <v>80</v>
      </c>
      <c r="I57" s="5" t="s">
        <v>81</v>
      </c>
      <c r="J57" s="5" t="s">
        <v>41</v>
      </c>
      <c r="K57">
        <v>53</v>
      </c>
      <c r="L57">
        <v>567468</v>
      </c>
      <c r="M57" s="26">
        <v>30075804</v>
      </c>
      <c r="N57">
        <v>47558</v>
      </c>
      <c r="O57" s="26">
        <v>2734718.3</v>
      </c>
      <c r="P57" s="5" t="s">
        <v>42</v>
      </c>
      <c r="Q57" s="5" t="s">
        <v>51</v>
      </c>
      <c r="R57">
        <v>4.7</v>
      </c>
      <c r="S57">
        <v>15</v>
      </c>
      <c r="T57">
        <f t="shared" si="0"/>
        <v>1</v>
      </c>
    </row>
    <row r="58" spans="1:20">
      <c r="A58" s="4">
        <v>44242</v>
      </c>
      <c r="B58">
        <v>2021</v>
      </c>
      <c r="C58">
        <v>2</v>
      </c>
      <c r="D58" s="5" t="s">
        <v>54</v>
      </c>
      <c r="E58" s="5" t="s">
        <v>70</v>
      </c>
      <c r="F58" s="5" t="s">
        <v>71</v>
      </c>
      <c r="G58" s="5" t="s">
        <v>72</v>
      </c>
      <c r="H58" s="5" t="s">
        <v>57</v>
      </c>
      <c r="I58" s="5" t="s">
        <v>58</v>
      </c>
      <c r="J58" s="5" t="s">
        <v>59</v>
      </c>
      <c r="K58">
        <v>25</v>
      </c>
      <c r="L58">
        <v>1370055</v>
      </c>
      <c r="M58" s="26">
        <v>34251375</v>
      </c>
      <c r="N58">
        <v>13119</v>
      </c>
      <c r="O58" s="26">
        <v>3952099.92</v>
      </c>
      <c r="P58" s="5" t="s">
        <v>42</v>
      </c>
      <c r="Q58" s="5" t="s">
        <v>43</v>
      </c>
      <c r="R58">
        <v>4.3</v>
      </c>
      <c r="S58">
        <v>12</v>
      </c>
      <c r="T58">
        <f t="shared" si="0"/>
        <v>1</v>
      </c>
    </row>
    <row r="59" spans="1:20">
      <c r="A59" s="4">
        <v>44228</v>
      </c>
      <c r="B59">
        <v>2021</v>
      </c>
      <c r="C59">
        <v>2</v>
      </c>
      <c r="D59" s="5" t="s">
        <v>35</v>
      </c>
      <c r="E59" s="5" t="s">
        <v>60</v>
      </c>
      <c r="F59" s="5" t="s">
        <v>61</v>
      </c>
      <c r="G59" s="5" t="s">
        <v>62</v>
      </c>
      <c r="H59" s="5" t="s">
        <v>73</v>
      </c>
      <c r="I59" s="5" t="s">
        <v>40</v>
      </c>
      <c r="J59" s="5" t="s">
        <v>49</v>
      </c>
      <c r="K59">
        <v>46</v>
      </c>
      <c r="L59">
        <v>714743</v>
      </c>
      <c r="M59" s="26">
        <v>32878178</v>
      </c>
      <c r="N59">
        <v>30060</v>
      </c>
      <c r="O59" s="26">
        <v>3166600.04</v>
      </c>
      <c r="P59" s="5" t="s">
        <v>42</v>
      </c>
      <c r="Q59" s="5" t="s">
        <v>51</v>
      </c>
      <c r="R59">
        <v>4.4000000000000004</v>
      </c>
      <c r="S59">
        <v>18</v>
      </c>
      <c r="T59">
        <f t="shared" si="0"/>
        <v>1</v>
      </c>
    </row>
    <row r="60" spans="1:20">
      <c r="A60" s="4">
        <v>44251</v>
      </c>
      <c r="B60">
        <v>2021</v>
      </c>
      <c r="C60">
        <v>2</v>
      </c>
      <c r="D60" s="5" t="s">
        <v>35</v>
      </c>
      <c r="E60" s="5" t="s">
        <v>76</v>
      </c>
      <c r="F60" s="5" t="s">
        <v>77</v>
      </c>
      <c r="G60" s="5" t="s">
        <v>78</v>
      </c>
      <c r="H60" s="5" t="s">
        <v>48</v>
      </c>
      <c r="I60" s="5" t="s">
        <v>40</v>
      </c>
      <c r="J60" s="5" t="s">
        <v>49</v>
      </c>
      <c r="K60">
        <v>43</v>
      </c>
      <c r="L60">
        <v>474695</v>
      </c>
      <c r="M60" s="26">
        <v>20411885</v>
      </c>
      <c r="N60">
        <v>38876</v>
      </c>
      <c r="O60" s="26">
        <v>2300771.08</v>
      </c>
      <c r="P60" s="5" t="s">
        <v>42</v>
      </c>
      <c r="Q60" s="5" t="s">
        <v>51</v>
      </c>
      <c r="R60">
        <v>3.8</v>
      </c>
      <c r="S60">
        <v>21</v>
      </c>
      <c r="T60">
        <f t="shared" si="0"/>
        <v>1</v>
      </c>
    </row>
    <row r="61" spans="1:20">
      <c r="A61" s="4">
        <v>44241</v>
      </c>
      <c r="B61">
        <v>2021</v>
      </c>
      <c r="C61">
        <v>2</v>
      </c>
      <c r="D61" s="5" t="s">
        <v>35</v>
      </c>
      <c r="E61" s="5" t="s">
        <v>76</v>
      </c>
      <c r="F61" s="5" t="s">
        <v>77</v>
      </c>
      <c r="G61" s="5" t="s">
        <v>78</v>
      </c>
      <c r="H61" s="5" t="s">
        <v>52</v>
      </c>
      <c r="I61" s="5" t="s">
        <v>53</v>
      </c>
      <c r="J61" s="5" t="s">
        <v>41</v>
      </c>
      <c r="K61">
        <v>38</v>
      </c>
      <c r="L61">
        <v>920230</v>
      </c>
      <c r="M61" s="26">
        <v>34968740</v>
      </c>
      <c r="N61">
        <v>49469</v>
      </c>
      <c r="O61" s="26">
        <v>3886181.38</v>
      </c>
      <c r="P61" s="5" t="s">
        <v>42</v>
      </c>
      <c r="Q61" s="5" t="s">
        <v>43</v>
      </c>
      <c r="R61">
        <v>4.8</v>
      </c>
      <c r="S61">
        <v>20</v>
      </c>
      <c r="T61">
        <f t="shared" si="0"/>
        <v>1</v>
      </c>
    </row>
    <row r="62" spans="1:20">
      <c r="A62" s="4">
        <v>44237</v>
      </c>
      <c r="B62">
        <v>2021</v>
      </c>
      <c r="C62">
        <v>2</v>
      </c>
      <c r="D62" s="5" t="s">
        <v>44</v>
      </c>
      <c r="E62" s="5" t="s">
        <v>45</v>
      </c>
      <c r="F62" s="5" t="s">
        <v>46</v>
      </c>
      <c r="G62" s="5" t="s">
        <v>47</v>
      </c>
      <c r="H62" s="5" t="s">
        <v>48</v>
      </c>
      <c r="I62" s="5" t="s">
        <v>40</v>
      </c>
      <c r="J62" s="5" t="s">
        <v>49</v>
      </c>
      <c r="K62">
        <v>52</v>
      </c>
      <c r="L62">
        <v>436228</v>
      </c>
      <c r="M62" s="26">
        <v>22683856</v>
      </c>
      <c r="N62">
        <v>46966</v>
      </c>
      <c r="O62" s="26">
        <v>3569539.53</v>
      </c>
      <c r="P62" s="5" t="s">
        <v>50</v>
      </c>
      <c r="Q62" s="5" t="s">
        <v>43</v>
      </c>
      <c r="R62">
        <v>4.5999999999999996</v>
      </c>
      <c r="S62">
        <v>6</v>
      </c>
      <c r="T62">
        <f t="shared" si="0"/>
        <v>0</v>
      </c>
    </row>
    <row r="63" spans="1:20">
      <c r="A63" s="4">
        <v>44247</v>
      </c>
      <c r="B63">
        <v>2021</v>
      </c>
      <c r="C63">
        <v>2</v>
      </c>
      <c r="D63" s="5" t="s">
        <v>66</v>
      </c>
      <c r="E63" s="5" t="s">
        <v>67</v>
      </c>
      <c r="F63" s="5" t="s">
        <v>68</v>
      </c>
      <c r="G63" s="5" t="s">
        <v>69</v>
      </c>
      <c r="H63" s="5" t="s">
        <v>63</v>
      </c>
      <c r="I63" s="5" t="s">
        <v>64</v>
      </c>
      <c r="J63" s="5" t="s">
        <v>41</v>
      </c>
      <c r="K63">
        <v>59</v>
      </c>
      <c r="L63">
        <v>741675</v>
      </c>
      <c r="M63" s="26">
        <v>43758825</v>
      </c>
      <c r="N63">
        <v>9811</v>
      </c>
      <c r="O63" s="26">
        <v>6354922.1399999997</v>
      </c>
      <c r="P63" s="5" t="s">
        <v>50</v>
      </c>
      <c r="Q63" s="5" t="s">
        <v>43</v>
      </c>
      <c r="R63">
        <v>4.9000000000000004</v>
      </c>
      <c r="S63">
        <v>15</v>
      </c>
      <c r="T63">
        <f t="shared" si="0"/>
        <v>0</v>
      </c>
    </row>
    <row r="64" spans="1:20">
      <c r="A64" s="4">
        <v>44242</v>
      </c>
      <c r="B64">
        <v>2021</v>
      </c>
      <c r="C64">
        <v>2</v>
      </c>
      <c r="D64" s="5" t="s">
        <v>44</v>
      </c>
      <c r="E64" s="5" t="s">
        <v>82</v>
      </c>
      <c r="F64" s="5" t="s">
        <v>83</v>
      </c>
      <c r="G64" s="5" t="s">
        <v>84</v>
      </c>
      <c r="H64" s="5" t="s">
        <v>86</v>
      </c>
      <c r="I64" s="5" t="s">
        <v>40</v>
      </c>
      <c r="J64" s="5" t="s">
        <v>41</v>
      </c>
      <c r="K64">
        <v>34</v>
      </c>
      <c r="L64">
        <v>624589</v>
      </c>
      <c r="M64" s="26">
        <v>21236026</v>
      </c>
      <c r="N64">
        <v>21996</v>
      </c>
      <c r="O64" s="26">
        <v>2522063.63</v>
      </c>
      <c r="P64" s="5" t="s">
        <v>50</v>
      </c>
      <c r="Q64" s="5" t="s">
        <v>43</v>
      </c>
      <c r="R64">
        <v>4.3</v>
      </c>
      <c r="S64">
        <v>20</v>
      </c>
      <c r="T64">
        <f t="shared" si="0"/>
        <v>0</v>
      </c>
    </row>
    <row r="65" spans="1:20">
      <c r="A65" s="4">
        <v>44233</v>
      </c>
      <c r="B65">
        <v>2021</v>
      </c>
      <c r="C65">
        <v>2</v>
      </c>
      <c r="D65" s="5" t="s">
        <v>66</v>
      </c>
      <c r="E65" s="5" t="s">
        <v>67</v>
      </c>
      <c r="F65" s="5" t="s">
        <v>68</v>
      </c>
      <c r="G65" s="5" t="s">
        <v>69</v>
      </c>
      <c r="H65" s="5" t="s">
        <v>73</v>
      </c>
      <c r="I65" s="5" t="s">
        <v>40</v>
      </c>
      <c r="J65" s="5" t="s">
        <v>49</v>
      </c>
      <c r="K65">
        <v>27</v>
      </c>
      <c r="L65">
        <v>694390</v>
      </c>
      <c r="M65" s="26">
        <v>18748530</v>
      </c>
      <c r="N65">
        <v>48046</v>
      </c>
      <c r="O65" s="26">
        <v>2163555.65</v>
      </c>
      <c r="P65" s="5" t="s">
        <v>50</v>
      </c>
      <c r="Q65" s="5" t="s">
        <v>51</v>
      </c>
      <c r="R65">
        <v>3.6</v>
      </c>
      <c r="S65">
        <v>10</v>
      </c>
      <c r="T65">
        <f t="shared" si="0"/>
        <v>0</v>
      </c>
    </row>
    <row r="66" spans="1:20">
      <c r="A66" s="4">
        <v>44236</v>
      </c>
      <c r="B66">
        <v>2021</v>
      </c>
      <c r="C66">
        <v>2</v>
      </c>
      <c r="D66" s="5" t="s">
        <v>44</v>
      </c>
      <c r="E66" s="5" t="s">
        <v>82</v>
      </c>
      <c r="F66" s="5" t="s">
        <v>83</v>
      </c>
      <c r="G66" s="5" t="s">
        <v>84</v>
      </c>
      <c r="H66" s="5" t="s">
        <v>85</v>
      </c>
      <c r="I66" s="5" t="s">
        <v>58</v>
      </c>
      <c r="J66" s="5" t="s">
        <v>49</v>
      </c>
      <c r="K66">
        <v>38</v>
      </c>
      <c r="L66">
        <v>963612</v>
      </c>
      <c r="M66" s="26">
        <v>36617256</v>
      </c>
      <c r="N66">
        <v>20547</v>
      </c>
      <c r="O66" s="26">
        <v>5524885.6699999999</v>
      </c>
      <c r="P66" s="5" t="s">
        <v>50</v>
      </c>
      <c r="Q66" s="5" t="s">
        <v>75</v>
      </c>
      <c r="R66">
        <v>4.5</v>
      </c>
      <c r="S66">
        <v>18</v>
      </c>
      <c r="T66">
        <f t="shared" ref="T66:T129" si="1">IF(AND(OR($B66=Sel_Year,Sel_Year="All"),OR($C66=Sel_Month,Sel_Month="All"),OR($D66=Sel_Region,Sel_Region="All"),OR($E66=Sel_State,Sel_State="All"),OR($F66=Sel_City,Sel_City="All"),OR($G66=Sel_Dealer,Sel_Dealer="All"),OR($H66=Sel_Model,Sel_Model="All"),OR($I66=Sel_Segment,Sel_Segment="All"),OR($J66=Sel_Fuel,Sel_Fuel="All"),OR($P66=Sel_CustType,Sel_CustType="All"),OR($Q66=Sel_Payment,Sel_Payment="All")),1,0)</f>
        <v>0</v>
      </c>
    </row>
    <row r="67" spans="1:20">
      <c r="A67" s="4">
        <v>44248</v>
      </c>
      <c r="B67">
        <v>2021</v>
      </c>
      <c r="C67">
        <v>2</v>
      </c>
      <c r="D67" s="5" t="s">
        <v>54</v>
      </c>
      <c r="E67" s="5" t="s">
        <v>70</v>
      </c>
      <c r="F67" s="5" t="s">
        <v>71</v>
      </c>
      <c r="G67" s="5" t="s">
        <v>72</v>
      </c>
      <c r="H67" s="5" t="s">
        <v>48</v>
      </c>
      <c r="I67" s="5" t="s">
        <v>40</v>
      </c>
      <c r="J67" s="5" t="s">
        <v>49</v>
      </c>
      <c r="K67">
        <v>37</v>
      </c>
      <c r="L67">
        <v>456546</v>
      </c>
      <c r="M67" s="26">
        <v>16892202</v>
      </c>
      <c r="N67">
        <v>8259</v>
      </c>
      <c r="O67" s="26">
        <v>1579155.49</v>
      </c>
      <c r="P67" s="5" t="s">
        <v>42</v>
      </c>
      <c r="Q67" s="5" t="s">
        <v>43</v>
      </c>
      <c r="R67">
        <v>4.4000000000000004</v>
      </c>
      <c r="S67">
        <v>9</v>
      </c>
      <c r="T67">
        <f t="shared" si="1"/>
        <v>1</v>
      </c>
    </row>
    <row r="68" spans="1:20">
      <c r="A68" s="4">
        <v>44255</v>
      </c>
      <c r="B68">
        <v>2021</v>
      </c>
      <c r="C68">
        <v>2</v>
      </c>
      <c r="D68" s="5" t="s">
        <v>66</v>
      </c>
      <c r="E68" s="5" t="s">
        <v>67</v>
      </c>
      <c r="F68" s="5" t="s">
        <v>68</v>
      </c>
      <c r="G68" s="5" t="s">
        <v>69</v>
      </c>
      <c r="H68" s="5" t="s">
        <v>57</v>
      </c>
      <c r="I68" s="5" t="s">
        <v>58</v>
      </c>
      <c r="J68" s="5" t="s">
        <v>59</v>
      </c>
      <c r="K68">
        <v>30</v>
      </c>
      <c r="L68">
        <v>1381295</v>
      </c>
      <c r="M68" s="26">
        <v>41438850</v>
      </c>
      <c r="N68">
        <v>36694</v>
      </c>
      <c r="O68" s="26">
        <v>5933272.9699999997</v>
      </c>
      <c r="P68" s="5" t="s">
        <v>42</v>
      </c>
      <c r="Q68" s="5" t="s">
        <v>51</v>
      </c>
      <c r="R68">
        <v>3.8</v>
      </c>
      <c r="S68">
        <v>21</v>
      </c>
      <c r="T68">
        <f t="shared" si="1"/>
        <v>1</v>
      </c>
    </row>
    <row r="69" spans="1:20">
      <c r="A69" s="4">
        <v>44241</v>
      </c>
      <c r="B69">
        <v>2021</v>
      </c>
      <c r="C69">
        <v>2</v>
      </c>
      <c r="D69" s="5" t="s">
        <v>35</v>
      </c>
      <c r="E69" s="5" t="s">
        <v>76</v>
      </c>
      <c r="F69" s="5" t="s">
        <v>77</v>
      </c>
      <c r="G69" s="5" t="s">
        <v>78</v>
      </c>
      <c r="H69" s="5" t="s">
        <v>80</v>
      </c>
      <c r="I69" s="5" t="s">
        <v>81</v>
      </c>
      <c r="J69" s="5" t="s">
        <v>41</v>
      </c>
      <c r="K69">
        <v>6</v>
      </c>
      <c r="L69">
        <v>575821</v>
      </c>
      <c r="M69" s="26">
        <v>3454926</v>
      </c>
      <c r="N69">
        <v>45793</v>
      </c>
      <c r="O69" s="26">
        <v>387669.9</v>
      </c>
      <c r="P69" s="5" t="s">
        <v>50</v>
      </c>
      <c r="Q69" s="5" t="s">
        <v>43</v>
      </c>
      <c r="R69">
        <v>3.8</v>
      </c>
      <c r="S69">
        <v>7</v>
      </c>
      <c r="T69">
        <f t="shared" si="1"/>
        <v>0</v>
      </c>
    </row>
    <row r="70" spans="1:20">
      <c r="A70" s="4">
        <v>44242</v>
      </c>
      <c r="B70">
        <v>2021</v>
      </c>
      <c r="C70">
        <v>2</v>
      </c>
      <c r="D70" s="5" t="s">
        <v>35</v>
      </c>
      <c r="E70" s="5" t="s">
        <v>60</v>
      </c>
      <c r="F70" s="5" t="s">
        <v>61</v>
      </c>
      <c r="G70" s="5" t="s">
        <v>62</v>
      </c>
      <c r="H70" s="5" t="s">
        <v>39</v>
      </c>
      <c r="I70" s="5" t="s">
        <v>40</v>
      </c>
      <c r="J70" s="5" t="s">
        <v>41</v>
      </c>
      <c r="K70">
        <v>51</v>
      </c>
      <c r="L70">
        <v>559711</v>
      </c>
      <c r="M70" s="26">
        <v>28545261</v>
      </c>
      <c r="N70">
        <v>44731</v>
      </c>
      <c r="O70" s="26">
        <v>4442729.0599999996</v>
      </c>
      <c r="P70" s="5" t="s">
        <v>50</v>
      </c>
      <c r="Q70" s="5" t="s">
        <v>75</v>
      </c>
      <c r="R70">
        <v>4.7</v>
      </c>
      <c r="S70">
        <v>16</v>
      </c>
      <c r="T70">
        <f t="shared" si="1"/>
        <v>0</v>
      </c>
    </row>
    <row r="71" spans="1:20">
      <c r="A71" s="4">
        <v>44234</v>
      </c>
      <c r="B71">
        <v>2021</v>
      </c>
      <c r="C71">
        <v>2</v>
      </c>
      <c r="D71" s="5" t="s">
        <v>54</v>
      </c>
      <c r="E71" s="5" t="s">
        <v>70</v>
      </c>
      <c r="F71" s="5" t="s">
        <v>71</v>
      </c>
      <c r="G71" s="5" t="s">
        <v>72</v>
      </c>
      <c r="H71" s="5" t="s">
        <v>63</v>
      </c>
      <c r="I71" s="5" t="s">
        <v>64</v>
      </c>
      <c r="J71" s="5" t="s">
        <v>41</v>
      </c>
      <c r="K71">
        <v>53</v>
      </c>
      <c r="L71">
        <v>756263</v>
      </c>
      <c r="M71" s="26">
        <v>40081939</v>
      </c>
      <c r="N71">
        <v>20760</v>
      </c>
      <c r="O71" s="26">
        <v>3577992.7</v>
      </c>
      <c r="P71" s="5" t="s">
        <v>42</v>
      </c>
      <c r="Q71" s="5" t="s">
        <v>75</v>
      </c>
      <c r="R71">
        <v>3.7</v>
      </c>
      <c r="S71">
        <v>14</v>
      </c>
      <c r="T71">
        <f t="shared" si="1"/>
        <v>1</v>
      </c>
    </row>
    <row r="72" spans="1:20">
      <c r="A72" s="4">
        <v>44247</v>
      </c>
      <c r="B72">
        <v>2021</v>
      </c>
      <c r="C72">
        <v>2</v>
      </c>
      <c r="D72" s="5" t="s">
        <v>54</v>
      </c>
      <c r="E72" s="5" t="s">
        <v>70</v>
      </c>
      <c r="F72" s="5" t="s">
        <v>71</v>
      </c>
      <c r="G72" s="5" t="s">
        <v>72</v>
      </c>
      <c r="H72" s="5" t="s">
        <v>48</v>
      </c>
      <c r="I72" s="5" t="s">
        <v>40</v>
      </c>
      <c r="J72" s="5" t="s">
        <v>49</v>
      </c>
      <c r="K72">
        <v>11</v>
      </c>
      <c r="L72">
        <v>432239</v>
      </c>
      <c r="M72" s="26">
        <v>4754629</v>
      </c>
      <c r="N72">
        <v>7947</v>
      </c>
      <c r="O72" s="26">
        <v>401421.17</v>
      </c>
      <c r="P72" s="5" t="s">
        <v>50</v>
      </c>
      <c r="Q72" s="5" t="s">
        <v>75</v>
      </c>
      <c r="R72">
        <v>4.5</v>
      </c>
      <c r="S72">
        <v>17</v>
      </c>
      <c r="T72">
        <f t="shared" si="1"/>
        <v>0</v>
      </c>
    </row>
    <row r="73" spans="1:20">
      <c r="A73" s="4">
        <v>44250</v>
      </c>
      <c r="B73">
        <v>2021</v>
      </c>
      <c r="C73">
        <v>2</v>
      </c>
      <c r="D73" s="5" t="s">
        <v>35</v>
      </c>
      <c r="E73" s="5" t="s">
        <v>60</v>
      </c>
      <c r="F73" s="5" t="s">
        <v>61</v>
      </c>
      <c r="G73" s="5" t="s">
        <v>62</v>
      </c>
      <c r="H73" s="5" t="s">
        <v>52</v>
      </c>
      <c r="I73" s="5" t="s">
        <v>53</v>
      </c>
      <c r="J73" s="5" t="s">
        <v>41</v>
      </c>
      <c r="K73">
        <v>47</v>
      </c>
      <c r="L73">
        <v>974910</v>
      </c>
      <c r="M73" s="26">
        <v>45820770</v>
      </c>
      <c r="N73">
        <v>22994</v>
      </c>
      <c r="O73" s="26">
        <v>4098455.65</v>
      </c>
      <c r="P73" s="5" t="s">
        <v>50</v>
      </c>
      <c r="Q73" s="5" t="s">
        <v>75</v>
      </c>
      <c r="R73">
        <v>3.8</v>
      </c>
      <c r="S73">
        <v>9</v>
      </c>
      <c r="T73">
        <f t="shared" si="1"/>
        <v>0</v>
      </c>
    </row>
    <row r="74" spans="1:20">
      <c r="A74" s="4">
        <v>44235</v>
      </c>
      <c r="B74">
        <v>2021</v>
      </c>
      <c r="C74">
        <v>2</v>
      </c>
      <c r="D74" s="5" t="s">
        <v>35</v>
      </c>
      <c r="E74" s="5" t="s">
        <v>60</v>
      </c>
      <c r="F74" s="5" t="s">
        <v>61</v>
      </c>
      <c r="G74" s="5" t="s">
        <v>62</v>
      </c>
      <c r="H74" s="5" t="s">
        <v>48</v>
      </c>
      <c r="I74" s="5" t="s">
        <v>40</v>
      </c>
      <c r="J74" s="5" t="s">
        <v>49</v>
      </c>
      <c r="K74">
        <v>29</v>
      </c>
      <c r="L74">
        <v>469192</v>
      </c>
      <c r="M74" s="26">
        <v>13606568</v>
      </c>
      <c r="N74">
        <v>16049</v>
      </c>
      <c r="O74" s="26">
        <v>2148137.71</v>
      </c>
      <c r="P74" s="5" t="s">
        <v>42</v>
      </c>
      <c r="Q74" s="5" t="s">
        <v>43</v>
      </c>
      <c r="R74">
        <v>4.3</v>
      </c>
      <c r="S74">
        <v>14</v>
      </c>
      <c r="T74">
        <f t="shared" si="1"/>
        <v>1</v>
      </c>
    </row>
    <row r="75" spans="1:20">
      <c r="A75" s="4">
        <v>44231</v>
      </c>
      <c r="B75">
        <v>2021</v>
      </c>
      <c r="C75">
        <v>2</v>
      </c>
      <c r="D75" s="5" t="s">
        <v>35</v>
      </c>
      <c r="E75" s="5" t="s">
        <v>76</v>
      </c>
      <c r="F75" s="5" t="s">
        <v>77</v>
      </c>
      <c r="G75" s="5" t="s">
        <v>78</v>
      </c>
      <c r="H75" s="5" t="s">
        <v>48</v>
      </c>
      <c r="I75" s="5" t="s">
        <v>40</v>
      </c>
      <c r="J75" s="5" t="s">
        <v>49</v>
      </c>
      <c r="K75">
        <v>50</v>
      </c>
      <c r="L75">
        <v>436900</v>
      </c>
      <c r="M75" s="26">
        <v>21845000</v>
      </c>
      <c r="N75">
        <v>26634</v>
      </c>
      <c r="O75" s="26">
        <v>2614991.4700000002</v>
      </c>
      <c r="P75" s="5" t="s">
        <v>50</v>
      </c>
      <c r="Q75" s="5" t="s">
        <v>75</v>
      </c>
      <c r="R75">
        <v>3.6</v>
      </c>
      <c r="S75">
        <v>2</v>
      </c>
      <c r="T75">
        <f t="shared" si="1"/>
        <v>0</v>
      </c>
    </row>
    <row r="76" spans="1:20">
      <c r="A76" s="4">
        <v>44234</v>
      </c>
      <c r="B76">
        <v>2021</v>
      </c>
      <c r="C76">
        <v>2</v>
      </c>
      <c r="D76" s="5" t="s">
        <v>35</v>
      </c>
      <c r="E76" s="5" t="s">
        <v>60</v>
      </c>
      <c r="F76" s="5" t="s">
        <v>61</v>
      </c>
      <c r="G76" s="5" t="s">
        <v>62</v>
      </c>
      <c r="H76" s="5" t="s">
        <v>52</v>
      </c>
      <c r="I76" s="5" t="s">
        <v>53</v>
      </c>
      <c r="J76" s="5" t="s">
        <v>41</v>
      </c>
      <c r="K76">
        <v>29</v>
      </c>
      <c r="L76">
        <v>975568</v>
      </c>
      <c r="M76" s="26">
        <v>28291472</v>
      </c>
      <c r="N76">
        <v>43027</v>
      </c>
      <c r="O76" s="26">
        <v>2913377.6</v>
      </c>
      <c r="P76" s="5" t="s">
        <v>42</v>
      </c>
      <c r="Q76" s="5" t="s">
        <v>75</v>
      </c>
      <c r="R76">
        <v>4.8</v>
      </c>
      <c r="S76">
        <v>6</v>
      </c>
      <c r="T76">
        <f t="shared" si="1"/>
        <v>1</v>
      </c>
    </row>
    <row r="77" spans="1:20">
      <c r="A77" s="4">
        <v>44246</v>
      </c>
      <c r="B77">
        <v>2021</v>
      </c>
      <c r="C77">
        <v>2</v>
      </c>
      <c r="D77" s="5" t="s">
        <v>54</v>
      </c>
      <c r="E77" s="5" t="s">
        <v>55</v>
      </c>
      <c r="F77" s="5" t="s">
        <v>55</v>
      </c>
      <c r="G77" s="5" t="s">
        <v>56</v>
      </c>
      <c r="H77" s="5" t="s">
        <v>74</v>
      </c>
      <c r="I77" s="5" t="s">
        <v>40</v>
      </c>
      <c r="J77" s="5" t="s">
        <v>49</v>
      </c>
      <c r="K77">
        <v>29</v>
      </c>
      <c r="L77">
        <v>629514</v>
      </c>
      <c r="M77" s="26">
        <v>18255906</v>
      </c>
      <c r="N77">
        <v>48569</v>
      </c>
      <c r="O77" s="26">
        <v>2252889.09</v>
      </c>
      <c r="P77" s="5" t="s">
        <v>42</v>
      </c>
      <c r="Q77" s="5" t="s">
        <v>43</v>
      </c>
      <c r="R77">
        <v>3.7</v>
      </c>
      <c r="S77">
        <v>16</v>
      </c>
      <c r="T77">
        <f t="shared" si="1"/>
        <v>1</v>
      </c>
    </row>
    <row r="78" spans="1:20">
      <c r="A78" s="4">
        <v>44232</v>
      </c>
      <c r="B78">
        <v>2021</v>
      </c>
      <c r="C78">
        <v>2</v>
      </c>
      <c r="D78" s="5" t="s">
        <v>44</v>
      </c>
      <c r="E78" s="5" t="s">
        <v>82</v>
      </c>
      <c r="F78" s="5" t="s">
        <v>83</v>
      </c>
      <c r="G78" s="5" t="s">
        <v>84</v>
      </c>
      <c r="H78" s="5" t="s">
        <v>74</v>
      </c>
      <c r="I78" s="5" t="s">
        <v>40</v>
      </c>
      <c r="J78" s="5" t="s">
        <v>49</v>
      </c>
      <c r="K78">
        <v>7</v>
      </c>
      <c r="L78">
        <v>655191</v>
      </c>
      <c r="M78" s="26">
        <v>4586337</v>
      </c>
      <c r="N78">
        <v>8987</v>
      </c>
      <c r="O78" s="26">
        <v>559497.84</v>
      </c>
      <c r="P78" s="5" t="s">
        <v>50</v>
      </c>
      <c r="Q78" s="5" t="s">
        <v>43</v>
      </c>
      <c r="R78">
        <v>4.7</v>
      </c>
      <c r="S78">
        <v>15</v>
      </c>
      <c r="T78">
        <f t="shared" si="1"/>
        <v>0</v>
      </c>
    </row>
    <row r="79" spans="1:20">
      <c r="A79" s="4">
        <v>44236</v>
      </c>
      <c r="B79">
        <v>2021</v>
      </c>
      <c r="C79">
        <v>2</v>
      </c>
      <c r="D79" s="5" t="s">
        <v>44</v>
      </c>
      <c r="E79" s="5" t="s">
        <v>45</v>
      </c>
      <c r="F79" s="5" t="s">
        <v>46</v>
      </c>
      <c r="G79" s="5" t="s">
        <v>47</v>
      </c>
      <c r="H79" s="5" t="s">
        <v>85</v>
      </c>
      <c r="I79" s="5" t="s">
        <v>58</v>
      </c>
      <c r="J79" s="5" t="s">
        <v>49</v>
      </c>
      <c r="K79">
        <v>6</v>
      </c>
      <c r="L79">
        <v>982745</v>
      </c>
      <c r="M79" s="26">
        <v>5896470</v>
      </c>
      <c r="N79">
        <v>46780</v>
      </c>
      <c r="O79" s="26">
        <v>533187.93999999994</v>
      </c>
      <c r="P79" s="5" t="s">
        <v>50</v>
      </c>
      <c r="Q79" s="5" t="s">
        <v>51</v>
      </c>
      <c r="R79">
        <v>4.2</v>
      </c>
      <c r="S79">
        <v>12</v>
      </c>
      <c r="T79">
        <f t="shared" si="1"/>
        <v>0</v>
      </c>
    </row>
    <row r="80" spans="1:20">
      <c r="A80" s="4">
        <v>44246</v>
      </c>
      <c r="B80">
        <v>2021</v>
      </c>
      <c r="C80">
        <v>2</v>
      </c>
      <c r="D80" s="5" t="s">
        <v>44</v>
      </c>
      <c r="E80" s="5" t="s">
        <v>82</v>
      </c>
      <c r="F80" s="5" t="s">
        <v>83</v>
      </c>
      <c r="G80" s="5" t="s">
        <v>84</v>
      </c>
      <c r="H80" s="5" t="s">
        <v>63</v>
      </c>
      <c r="I80" s="5" t="s">
        <v>64</v>
      </c>
      <c r="J80" s="5" t="s">
        <v>41</v>
      </c>
      <c r="K80">
        <v>46</v>
      </c>
      <c r="L80">
        <v>771655</v>
      </c>
      <c r="M80" s="26">
        <v>35496130</v>
      </c>
      <c r="N80">
        <v>20931</v>
      </c>
      <c r="O80" s="26">
        <v>3536623.85</v>
      </c>
      <c r="P80" s="5" t="s">
        <v>50</v>
      </c>
      <c r="Q80" s="5" t="s">
        <v>43</v>
      </c>
      <c r="R80">
        <v>4.0999999999999996</v>
      </c>
      <c r="S80">
        <v>19</v>
      </c>
      <c r="T80">
        <f t="shared" si="1"/>
        <v>0</v>
      </c>
    </row>
    <row r="81" spans="1:20">
      <c r="A81" s="4">
        <v>44245</v>
      </c>
      <c r="B81">
        <v>2021</v>
      </c>
      <c r="C81">
        <v>2</v>
      </c>
      <c r="D81" s="5" t="s">
        <v>54</v>
      </c>
      <c r="E81" s="5" t="s">
        <v>55</v>
      </c>
      <c r="F81" s="5" t="s">
        <v>55</v>
      </c>
      <c r="G81" s="5" t="s">
        <v>56</v>
      </c>
      <c r="H81" s="5" t="s">
        <v>52</v>
      </c>
      <c r="I81" s="5" t="s">
        <v>53</v>
      </c>
      <c r="J81" s="5" t="s">
        <v>41</v>
      </c>
      <c r="K81">
        <v>40</v>
      </c>
      <c r="L81">
        <v>947043</v>
      </c>
      <c r="M81" s="26">
        <v>37881720</v>
      </c>
      <c r="N81">
        <v>40264</v>
      </c>
      <c r="O81" s="26">
        <v>3634730.85</v>
      </c>
      <c r="P81" s="5" t="s">
        <v>42</v>
      </c>
      <c r="Q81" s="5" t="s">
        <v>51</v>
      </c>
      <c r="R81">
        <v>3.6</v>
      </c>
      <c r="S81">
        <v>10</v>
      </c>
      <c r="T81">
        <f t="shared" si="1"/>
        <v>1</v>
      </c>
    </row>
    <row r="82" spans="1:20">
      <c r="A82" s="4">
        <v>44234</v>
      </c>
      <c r="B82">
        <v>2021</v>
      </c>
      <c r="C82">
        <v>2</v>
      </c>
      <c r="D82" s="5" t="s">
        <v>44</v>
      </c>
      <c r="E82" s="5" t="s">
        <v>45</v>
      </c>
      <c r="F82" s="5" t="s">
        <v>46</v>
      </c>
      <c r="G82" s="5" t="s">
        <v>47</v>
      </c>
      <c r="H82" s="5" t="s">
        <v>63</v>
      </c>
      <c r="I82" s="5" t="s">
        <v>64</v>
      </c>
      <c r="J82" s="5" t="s">
        <v>41</v>
      </c>
      <c r="K82">
        <v>16</v>
      </c>
      <c r="L82">
        <v>736328</v>
      </c>
      <c r="M82" s="26">
        <v>11781248</v>
      </c>
      <c r="N82">
        <v>14896</v>
      </c>
      <c r="O82" s="26">
        <v>997833.17</v>
      </c>
      <c r="P82" s="5" t="s">
        <v>42</v>
      </c>
      <c r="Q82" s="5" t="s">
        <v>75</v>
      </c>
      <c r="R82">
        <v>3.6</v>
      </c>
      <c r="S82">
        <v>4</v>
      </c>
      <c r="T82">
        <f t="shared" si="1"/>
        <v>1</v>
      </c>
    </row>
    <row r="83" spans="1:20">
      <c r="A83" s="4">
        <v>44245</v>
      </c>
      <c r="B83">
        <v>2021</v>
      </c>
      <c r="C83">
        <v>2</v>
      </c>
      <c r="D83" s="5" t="s">
        <v>35</v>
      </c>
      <c r="E83" s="5" t="s">
        <v>60</v>
      </c>
      <c r="F83" s="5" t="s">
        <v>61</v>
      </c>
      <c r="G83" s="5" t="s">
        <v>62</v>
      </c>
      <c r="H83" s="5" t="s">
        <v>57</v>
      </c>
      <c r="I83" s="5" t="s">
        <v>58</v>
      </c>
      <c r="J83" s="5" t="s">
        <v>59</v>
      </c>
      <c r="K83">
        <v>28</v>
      </c>
      <c r="L83">
        <v>1376506</v>
      </c>
      <c r="M83" s="26">
        <v>38542168</v>
      </c>
      <c r="N83">
        <v>25492</v>
      </c>
      <c r="O83" s="26">
        <v>3207072.02</v>
      </c>
      <c r="P83" s="5" t="s">
        <v>50</v>
      </c>
      <c r="Q83" s="5" t="s">
        <v>43</v>
      </c>
      <c r="R83">
        <v>4.5</v>
      </c>
      <c r="S83">
        <v>14</v>
      </c>
      <c r="T83">
        <f t="shared" si="1"/>
        <v>0</v>
      </c>
    </row>
    <row r="84" spans="1:20">
      <c r="A84" s="4">
        <v>44253</v>
      </c>
      <c r="B84">
        <v>2021</v>
      </c>
      <c r="C84">
        <v>2</v>
      </c>
      <c r="D84" s="5" t="s">
        <v>35</v>
      </c>
      <c r="E84" s="5" t="s">
        <v>60</v>
      </c>
      <c r="F84" s="5" t="s">
        <v>61</v>
      </c>
      <c r="G84" s="5" t="s">
        <v>62</v>
      </c>
      <c r="H84" s="5" t="s">
        <v>74</v>
      </c>
      <c r="I84" s="5" t="s">
        <v>40</v>
      </c>
      <c r="J84" s="5" t="s">
        <v>49</v>
      </c>
      <c r="K84">
        <v>52</v>
      </c>
      <c r="L84">
        <v>654374</v>
      </c>
      <c r="M84" s="26">
        <v>34027448</v>
      </c>
      <c r="N84">
        <v>22694</v>
      </c>
      <c r="O84" s="26">
        <v>2968218.63</v>
      </c>
      <c r="P84" s="5" t="s">
        <v>42</v>
      </c>
      <c r="Q84" s="5" t="s">
        <v>75</v>
      </c>
      <c r="R84">
        <v>4</v>
      </c>
      <c r="S84">
        <v>14</v>
      </c>
      <c r="T84">
        <f t="shared" si="1"/>
        <v>1</v>
      </c>
    </row>
    <row r="85" spans="1:20">
      <c r="A85" s="4">
        <v>44240</v>
      </c>
      <c r="B85">
        <v>2021</v>
      </c>
      <c r="C85">
        <v>2</v>
      </c>
      <c r="D85" s="5" t="s">
        <v>54</v>
      </c>
      <c r="E85" s="5" t="s">
        <v>55</v>
      </c>
      <c r="F85" s="5" t="s">
        <v>55</v>
      </c>
      <c r="G85" s="5" t="s">
        <v>56</v>
      </c>
      <c r="H85" s="5" t="s">
        <v>65</v>
      </c>
      <c r="I85" s="5" t="s">
        <v>53</v>
      </c>
      <c r="J85" s="5" t="s">
        <v>49</v>
      </c>
      <c r="K85">
        <v>21</v>
      </c>
      <c r="L85">
        <v>1240526</v>
      </c>
      <c r="M85" s="26">
        <v>26051046</v>
      </c>
      <c r="N85">
        <v>13520</v>
      </c>
      <c r="O85" s="26">
        <v>2626570.73</v>
      </c>
      <c r="P85" s="5" t="s">
        <v>50</v>
      </c>
      <c r="Q85" s="5" t="s">
        <v>51</v>
      </c>
      <c r="R85">
        <v>4</v>
      </c>
      <c r="S85">
        <v>15</v>
      </c>
      <c r="T85">
        <f t="shared" si="1"/>
        <v>0</v>
      </c>
    </row>
    <row r="86" spans="1:20">
      <c r="A86" s="4">
        <v>44244</v>
      </c>
      <c r="B86">
        <v>2021</v>
      </c>
      <c r="C86">
        <v>2</v>
      </c>
      <c r="D86" s="5" t="s">
        <v>35</v>
      </c>
      <c r="E86" s="5" t="s">
        <v>76</v>
      </c>
      <c r="F86" s="5" t="s">
        <v>77</v>
      </c>
      <c r="G86" s="5" t="s">
        <v>78</v>
      </c>
      <c r="H86" s="5" t="s">
        <v>57</v>
      </c>
      <c r="I86" s="5" t="s">
        <v>58</v>
      </c>
      <c r="J86" s="5" t="s">
        <v>59</v>
      </c>
      <c r="K86">
        <v>40</v>
      </c>
      <c r="L86">
        <v>1383461</v>
      </c>
      <c r="M86" s="26">
        <v>55338440</v>
      </c>
      <c r="N86">
        <v>26633</v>
      </c>
      <c r="O86" s="26">
        <v>8513429.4900000002</v>
      </c>
      <c r="P86" s="5" t="s">
        <v>42</v>
      </c>
      <c r="Q86" s="5" t="s">
        <v>51</v>
      </c>
      <c r="R86">
        <v>4.2</v>
      </c>
      <c r="S86">
        <v>6</v>
      </c>
      <c r="T86">
        <f t="shared" si="1"/>
        <v>1</v>
      </c>
    </row>
    <row r="87" spans="1:20">
      <c r="A87" s="4">
        <v>44245</v>
      </c>
      <c r="B87">
        <v>2021</v>
      </c>
      <c r="C87">
        <v>2</v>
      </c>
      <c r="D87" s="5" t="s">
        <v>35</v>
      </c>
      <c r="E87" s="5" t="s">
        <v>60</v>
      </c>
      <c r="F87" s="5" t="s">
        <v>61</v>
      </c>
      <c r="G87" s="5" t="s">
        <v>62</v>
      </c>
      <c r="H87" s="5" t="s">
        <v>57</v>
      </c>
      <c r="I87" s="5" t="s">
        <v>58</v>
      </c>
      <c r="J87" s="5" t="s">
        <v>59</v>
      </c>
      <c r="K87">
        <v>40</v>
      </c>
      <c r="L87">
        <v>1417145</v>
      </c>
      <c r="M87" s="26">
        <v>56685800</v>
      </c>
      <c r="N87">
        <v>43100</v>
      </c>
      <c r="O87" s="26">
        <v>7715101.8200000003</v>
      </c>
      <c r="P87" s="5" t="s">
        <v>50</v>
      </c>
      <c r="Q87" s="5" t="s">
        <v>43</v>
      </c>
      <c r="R87">
        <v>4.5999999999999996</v>
      </c>
      <c r="S87">
        <v>8</v>
      </c>
      <c r="T87">
        <f t="shared" si="1"/>
        <v>0</v>
      </c>
    </row>
    <row r="88" spans="1:20">
      <c r="A88" s="4">
        <v>44232</v>
      </c>
      <c r="B88">
        <v>2021</v>
      </c>
      <c r="C88">
        <v>2</v>
      </c>
      <c r="D88" s="5" t="s">
        <v>54</v>
      </c>
      <c r="E88" s="5" t="s">
        <v>70</v>
      </c>
      <c r="F88" s="5" t="s">
        <v>71</v>
      </c>
      <c r="G88" s="5" t="s">
        <v>72</v>
      </c>
      <c r="H88" s="5" t="s">
        <v>79</v>
      </c>
      <c r="I88" s="5" t="s">
        <v>58</v>
      </c>
      <c r="J88" s="5" t="s">
        <v>49</v>
      </c>
      <c r="K88">
        <v>38</v>
      </c>
      <c r="L88">
        <v>891248</v>
      </c>
      <c r="M88" s="26">
        <v>33867424</v>
      </c>
      <c r="N88">
        <v>11381</v>
      </c>
      <c r="O88" s="26">
        <v>3818898.6</v>
      </c>
      <c r="P88" s="5" t="s">
        <v>50</v>
      </c>
      <c r="Q88" s="5" t="s">
        <v>75</v>
      </c>
      <c r="R88">
        <v>4</v>
      </c>
      <c r="S88">
        <v>19</v>
      </c>
      <c r="T88">
        <f t="shared" si="1"/>
        <v>0</v>
      </c>
    </row>
    <row r="89" spans="1:20">
      <c r="A89" s="4">
        <v>44251</v>
      </c>
      <c r="B89">
        <v>2021</v>
      </c>
      <c r="C89">
        <v>2</v>
      </c>
      <c r="D89" s="5" t="s">
        <v>54</v>
      </c>
      <c r="E89" s="5" t="s">
        <v>70</v>
      </c>
      <c r="F89" s="5" t="s">
        <v>71</v>
      </c>
      <c r="G89" s="5" t="s">
        <v>72</v>
      </c>
      <c r="H89" s="5" t="s">
        <v>79</v>
      </c>
      <c r="I89" s="5" t="s">
        <v>58</v>
      </c>
      <c r="J89" s="5" t="s">
        <v>49</v>
      </c>
      <c r="K89">
        <v>24</v>
      </c>
      <c r="L89">
        <v>890892</v>
      </c>
      <c r="M89" s="26">
        <v>21381408</v>
      </c>
      <c r="N89">
        <v>28109</v>
      </c>
      <c r="O89" s="26">
        <v>2176917.08</v>
      </c>
      <c r="P89" s="5" t="s">
        <v>50</v>
      </c>
      <c r="Q89" s="5" t="s">
        <v>51</v>
      </c>
      <c r="R89">
        <v>3.7</v>
      </c>
      <c r="S89">
        <v>12</v>
      </c>
      <c r="T89">
        <f t="shared" si="1"/>
        <v>0</v>
      </c>
    </row>
    <row r="90" spans="1:20">
      <c r="A90" s="4">
        <v>44243</v>
      </c>
      <c r="B90">
        <v>2021</v>
      </c>
      <c r="C90">
        <v>2</v>
      </c>
      <c r="D90" s="5" t="s">
        <v>54</v>
      </c>
      <c r="E90" s="5" t="s">
        <v>70</v>
      </c>
      <c r="F90" s="5" t="s">
        <v>71</v>
      </c>
      <c r="G90" s="5" t="s">
        <v>72</v>
      </c>
      <c r="H90" s="5" t="s">
        <v>52</v>
      </c>
      <c r="I90" s="5" t="s">
        <v>53</v>
      </c>
      <c r="J90" s="5" t="s">
        <v>41</v>
      </c>
      <c r="K90">
        <v>41</v>
      </c>
      <c r="L90">
        <v>924511</v>
      </c>
      <c r="M90" s="26">
        <v>37904951</v>
      </c>
      <c r="N90">
        <v>34610</v>
      </c>
      <c r="O90" s="26">
        <v>6002359.9199999999</v>
      </c>
      <c r="P90" s="5" t="s">
        <v>42</v>
      </c>
      <c r="Q90" s="5" t="s">
        <v>43</v>
      </c>
      <c r="R90">
        <v>4.9000000000000004</v>
      </c>
      <c r="S90">
        <v>14</v>
      </c>
      <c r="T90">
        <f t="shared" si="1"/>
        <v>1</v>
      </c>
    </row>
    <row r="91" spans="1:20">
      <c r="A91" s="4">
        <v>44243</v>
      </c>
      <c r="B91">
        <v>2021</v>
      </c>
      <c r="C91">
        <v>2</v>
      </c>
      <c r="D91" s="5" t="s">
        <v>44</v>
      </c>
      <c r="E91" s="5" t="s">
        <v>45</v>
      </c>
      <c r="F91" s="5" t="s">
        <v>46</v>
      </c>
      <c r="G91" s="5" t="s">
        <v>47</v>
      </c>
      <c r="H91" s="5" t="s">
        <v>39</v>
      </c>
      <c r="I91" s="5" t="s">
        <v>40</v>
      </c>
      <c r="J91" s="5" t="s">
        <v>41</v>
      </c>
      <c r="K91">
        <v>56</v>
      </c>
      <c r="L91">
        <v>553676</v>
      </c>
      <c r="M91" s="26">
        <v>31005856</v>
      </c>
      <c r="N91">
        <v>13819</v>
      </c>
      <c r="O91" s="26">
        <v>2601332.13</v>
      </c>
      <c r="P91" s="5" t="s">
        <v>42</v>
      </c>
      <c r="Q91" s="5" t="s">
        <v>75</v>
      </c>
      <c r="R91">
        <v>4.5999999999999996</v>
      </c>
      <c r="S91">
        <v>12</v>
      </c>
      <c r="T91">
        <f t="shared" si="1"/>
        <v>1</v>
      </c>
    </row>
    <row r="92" spans="1:20">
      <c r="A92" s="4">
        <v>44238</v>
      </c>
      <c r="B92">
        <v>2021</v>
      </c>
      <c r="C92">
        <v>2</v>
      </c>
      <c r="D92" s="5" t="s">
        <v>54</v>
      </c>
      <c r="E92" s="5" t="s">
        <v>70</v>
      </c>
      <c r="F92" s="5" t="s">
        <v>71</v>
      </c>
      <c r="G92" s="5" t="s">
        <v>72</v>
      </c>
      <c r="H92" s="5" t="s">
        <v>80</v>
      </c>
      <c r="I92" s="5" t="s">
        <v>81</v>
      </c>
      <c r="J92" s="5" t="s">
        <v>41</v>
      </c>
      <c r="K92">
        <v>28</v>
      </c>
      <c r="L92">
        <v>546383</v>
      </c>
      <c r="M92" s="26">
        <v>15298724</v>
      </c>
      <c r="N92">
        <v>25144</v>
      </c>
      <c r="O92" s="26">
        <v>1792486.11</v>
      </c>
      <c r="P92" s="5" t="s">
        <v>50</v>
      </c>
      <c r="Q92" s="5" t="s">
        <v>75</v>
      </c>
      <c r="R92">
        <v>3.7</v>
      </c>
      <c r="S92">
        <v>9</v>
      </c>
      <c r="T92">
        <f t="shared" si="1"/>
        <v>0</v>
      </c>
    </row>
    <row r="93" spans="1:20">
      <c r="A93" s="4">
        <v>44247</v>
      </c>
      <c r="B93">
        <v>2021</v>
      </c>
      <c r="C93">
        <v>2</v>
      </c>
      <c r="D93" s="5" t="s">
        <v>35</v>
      </c>
      <c r="E93" s="5" t="s">
        <v>36</v>
      </c>
      <c r="F93" s="5" t="s">
        <v>37</v>
      </c>
      <c r="G93" s="5" t="s">
        <v>38</v>
      </c>
      <c r="H93" s="5" t="s">
        <v>73</v>
      </c>
      <c r="I93" s="5" t="s">
        <v>40</v>
      </c>
      <c r="J93" s="5" t="s">
        <v>49</v>
      </c>
      <c r="K93">
        <v>16</v>
      </c>
      <c r="L93">
        <v>740221</v>
      </c>
      <c r="M93" s="26">
        <v>11843536</v>
      </c>
      <c r="N93">
        <v>31942</v>
      </c>
      <c r="O93" s="26">
        <v>1837354.75</v>
      </c>
      <c r="P93" s="5" t="s">
        <v>50</v>
      </c>
      <c r="Q93" s="5" t="s">
        <v>75</v>
      </c>
      <c r="R93">
        <v>5</v>
      </c>
      <c r="S93">
        <v>10</v>
      </c>
      <c r="T93">
        <f t="shared" si="1"/>
        <v>0</v>
      </c>
    </row>
    <row r="94" spans="1:20">
      <c r="A94" s="4">
        <v>44248</v>
      </c>
      <c r="B94">
        <v>2021</v>
      </c>
      <c r="C94">
        <v>2</v>
      </c>
      <c r="D94" s="5" t="s">
        <v>44</v>
      </c>
      <c r="E94" s="5" t="s">
        <v>45</v>
      </c>
      <c r="F94" s="5" t="s">
        <v>46</v>
      </c>
      <c r="G94" s="5" t="s">
        <v>47</v>
      </c>
      <c r="H94" s="5" t="s">
        <v>85</v>
      </c>
      <c r="I94" s="5" t="s">
        <v>58</v>
      </c>
      <c r="J94" s="5" t="s">
        <v>49</v>
      </c>
      <c r="K94">
        <v>21</v>
      </c>
      <c r="L94">
        <v>954376</v>
      </c>
      <c r="M94" s="26">
        <v>20041896</v>
      </c>
      <c r="N94">
        <v>46427</v>
      </c>
      <c r="O94" s="26">
        <v>2519212.36</v>
      </c>
      <c r="P94" s="5" t="s">
        <v>50</v>
      </c>
      <c r="Q94" s="5" t="s">
        <v>75</v>
      </c>
      <c r="R94">
        <v>4.7</v>
      </c>
      <c r="S94">
        <v>8</v>
      </c>
      <c r="T94">
        <f t="shared" si="1"/>
        <v>0</v>
      </c>
    </row>
    <row r="95" spans="1:20">
      <c r="A95" s="4">
        <v>44255</v>
      </c>
      <c r="B95">
        <v>2021</v>
      </c>
      <c r="C95">
        <v>2</v>
      </c>
      <c r="D95" s="5" t="s">
        <v>35</v>
      </c>
      <c r="E95" s="5" t="s">
        <v>36</v>
      </c>
      <c r="F95" s="5" t="s">
        <v>37</v>
      </c>
      <c r="G95" s="5" t="s">
        <v>38</v>
      </c>
      <c r="H95" s="5" t="s">
        <v>57</v>
      </c>
      <c r="I95" s="5" t="s">
        <v>58</v>
      </c>
      <c r="J95" s="5" t="s">
        <v>59</v>
      </c>
      <c r="K95">
        <v>60</v>
      </c>
      <c r="L95">
        <v>1398317</v>
      </c>
      <c r="M95" s="26">
        <v>83899020</v>
      </c>
      <c r="N95">
        <v>6431</v>
      </c>
      <c r="O95" s="26">
        <v>10674365.91</v>
      </c>
      <c r="P95" s="5" t="s">
        <v>42</v>
      </c>
      <c r="Q95" s="5" t="s">
        <v>51</v>
      </c>
      <c r="R95">
        <v>4.7</v>
      </c>
      <c r="S95">
        <v>9</v>
      </c>
      <c r="T95">
        <f t="shared" si="1"/>
        <v>1</v>
      </c>
    </row>
    <row r="96" spans="1:20">
      <c r="A96" s="4">
        <v>44249</v>
      </c>
      <c r="B96">
        <v>2021</v>
      </c>
      <c r="C96">
        <v>2</v>
      </c>
      <c r="D96" s="5" t="s">
        <v>35</v>
      </c>
      <c r="E96" s="5" t="s">
        <v>76</v>
      </c>
      <c r="F96" s="5" t="s">
        <v>77</v>
      </c>
      <c r="G96" s="5" t="s">
        <v>78</v>
      </c>
      <c r="H96" s="5" t="s">
        <v>39</v>
      </c>
      <c r="I96" s="5" t="s">
        <v>40</v>
      </c>
      <c r="J96" s="5" t="s">
        <v>41</v>
      </c>
      <c r="K96">
        <v>36</v>
      </c>
      <c r="L96">
        <v>606720</v>
      </c>
      <c r="M96" s="26">
        <v>21841920</v>
      </c>
      <c r="N96">
        <v>20415</v>
      </c>
      <c r="O96" s="26">
        <v>2490754.84</v>
      </c>
      <c r="P96" s="5" t="s">
        <v>42</v>
      </c>
      <c r="Q96" s="5" t="s">
        <v>51</v>
      </c>
      <c r="R96">
        <v>4.9000000000000004</v>
      </c>
      <c r="S96">
        <v>8</v>
      </c>
      <c r="T96">
        <f t="shared" si="1"/>
        <v>1</v>
      </c>
    </row>
    <row r="97" spans="1:20">
      <c r="A97" s="4">
        <v>44228</v>
      </c>
      <c r="B97">
        <v>2021</v>
      </c>
      <c r="C97">
        <v>2</v>
      </c>
      <c r="D97" s="5" t="s">
        <v>35</v>
      </c>
      <c r="E97" s="5" t="s">
        <v>60</v>
      </c>
      <c r="F97" s="5" t="s">
        <v>61</v>
      </c>
      <c r="G97" s="5" t="s">
        <v>62</v>
      </c>
      <c r="H97" s="5" t="s">
        <v>65</v>
      </c>
      <c r="I97" s="5" t="s">
        <v>53</v>
      </c>
      <c r="J97" s="5" t="s">
        <v>49</v>
      </c>
      <c r="K97">
        <v>9</v>
      </c>
      <c r="L97">
        <v>1273348</v>
      </c>
      <c r="M97" s="26">
        <v>11460132</v>
      </c>
      <c r="N97">
        <v>21813</v>
      </c>
      <c r="O97" s="26">
        <v>1290237.02</v>
      </c>
      <c r="P97" s="5" t="s">
        <v>42</v>
      </c>
      <c r="Q97" s="5" t="s">
        <v>51</v>
      </c>
      <c r="R97">
        <v>4.8</v>
      </c>
      <c r="S97">
        <v>4</v>
      </c>
      <c r="T97">
        <f t="shared" si="1"/>
        <v>1</v>
      </c>
    </row>
    <row r="98" spans="1:20">
      <c r="A98" s="4">
        <v>44229</v>
      </c>
      <c r="B98">
        <v>2021</v>
      </c>
      <c r="C98">
        <v>2</v>
      </c>
      <c r="D98" s="5" t="s">
        <v>66</v>
      </c>
      <c r="E98" s="5" t="s">
        <v>67</v>
      </c>
      <c r="F98" s="5" t="s">
        <v>68</v>
      </c>
      <c r="G98" s="5" t="s">
        <v>69</v>
      </c>
      <c r="H98" s="5" t="s">
        <v>39</v>
      </c>
      <c r="I98" s="5" t="s">
        <v>40</v>
      </c>
      <c r="J98" s="5" t="s">
        <v>41</v>
      </c>
      <c r="K98">
        <v>37</v>
      </c>
      <c r="L98">
        <v>602181</v>
      </c>
      <c r="M98" s="26">
        <v>22280697</v>
      </c>
      <c r="N98">
        <v>42898</v>
      </c>
      <c r="O98" s="26">
        <v>2824475.12</v>
      </c>
      <c r="P98" s="5" t="s">
        <v>42</v>
      </c>
      <c r="Q98" s="5" t="s">
        <v>43</v>
      </c>
      <c r="R98">
        <v>3.5</v>
      </c>
      <c r="S98">
        <v>11</v>
      </c>
      <c r="T98">
        <f t="shared" si="1"/>
        <v>1</v>
      </c>
    </row>
    <row r="99" spans="1:20">
      <c r="A99" s="4">
        <v>44251</v>
      </c>
      <c r="B99">
        <v>2021</v>
      </c>
      <c r="C99">
        <v>2</v>
      </c>
      <c r="D99" s="5" t="s">
        <v>54</v>
      </c>
      <c r="E99" s="5" t="s">
        <v>55</v>
      </c>
      <c r="F99" s="5" t="s">
        <v>55</v>
      </c>
      <c r="G99" s="5" t="s">
        <v>56</v>
      </c>
      <c r="H99" s="5" t="s">
        <v>57</v>
      </c>
      <c r="I99" s="5" t="s">
        <v>58</v>
      </c>
      <c r="J99" s="5" t="s">
        <v>59</v>
      </c>
      <c r="K99">
        <v>12</v>
      </c>
      <c r="L99">
        <v>1423861</v>
      </c>
      <c r="M99" s="26">
        <v>17086332</v>
      </c>
      <c r="N99">
        <v>24834</v>
      </c>
      <c r="O99" s="26">
        <v>2067435.18</v>
      </c>
      <c r="P99" s="5" t="s">
        <v>42</v>
      </c>
      <c r="Q99" s="5" t="s">
        <v>51</v>
      </c>
      <c r="R99">
        <v>4.5</v>
      </c>
      <c r="S99">
        <v>19</v>
      </c>
      <c r="T99">
        <f t="shared" si="1"/>
        <v>1</v>
      </c>
    </row>
    <row r="100" spans="1:20">
      <c r="A100" s="4">
        <v>44248</v>
      </c>
      <c r="B100">
        <v>2021</v>
      </c>
      <c r="C100">
        <v>2</v>
      </c>
      <c r="D100" s="5" t="s">
        <v>44</v>
      </c>
      <c r="E100" s="5" t="s">
        <v>82</v>
      </c>
      <c r="F100" s="5" t="s">
        <v>83</v>
      </c>
      <c r="G100" s="5" t="s">
        <v>84</v>
      </c>
      <c r="H100" s="5" t="s">
        <v>57</v>
      </c>
      <c r="I100" s="5" t="s">
        <v>58</v>
      </c>
      <c r="J100" s="5" t="s">
        <v>59</v>
      </c>
      <c r="K100">
        <v>31</v>
      </c>
      <c r="L100">
        <v>1405523</v>
      </c>
      <c r="M100" s="26">
        <v>43571213</v>
      </c>
      <c r="N100">
        <v>38938</v>
      </c>
      <c r="O100" s="26">
        <v>4908909.82</v>
      </c>
      <c r="P100" s="5" t="s">
        <v>42</v>
      </c>
      <c r="Q100" s="5" t="s">
        <v>43</v>
      </c>
      <c r="R100">
        <v>4</v>
      </c>
      <c r="S100">
        <v>18</v>
      </c>
      <c r="T100">
        <f t="shared" si="1"/>
        <v>1</v>
      </c>
    </row>
    <row r="101" spans="1:20">
      <c r="A101" s="4">
        <v>44228</v>
      </c>
      <c r="B101">
        <v>2021</v>
      </c>
      <c r="C101">
        <v>2</v>
      </c>
      <c r="D101" s="5" t="s">
        <v>35</v>
      </c>
      <c r="E101" s="5" t="s">
        <v>60</v>
      </c>
      <c r="F101" s="5" t="s">
        <v>61</v>
      </c>
      <c r="G101" s="5" t="s">
        <v>62</v>
      </c>
      <c r="H101" s="5" t="s">
        <v>39</v>
      </c>
      <c r="I101" s="5" t="s">
        <v>40</v>
      </c>
      <c r="J101" s="5" t="s">
        <v>41</v>
      </c>
      <c r="K101">
        <v>13</v>
      </c>
      <c r="L101">
        <v>586044</v>
      </c>
      <c r="M101" s="26">
        <v>7618572</v>
      </c>
      <c r="N101">
        <v>15680</v>
      </c>
      <c r="O101" s="26">
        <v>763529.49</v>
      </c>
      <c r="P101" s="5" t="s">
        <v>42</v>
      </c>
      <c r="Q101" s="5" t="s">
        <v>51</v>
      </c>
      <c r="R101">
        <v>4.5</v>
      </c>
      <c r="S101">
        <v>3</v>
      </c>
      <c r="T101">
        <f t="shared" si="1"/>
        <v>1</v>
      </c>
    </row>
    <row r="102" spans="1:20">
      <c r="A102" s="4">
        <v>44277</v>
      </c>
      <c r="B102">
        <v>2021</v>
      </c>
      <c r="C102">
        <v>3</v>
      </c>
      <c r="D102" s="5" t="s">
        <v>54</v>
      </c>
      <c r="E102" s="5" t="s">
        <v>70</v>
      </c>
      <c r="F102" s="5" t="s">
        <v>71</v>
      </c>
      <c r="G102" s="5" t="s">
        <v>72</v>
      </c>
      <c r="H102" s="5" t="s">
        <v>79</v>
      </c>
      <c r="I102" s="5" t="s">
        <v>58</v>
      </c>
      <c r="J102" s="5" t="s">
        <v>49</v>
      </c>
      <c r="K102">
        <v>30</v>
      </c>
      <c r="L102">
        <v>888451</v>
      </c>
      <c r="M102" s="26">
        <v>26653530</v>
      </c>
      <c r="N102">
        <v>48187</v>
      </c>
      <c r="O102" s="26">
        <v>4041379.76</v>
      </c>
      <c r="P102" s="5" t="s">
        <v>50</v>
      </c>
      <c r="Q102" s="5" t="s">
        <v>75</v>
      </c>
      <c r="R102">
        <v>4.9000000000000004</v>
      </c>
      <c r="S102">
        <v>2</v>
      </c>
      <c r="T102">
        <f t="shared" si="1"/>
        <v>0</v>
      </c>
    </row>
    <row r="103" spans="1:20">
      <c r="A103" s="4">
        <v>44283</v>
      </c>
      <c r="B103">
        <v>2021</v>
      </c>
      <c r="C103">
        <v>3</v>
      </c>
      <c r="D103" s="5" t="s">
        <v>66</v>
      </c>
      <c r="E103" s="5" t="s">
        <v>67</v>
      </c>
      <c r="F103" s="5" t="s">
        <v>68</v>
      </c>
      <c r="G103" s="5" t="s">
        <v>69</v>
      </c>
      <c r="H103" s="5" t="s">
        <v>63</v>
      </c>
      <c r="I103" s="5" t="s">
        <v>64</v>
      </c>
      <c r="J103" s="5" t="s">
        <v>41</v>
      </c>
      <c r="K103">
        <v>34</v>
      </c>
      <c r="L103">
        <v>747823</v>
      </c>
      <c r="M103" s="26">
        <v>25425982</v>
      </c>
      <c r="N103">
        <v>29420</v>
      </c>
      <c r="O103" s="26">
        <v>3327420.31</v>
      </c>
      <c r="P103" s="5" t="s">
        <v>42</v>
      </c>
      <c r="Q103" s="5" t="s">
        <v>43</v>
      </c>
      <c r="R103">
        <v>4.0999999999999996</v>
      </c>
      <c r="S103">
        <v>5</v>
      </c>
      <c r="T103">
        <f t="shared" si="1"/>
        <v>1</v>
      </c>
    </row>
    <row r="104" spans="1:20">
      <c r="A104" s="4">
        <v>44261</v>
      </c>
      <c r="B104">
        <v>2021</v>
      </c>
      <c r="C104">
        <v>3</v>
      </c>
      <c r="D104" s="5" t="s">
        <v>35</v>
      </c>
      <c r="E104" s="5" t="s">
        <v>60</v>
      </c>
      <c r="F104" s="5" t="s">
        <v>61</v>
      </c>
      <c r="G104" s="5" t="s">
        <v>62</v>
      </c>
      <c r="H104" s="5" t="s">
        <v>52</v>
      </c>
      <c r="I104" s="5" t="s">
        <v>53</v>
      </c>
      <c r="J104" s="5" t="s">
        <v>41</v>
      </c>
      <c r="K104">
        <v>14</v>
      </c>
      <c r="L104">
        <v>947210</v>
      </c>
      <c r="M104" s="26">
        <v>13260940</v>
      </c>
      <c r="N104">
        <v>14716</v>
      </c>
      <c r="O104" s="26">
        <v>1080144.49</v>
      </c>
      <c r="P104" s="5" t="s">
        <v>42</v>
      </c>
      <c r="Q104" s="5" t="s">
        <v>43</v>
      </c>
      <c r="R104">
        <v>4.8</v>
      </c>
      <c r="S104">
        <v>20</v>
      </c>
      <c r="T104">
        <f t="shared" si="1"/>
        <v>1</v>
      </c>
    </row>
    <row r="105" spans="1:20">
      <c r="A105" s="4">
        <v>44278</v>
      </c>
      <c r="B105">
        <v>2021</v>
      </c>
      <c r="C105">
        <v>3</v>
      </c>
      <c r="D105" s="5" t="s">
        <v>44</v>
      </c>
      <c r="E105" s="5" t="s">
        <v>82</v>
      </c>
      <c r="F105" s="5" t="s">
        <v>83</v>
      </c>
      <c r="G105" s="5" t="s">
        <v>84</v>
      </c>
      <c r="H105" s="5" t="s">
        <v>79</v>
      </c>
      <c r="I105" s="5" t="s">
        <v>58</v>
      </c>
      <c r="J105" s="5" t="s">
        <v>49</v>
      </c>
      <c r="K105">
        <v>21</v>
      </c>
      <c r="L105">
        <v>903671</v>
      </c>
      <c r="M105" s="26">
        <v>18977091</v>
      </c>
      <c r="N105">
        <v>23826</v>
      </c>
      <c r="O105" s="26">
        <v>2640882.02</v>
      </c>
      <c r="P105" s="5" t="s">
        <v>42</v>
      </c>
      <c r="Q105" s="5" t="s">
        <v>43</v>
      </c>
      <c r="R105">
        <v>4</v>
      </c>
      <c r="S105">
        <v>17</v>
      </c>
      <c r="T105">
        <f t="shared" si="1"/>
        <v>1</v>
      </c>
    </row>
    <row r="106" spans="1:20">
      <c r="A106" s="4">
        <v>44258</v>
      </c>
      <c r="B106">
        <v>2021</v>
      </c>
      <c r="C106">
        <v>3</v>
      </c>
      <c r="D106" s="5" t="s">
        <v>35</v>
      </c>
      <c r="E106" s="5" t="s">
        <v>76</v>
      </c>
      <c r="F106" s="5" t="s">
        <v>77</v>
      </c>
      <c r="G106" s="5" t="s">
        <v>78</v>
      </c>
      <c r="H106" s="5" t="s">
        <v>65</v>
      </c>
      <c r="I106" s="5" t="s">
        <v>53</v>
      </c>
      <c r="J106" s="5" t="s">
        <v>49</v>
      </c>
      <c r="K106">
        <v>58</v>
      </c>
      <c r="L106">
        <v>1252202</v>
      </c>
      <c r="M106" s="26">
        <v>72627716</v>
      </c>
      <c r="N106">
        <v>31339</v>
      </c>
      <c r="O106" s="26">
        <v>9971378.3399999999</v>
      </c>
      <c r="P106" s="5" t="s">
        <v>50</v>
      </c>
      <c r="Q106" s="5" t="s">
        <v>75</v>
      </c>
      <c r="R106">
        <v>3.8</v>
      </c>
      <c r="S106">
        <v>6</v>
      </c>
      <c r="T106">
        <f t="shared" si="1"/>
        <v>0</v>
      </c>
    </row>
    <row r="107" spans="1:20">
      <c r="A107" s="4">
        <v>44280</v>
      </c>
      <c r="B107">
        <v>2021</v>
      </c>
      <c r="C107">
        <v>3</v>
      </c>
      <c r="D107" s="5" t="s">
        <v>35</v>
      </c>
      <c r="E107" s="5" t="s">
        <v>76</v>
      </c>
      <c r="F107" s="5" t="s">
        <v>77</v>
      </c>
      <c r="G107" s="5" t="s">
        <v>78</v>
      </c>
      <c r="H107" s="5" t="s">
        <v>65</v>
      </c>
      <c r="I107" s="5" t="s">
        <v>53</v>
      </c>
      <c r="J107" s="5" t="s">
        <v>49</v>
      </c>
      <c r="K107">
        <v>6</v>
      </c>
      <c r="L107">
        <v>1226767</v>
      </c>
      <c r="M107" s="26">
        <v>7360602</v>
      </c>
      <c r="N107">
        <v>21595</v>
      </c>
      <c r="O107" s="26">
        <v>680539.37</v>
      </c>
      <c r="P107" s="5" t="s">
        <v>50</v>
      </c>
      <c r="Q107" s="5" t="s">
        <v>43</v>
      </c>
      <c r="R107">
        <v>4.5</v>
      </c>
      <c r="S107">
        <v>7</v>
      </c>
      <c r="T107">
        <f t="shared" si="1"/>
        <v>0</v>
      </c>
    </row>
    <row r="108" spans="1:20">
      <c r="A108" s="4">
        <v>44273</v>
      </c>
      <c r="B108">
        <v>2021</v>
      </c>
      <c r="C108">
        <v>3</v>
      </c>
      <c r="D108" s="5" t="s">
        <v>54</v>
      </c>
      <c r="E108" s="5" t="s">
        <v>55</v>
      </c>
      <c r="F108" s="5" t="s">
        <v>55</v>
      </c>
      <c r="G108" s="5" t="s">
        <v>56</v>
      </c>
      <c r="H108" s="5" t="s">
        <v>73</v>
      </c>
      <c r="I108" s="5" t="s">
        <v>40</v>
      </c>
      <c r="J108" s="5" t="s">
        <v>49</v>
      </c>
      <c r="K108">
        <v>32</v>
      </c>
      <c r="L108">
        <v>730100</v>
      </c>
      <c r="M108" s="26">
        <v>23363200</v>
      </c>
      <c r="N108">
        <v>8333</v>
      </c>
      <c r="O108" s="26">
        <v>2896281.64</v>
      </c>
      <c r="P108" s="5" t="s">
        <v>42</v>
      </c>
      <c r="Q108" s="5" t="s">
        <v>43</v>
      </c>
      <c r="R108">
        <v>3.6</v>
      </c>
      <c r="S108">
        <v>5</v>
      </c>
      <c r="T108">
        <f t="shared" si="1"/>
        <v>1</v>
      </c>
    </row>
    <row r="109" spans="1:20">
      <c r="A109" s="4">
        <v>44261</v>
      </c>
      <c r="B109">
        <v>2021</v>
      </c>
      <c r="C109">
        <v>3</v>
      </c>
      <c r="D109" s="5" t="s">
        <v>66</v>
      </c>
      <c r="E109" s="5" t="s">
        <v>67</v>
      </c>
      <c r="F109" s="5" t="s">
        <v>68</v>
      </c>
      <c r="G109" s="5" t="s">
        <v>69</v>
      </c>
      <c r="H109" s="5" t="s">
        <v>80</v>
      </c>
      <c r="I109" s="5" t="s">
        <v>81</v>
      </c>
      <c r="J109" s="5" t="s">
        <v>41</v>
      </c>
      <c r="K109">
        <v>52</v>
      </c>
      <c r="L109">
        <v>527775</v>
      </c>
      <c r="M109" s="26">
        <v>27444300</v>
      </c>
      <c r="N109">
        <v>22388</v>
      </c>
      <c r="O109" s="26">
        <v>3698513.34</v>
      </c>
      <c r="P109" s="5" t="s">
        <v>42</v>
      </c>
      <c r="Q109" s="5" t="s">
        <v>51</v>
      </c>
      <c r="R109">
        <v>4.8</v>
      </c>
      <c r="S109">
        <v>8</v>
      </c>
      <c r="T109">
        <f t="shared" si="1"/>
        <v>1</v>
      </c>
    </row>
    <row r="110" spans="1:20">
      <c r="A110" s="4">
        <v>44272</v>
      </c>
      <c r="B110">
        <v>2021</v>
      </c>
      <c r="C110">
        <v>3</v>
      </c>
      <c r="D110" s="5" t="s">
        <v>44</v>
      </c>
      <c r="E110" s="5" t="s">
        <v>45</v>
      </c>
      <c r="F110" s="5" t="s">
        <v>46</v>
      </c>
      <c r="G110" s="5" t="s">
        <v>47</v>
      </c>
      <c r="H110" s="5" t="s">
        <v>79</v>
      </c>
      <c r="I110" s="5" t="s">
        <v>58</v>
      </c>
      <c r="J110" s="5" t="s">
        <v>49</v>
      </c>
      <c r="K110">
        <v>12</v>
      </c>
      <c r="L110">
        <v>913824</v>
      </c>
      <c r="M110" s="26">
        <v>10965888</v>
      </c>
      <c r="N110">
        <v>34313</v>
      </c>
      <c r="O110" s="26">
        <v>1135406.1000000001</v>
      </c>
      <c r="P110" s="5" t="s">
        <v>42</v>
      </c>
      <c r="Q110" s="5" t="s">
        <v>43</v>
      </c>
      <c r="R110">
        <v>3.7</v>
      </c>
      <c r="S110">
        <v>17</v>
      </c>
      <c r="T110">
        <f t="shared" si="1"/>
        <v>1</v>
      </c>
    </row>
    <row r="111" spans="1:20">
      <c r="A111" s="4">
        <v>44264</v>
      </c>
      <c r="B111">
        <v>2021</v>
      </c>
      <c r="C111">
        <v>3</v>
      </c>
      <c r="D111" s="5" t="s">
        <v>44</v>
      </c>
      <c r="E111" s="5" t="s">
        <v>45</v>
      </c>
      <c r="F111" s="5" t="s">
        <v>46</v>
      </c>
      <c r="G111" s="5" t="s">
        <v>47</v>
      </c>
      <c r="H111" s="5" t="s">
        <v>86</v>
      </c>
      <c r="I111" s="5" t="s">
        <v>40</v>
      </c>
      <c r="J111" s="5" t="s">
        <v>41</v>
      </c>
      <c r="K111">
        <v>29</v>
      </c>
      <c r="L111">
        <v>610215</v>
      </c>
      <c r="M111" s="26">
        <v>17696235</v>
      </c>
      <c r="N111">
        <v>18185</v>
      </c>
      <c r="O111" s="26">
        <v>1652295.23</v>
      </c>
      <c r="P111" s="5" t="s">
        <v>42</v>
      </c>
      <c r="Q111" s="5" t="s">
        <v>51</v>
      </c>
      <c r="R111">
        <v>4.8</v>
      </c>
      <c r="S111">
        <v>19</v>
      </c>
      <c r="T111">
        <f t="shared" si="1"/>
        <v>1</v>
      </c>
    </row>
    <row r="112" spans="1:20">
      <c r="A112" s="4">
        <v>44281</v>
      </c>
      <c r="B112">
        <v>2021</v>
      </c>
      <c r="C112">
        <v>3</v>
      </c>
      <c r="D112" s="5" t="s">
        <v>44</v>
      </c>
      <c r="E112" s="5" t="s">
        <v>82</v>
      </c>
      <c r="F112" s="5" t="s">
        <v>83</v>
      </c>
      <c r="G112" s="5" t="s">
        <v>84</v>
      </c>
      <c r="H112" s="5" t="s">
        <v>48</v>
      </c>
      <c r="I112" s="5" t="s">
        <v>40</v>
      </c>
      <c r="J112" s="5" t="s">
        <v>49</v>
      </c>
      <c r="K112">
        <v>45</v>
      </c>
      <c r="L112">
        <v>478655</v>
      </c>
      <c r="M112" s="26">
        <v>21539475</v>
      </c>
      <c r="N112">
        <v>40703</v>
      </c>
      <c r="O112" s="26">
        <v>3296470.52</v>
      </c>
      <c r="P112" s="5" t="s">
        <v>42</v>
      </c>
      <c r="Q112" s="5" t="s">
        <v>43</v>
      </c>
      <c r="R112">
        <v>3.7</v>
      </c>
      <c r="S112">
        <v>13</v>
      </c>
      <c r="T112">
        <f t="shared" si="1"/>
        <v>1</v>
      </c>
    </row>
    <row r="113" spans="1:20">
      <c r="A113" s="4">
        <v>44282</v>
      </c>
      <c r="B113">
        <v>2021</v>
      </c>
      <c r="C113">
        <v>3</v>
      </c>
      <c r="D113" s="5" t="s">
        <v>44</v>
      </c>
      <c r="E113" s="5" t="s">
        <v>82</v>
      </c>
      <c r="F113" s="5" t="s">
        <v>83</v>
      </c>
      <c r="G113" s="5" t="s">
        <v>84</v>
      </c>
      <c r="H113" s="5" t="s">
        <v>74</v>
      </c>
      <c r="I113" s="5" t="s">
        <v>40</v>
      </c>
      <c r="J113" s="5" t="s">
        <v>49</v>
      </c>
      <c r="K113">
        <v>39</v>
      </c>
      <c r="L113">
        <v>660989</v>
      </c>
      <c r="M113" s="26">
        <v>25778571</v>
      </c>
      <c r="N113">
        <v>33852</v>
      </c>
      <c r="O113" s="26">
        <v>2680691.33</v>
      </c>
      <c r="P113" s="5" t="s">
        <v>50</v>
      </c>
      <c r="Q113" s="5" t="s">
        <v>75</v>
      </c>
      <c r="R113">
        <v>4.3</v>
      </c>
      <c r="S113">
        <v>10</v>
      </c>
      <c r="T113">
        <f t="shared" si="1"/>
        <v>0</v>
      </c>
    </row>
    <row r="114" spans="1:20">
      <c r="A114" s="4">
        <v>44273</v>
      </c>
      <c r="B114">
        <v>2021</v>
      </c>
      <c r="C114">
        <v>3</v>
      </c>
      <c r="D114" s="5" t="s">
        <v>35</v>
      </c>
      <c r="E114" s="5" t="s">
        <v>76</v>
      </c>
      <c r="F114" s="5" t="s">
        <v>77</v>
      </c>
      <c r="G114" s="5" t="s">
        <v>78</v>
      </c>
      <c r="H114" s="5" t="s">
        <v>79</v>
      </c>
      <c r="I114" s="5" t="s">
        <v>58</v>
      </c>
      <c r="J114" s="5" t="s">
        <v>49</v>
      </c>
      <c r="K114">
        <v>14</v>
      </c>
      <c r="L114">
        <v>878532</v>
      </c>
      <c r="M114" s="26">
        <v>12299448</v>
      </c>
      <c r="N114">
        <v>21797</v>
      </c>
      <c r="O114" s="26">
        <v>1176132.83</v>
      </c>
      <c r="P114" s="5" t="s">
        <v>50</v>
      </c>
      <c r="Q114" s="5" t="s">
        <v>51</v>
      </c>
      <c r="R114">
        <v>4.8</v>
      </c>
      <c r="S114">
        <v>18</v>
      </c>
      <c r="T114">
        <f t="shared" si="1"/>
        <v>0</v>
      </c>
    </row>
    <row r="115" spans="1:20">
      <c r="A115" s="4">
        <v>44264</v>
      </c>
      <c r="B115">
        <v>2021</v>
      </c>
      <c r="C115">
        <v>3</v>
      </c>
      <c r="D115" s="5" t="s">
        <v>35</v>
      </c>
      <c r="E115" s="5" t="s">
        <v>36</v>
      </c>
      <c r="F115" s="5" t="s">
        <v>37</v>
      </c>
      <c r="G115" s="5" t="s">
        <v>38</v>
      </c>
      <c r="H115" s="5" t="s">
        <v>79</v>
      </c>
      <c r="I115" s="5" t="s">
        <v>58</v>
      </c>
      <c r="J115" s="5" t="s">
        <v>49</v>
      </c>
      <c r="K115">
        <v>22</v>
      </c>
      <c r="L115">
        <v>888336</v>
      </c>
      <c r="M115" s="26">
        <v>19543392</v>
      </c>
      <c r="N115">
        <v>36466</v>
      </c>
      <c r="O115" s="26">
        <v>2650745.0499999998</v>
      </c>
      <c r="P115" s="5" t="s">
        <v>42</v>
      </c>
      <c r="Q115" s="5" t="s">
        <v>75</v>
      </c>
      <c r="R115">
        <v>4.2</v>
      </c>
      <c r="S115">
        <v>21</v>
      </c>
      <c r="T115">
        <f t="shared" si="1"/>
        <v>1</v>
      </c>
    </row>
    <row r="116" spans="1:20">
      <c r="A116" s="4">
        <v>44279</v>
      </c>
      <c r="B116">
        <v>2021</v>
      </c>
      <c r="C116">
        <v>3</v>
      </c>
      <c r="D116" s="5" t="s">
        <v>35</v>
      </c>
      <c r="E116" s="5" t="s">
        <v>60</v>
      </c>
      <c r="F116" s="5" t="s">
        <v>61</v>
      </c>
      <c r="G116" s="5" t="s">
        <v>62</v>
      </c>
      <c r="H116" s="5" t="s">
        <v>85</v>
      </c>
      <c r="I116" s="5" t="s">
        <v>58</v>
      </c>
      <c r="J116" s="5" t="s">
        <v>49</v>
      </c>
      <c r="K116">
        <v>26</v>
      </c>
      <c r="L116">
        <v>961544</v>
      </c>
      <c r="M116" s="26">
        <v>25000144</v>
      </c>
      <c r="N116">
        <v>44697</v>
      </c>
      <c r="O116" s="26">
        <v>3517853.81</v>
      </c>
      <c r="P116" s="5" t="s">
        <v>42</v>
      </c>
      <c r="Q116" s="5" t="s">
        <v>51</v>
      </c>
      <c r="R116">
        <v>3.7</v>
      </c>
      <c r="S116">
        <v>18</v>
      </c>
      <c r="T116">
        <f t="shared" si="1"/>
        <v>1</v>
      </c>
    </row>
    <row r="117" spans="1:20">
      <c r="A117" s="4">
        <v>44262</v>
      </c>
      <c r="B117">
        <v>2021</v>
      </c>
      <c r="C117">
        <v>3</v>
      </c>
      <c r="D117" s="5" t="s">
        <v>54</v>
      </c>
      <c r="E117" s="5" t="s">
        <v>70</v>
      </c>
      <c r="F117" s="5" t="s">
        <v>71</v>
      </c>
      <c r="G117" s="5" t="s">
        <v>72</v>
      </c>
      <c r="H117" s="5" t="s">
        <v>57</v>
      </c>
      <c r="I117" s="5" t="s">
        <v>58</v>
      </c>
      <c r="J117" s="5" t="s">
        <v>59</v>
      </c>
      <c r="K117">
        <v>49</v>
      </c>
      <c r="L117">
        <v>1378851</v>
      </c>
      <c r="M117" s="26">
        <v>67563699</v>
      </c>
      <c r="N117">
        <v>47274</v>
      </c>
      <c r="O117" s="26">
        <v>9520580.1999999993</v>
      </c>
      <c r="P117" s="5" t="s">
        <v>42</v>
      </c>
      <c r="Q117" s="5" t="s">
        <v>51</v>
      </c>
      <c r="R117">
        <v>4.2</v>
      </c>
      <c r="S117">
        <v>12</v>
      </c>
      <c r="T117">
        <f t="shared" si="1"/>
        <v>1</v>
      </c>
    </row>
    <row r="118" spans="1:20">
      <c r="A118" s="4">
        <v>44276</v>
      </c>
      <c r="B118">
        <v>2021</v>
      </c>
      <c r="C118">
        <v>3</v>
      </c>
      <c r="D118" s="5" t="s">
        <v>44</v>
      </c>
      <c r="E118" s="5" t="s">
        <v>45</v>
      </c>
      <c r="F118" s="5" t="s">
        <v>46</v>
      </c>
      <c r="G118" s="5" t="s">
        <v>47</v>
      </c>
      <c r="H118" s="5" t="s">
        <v>86</v>
      </c>
      <c r="I118" s="5" t="s">
        <v>40</v>
      </c>
      <c r="J118" s="5" t="s">
        <v>41</v>
      </c>
      <c r="K118">
        <v>13</v>
      </c>
      <c r="L118">
        <v>615766</v>
      </c>
      <c r="M118" s="26">
        <v>8004958</v>
      </c>
      <c r="N118">
        <v>21807</v>
      </c>
      <c r="O118" s="26">
        <v>784503.71</v>
      </c>
      <c r="P118" s="5" t="s">
        <v>50</v>
      </c>
      <c r="Q118" s="5" t="s">
        <v>51</v>
      </c>
      <c r="R118">
        <v>3.8</v>
      </c>
      <c r="S118">
        <v>5</v>
      </c>
      <c r="T118">
        <f t="shared" si="1"/>
        <v>0</v>
      </c>
    </row>
    <row r="119" spans="1:20">
      <c r="A119" s="4">
        <v>44265</v>
      </c>
      <c r="B119">
        <v>2021</v>
      </c>
      <c r="C119">
        <v>3</v>
      </c>
      <c r="D119" s="5" t="s">
        <v>35</v>
      </c>
      <c r="E119" s="5" t="s">
        <v>76</v>
      </c>
      <c r="F119" s="5" t="s">
        <v>77</v>
      </c>
      <c r="G119" s="5" t="s">
        <v>78</v>
      </c>
      <c r="H119" s="5" t="s">
        <v>39</v>
      </c>
      <c r="I119" s="5" t="s">
        <v>40</v>
      </c>
      <c r="J119" s="5" t="s">
        <v>41</v>
      </c>
      <c r="K119">
        <v>17</v>
      </c>
      <c r="L119">
        <v>582965</v>
      </c>
      <c r="M119" s="26">
        <v>9910405</v>
      </c>
      <c r="N119">
        <v>42196</v>
      </c>
      <c r="O119" s="26">
        <v>1316026.1100000001</v>
      </c>
      <c r="P119" s="5" t="s">
        <v>42</v>
      </c>
      <c r="Q119" s="5" t="s">
        <v>43</v>
      </c>
      <c r="R119">
        <v>3.5</v>
      </c>
      <c r="S119">
        <v>2</v>
      </c>
      <c r="T119">
        <f t="shared" si="1"/>
        <v>1</v>
      </c>
    </row>
    <row r="120" spans="1:20">
      <c r="A120" s="4">
        <v>44276</v>
      </c>
      <c r="B120">
        <v>2021</v>
      </c>
      <c r="C120">
        <v>3</v>
      </c>
      <c r="D120" s="5" t="s">
        <v>44</v>
      </c>
      <c r="E120" s="5" t="s">
        <v>82</v>
      </c>
      <c r="F120" s="5" t="s">
        <v>83</v>
      </c>
      <c r="G120" s="5" t="s">
        <v>84</v>
      </c>
      <c r="H120" s="5" t="s">
        <v>39</v>
      </c>
      <c r="I120" s="5" t="s">
        <v>40</v>
      </c>
      <c r="J120" s="5" t="s">
        <v>41</v>
      </c>
      <c r="K120">
        <v>19</v>
      </c>
      <c r="L120">
        <v>555542</v>
      </c>
      <c r="M120" s="26">
        <v>10555298</v>
      </c>
      <c r="N120">
        <v>19713</v>
      </c>
      <c r="O120" s="26">
        <v>1081008.24</v>
      </c>
      <c r="P120" s="5" t="s">
        <v>42</v>
      </c>
      <c r="Q120" s="5" t="s">
        <v>43</v>
      </c>
      <c r="R120">
        <v>4.4000000000000004</v>
      </c>
      <c r="S120">
        <v>18</v>
      </c>
      <c r="T120">
        <f t="shared" si="1"/>
        <v>1</v>
      </c>
    </row>
    <row r="121" spans="1:20">
      <c r="A121" s="4">
        <v>44264</v>
      </c>
      <c r="B121">
        <v>2021</v>
      </c>
      <c r="C121">
        <v>3</v>
      </c>
      <c r="D121" s="5" t="s">
        <v>66</v>
      </c>
      <c r="E121" s="5" t="s">
        <v>67</v>
      </c>
      <c r="F121" s="5" t="s">
        <v>68</v>
      </c>
      <c r="G121" s="5" t="s">
        <v>69</v>
      </c>
      <c r="H121" s="5" t="s">
        <v>74</v>
      </c>
      <c r="I121" s="5" t="s">
        <v>40</v>
      </c>
      <c r="J121" s="5" t="s">
        <v>49</v>
      </c>
      <c r="K121">
        <v>12</v>
      </c>
      <c r="L121">
        <v>641616</v>
      </c>
      <c r="M121" s="26">
        <v>7699392</v>
      </c>
      <c r="N121">
        <v>27742</v>
      </c>
      <c r="O121" s="26">
        <v>701840.34</v>
      </c>
      <c r="P121" s="5" t="s">
        <v>50</v>
      </c>
      <c r="Q121" s="5" t="s">
        <v>51</v>
      </c>
      <c r="R121">
        <v>4.4000000000000004</v>
      </c>
      <c r="S121">
        <v>13</v>
      </c>
      <c r="T121">
        <f t="shared" si="1"/>
        <v>0</v>
      </c>
    </row>
    <row r="122" spans="1:20">
      <c r="A122" s="4">
        <v>44264</v>
      </c>
      <c r="B122">
        <v>2021</v>
      </c>
      <c r="C122">
        <v>3</v>
      </c>
      <c r="D122" s="5" t="s">
        <v>44</v>
      </c>
      <c r="E122" s="5" t="s">
        <v>45</v>
      </c>
      <c r="F122" s="5" t="s">
        <v>46</v>
      </c>
      <c r="G122" s="5" t="s">
        <v>47</v>
      </c>
      <c r="H122" s="5" t="s">
        <v>73</v>
      </c>
      <c r="I122" s="5" t="s">
        <v>40</v>
      </c>
      <c r="J122" s="5" t="s">
        <v>49</v>
      </c>
      <c r="K122">
        <v>51</v>
      </c>
      <c r="L122">
        <v>696763</v>
      </c>
      <c r="M122" s="26">
        <v>35534913</v>
      </c>
      <c r="N122">
        <v>24659</v>
      </c>
      <c r="O122" s="26">
        <v>3744015.25</v>
      </c>
      <c r="P122" s="5" t="s">
        <v>50</v>
      </c>
      <c r="Q122" s="5" t="s">
        <v>43</v>
      </c>
      <c r="R122">
        <v>3.5</v>
      </c>
      <c r="S122">
        <v>6</v>
      </c>
      <c r="T122">
        <f t="shared" si="1"/>
        <v>0</v>
      </c>
    </row>
    <row r="123" spans="1:20">
      <c r="A123" s="4">
        <v>44266</v>
      </c>
      <c r="B123">
        <v>2021</v>
      </c>
      <c r="C123">
        <v>3</v>
      </c>
      <c r="D123" s="5" t="s">
        <v>66</v>
      </c>
      <c r="E123" s="5" t="s">
        <v>67</v>
      </c>
      <c r="F123" s="5" t="s">
        <v>68</v>
      </c>
      <c r="G123" s="5" t="s">
        <v>69</v>
      </c>
      <c r="H123" s="5" t="s">
        <v>52</v>
      </c>
      <c r="I123" s="5" t="s">
        <v>53</v>
      </c>
      <c r="J123" s="5" t="s">
        <v>41</v>
      </c>
      <c r="K123">
        <v>51</v>
      </c>
      <c r="L123">
        <v>961836</v>
      </c>
      <c r="M123" s="26">
        <v>49053636</v>
      </c>
      <c r="N123">
        <v>20863</v>
      </c>
      <c r="O123" s="26">
        <v>4292629.84</v>
      </c>
      <c r="P123" s="5" t="s">
        <v>42</v>
      </c>
      <c r="Q123" s="5" t="s">
        <v>75</v>
      </c>
      <c r="R123">
        <v>4.3</v>
      </c>
      <c r="S123">
        <v>12</v>
      </c>
      <c r="T123">
        <f t="shared" si="1"/>
        <v>1</v>
      </c>
    </row>
    <row r="124" spans="1:20">
      <c r="A124" s="4">
        <v>44260</v>
      </c>
      <c r="B124">
        <v>2021</v>
      </c>
      <c r="C124">
        <v>3</v>
      </c>
      <c r="D124" s="5" t="s">
        <v>44</v>
      </c>
      <c r="E124" s="5" t="s">
        <v>45</v>
      </c>
      <c r="F124" s="5" t="s">
        <v>46</v>
      </c>
      <c r="G124" s="5" t="s">
        <v>47</v>
      </c>
      <c r="H124" s="5" t="s">
        <v>52</v>
      </c>
      <c r="I124" s="5" t="s">
        <v>53</v>
      </c>
      <c r="J124" s="5" t="s">
        <v>41</v>
      </c>
      <c r="K124">
        <v>56</v>
      </c>
      <c r="L124">
        <v>971838</v>
      </c>
      <c r="M124" s="26">
        <v>54422928</v>
      </c>
      <c r="N124">
        <v>47021</v>
      </c>
      <c r="O124" s="26">
        <v>7506718.6200000001</v>
      </c>
      <c r="P124" s="5" t="s">
        <v>42</v>
      </c>
      <c r="Q124" s="5" t="s">
        <v>43</v>
      </c>
      <c r="R124">
        <v>3.6</v>
      </c>
      <c r="S124">
        <v>20</v>
      </c>
      <c r="T124">
        <f t="shared" si="1"/>
        <v>1</v>
      </c>
    </row>
    <row r="125" spans="1:20">
      <c r="A125" s="4">
        <v>44263</v>
      </c>
      <c r="B125">
        <v>2021</v>
      </c>
      <c r="C125">
        <v>3</v>
      </c>
      <c r="D125" s="5" t="s">
        <v>35</v>
      </c>
      <c r="E125" s="5" t="s">
        <v>60</v>
      </c>
      <c r="F125" s="5" t="s">
        <v>61</v>
      </c>
      <c r="G125" s="5" t="s">
        <v>62</v>
      </c>
      <c r="H125" s="5" t="s">
        <v>39</v>
      </c>
      <c r="I125" s="5" t="s">
        <v>40</v>
      </c>
      <c r="J125" s="5" t="s">
        <v>41</v>
      </c>
      <c r="K125">
        <v>31</v>
      </c>
      <c r="L125">
        <v>585111</v>
      </c>
      <c r="M125" s="26">
        <v>18138441</v>
      </c>
      <c r="N125">
        <v>30806</v>
      </c>
      <c r="O125" s="26">
        <v>1887987.1</v>
      </c>
      <c r="P125" s="5" t="s">
        <v>42</v>
      </c>
      <c r="Q125" s="5" t="s">
        <v>51</v>
      </c>
      <c r="R125">
        <v>3.7</v>
      </c>
      <c r="S125">
        <v>21</v>
      </c>
      <c r="T125">
        <f t="shared" si="1"/>
        <v>1</v>
      </c>
    </row>
    <row r="126" spans="1:20">
      <c r="A126" s="4">
        <v>44256</v>
      </c>
      <c r="B126">
        <v>2021</v>
      </c>
      <c r="C126">
        <v>3</v>
      </c>
      <c r="D126" s="5" t="s">
        <v>44</v>
      </c>
      <c r="E126" s="5" t="s">
        <v>45</v>
      </c>
      <c r="F126" s="5" t="s">
        <v>46</v>
      </c>
      <c r="G126" s="5" t="s">
        <v>47</v>
      </c>
      <c r="H126" s="5" t="s">
        <v>86</v>
      </c>
      <c r="I126" s="5" t="s">
        <v>40</v>
      </c>
      <c r="J126" s="5" t="s">
        <v>41</v>
      </c>
      <c r="K126">
        <v>20</v>
      </c>
      <c r="L126">
        <v>584091</v>
      </c>
      <c r="M126" s="26">
        <v>11681820</v>
      </c>
      <c r="N126">
        <v>33482</v>
      </c>
      <c r="O126" s="26">
        <v>1191072.6499999999</v>
      </c>
      <c r="P126" s="5" t="s">
        <v>42</v>
      </c>
      <c r="Q126" s="5" t="s">
        <v>51</v>
      </c>
      <c r="R126">
        <v>3.9</v>
      </c>
      <c r="S126">
        <v>18</v>
      </c>
      <c r="T126">
        <f t="shared" si="1"/>
        <v>1</v>
      </c>
    </row>
    <row r="127" spans="1:20">
      <c r="A127" s="4">
        <v>44258</v>
      </c>
      <c r="B127">
        <v>2021</v>
      </c>
      <c r="C127">
        <v>3</v>
      </c>
      <c r="D127" s="5" t="s">
        <v>44</v>
      </c>
      <c r="E127" s="5" t="s">
        <v>82</v>
      </c>
      <c r="F127" s="5" t="s">
        <v>83</v>
      </c>
      <c r="G127" s="5" t="s">
        <v>84</v>
      </c>
      <c r="H127" s="5" t="s">
        <v>48</v>
      </c>
      <c r="I127" s="5" t="s">
        <v>40</v>
      </c>
      <c r="J127" s="5" t="s">
        <v>49</v>
      </c>
      <c r="K127">
        <v>13</v>
      </c>
      <c r="L127">
        <v>446429</v>
      </c>
      <c r="M127" s="26">
        <v>5803577</v>
      </c>
      <c r="N127">
        <v>11799</v>
      </c>
      <c r="O127" s="26">
        <v>810140.24</v>
      </c>
      <c r="P127" s="5" t="s">
        <v>42</v>
      </c>
      <c r="Q127" s="5" t="s">
        <v>51</v>
      </c>
      <c r="R127">
        <v>4.3</v>
      </c>
      <c r="S127">
        <v>18</v>
      </c>
      <c r="T127">
        <f t="shared" si="1"/>
        <v>1</v>
      </c>
    </row>
    <row r="128" spans="1:20">
      <c r="A128" s="4">
        <v>44258</v>
      </c>
      <c r="B128">
        <v>2021</v>
      </c>
      <c r="C128">
        <v>3</v>
      </c>
      <c r="D128" s="5" t="s">
        <v>54</v>
      </c>
      <c r="E128" s="5" t="s">
        <v>55</v>
      </c>
      <c r="F128" s="5" t="s">
        <v>55</v>
      </c>
      <c r="G128" s="5" t="s">
        <v>56</v>
      </c>
      <c r="H128" s="5" t="s">
        <v>39</v>
      </c>
      <c r="I128" s="5" t="s">
        <v>40</v>
      </c>
      <c r="J128" s="5" t="s">
        <v>41</v>
      </c>
      <c r="K128">
        <v>24</v>
      </c>
      <c r="L128">
        <v>579195</v>
      </c>
      <c r="M128" s="26">
        <v>13900680</v>
      </c>
      <c r="N128">
        <v>49722</v>
      </c>
      <c r="O128" s="26">
        <v>1259080.3999999999</v>
      </c>
      <c r="P128" s="5" t="s">
        <v>50</v>
      </c>
      <c r="Q128" s="5" t="s">
        <v>51</v>
      </c>
      <c r="R128">
        <v>4.8</v>
      </c>
      <c r="S128">
        <v>8</v>
      </c>
      <c r="T128">
        <f t="shared" si="1"/>
        <v>0</v>
      </c>
    </row>
    <row r="129" spans="1:20">
      <c r="A129" s="4">
        <v>44283</v>
      </c>
      <c r="B129">
        <v>2021</v>
      </c>
      <c r="C129">
        <v>3</v>
      </c>
      <c r="D129" s="5" t="s">
        <v>35</v>
      </c>
      <c r="E129" s="5" t="s">
        <v>60</v>
      </c>
      <c r="F129" s="5" t="s">
        <v>61</v>
      </c>
      <c r="G129" s="5" t="s">
        <v>62</v>
      </c>
      <c r="H129" s="5" t="s">
        <v>52</v>
      </c>
      <c r="I129" s="5" t="s">
        <v>53</v>
      </c>
      <c r="J129" s="5" t="s">
        <v>41</v>
      </c>
      <c r="K129">
        <v>28</v>
      </c>
      <c r="L129">
        <v>978234</v>
      </c>
      <c r="M129" s="26">
        <v>27390552</v>
      </c>
      <c r="N129">
        <v>24159</v>
      </c>
      <c r="O129" s="26">
        <v>2541334.4</v>
      </c>
      <c r="P129" s="5" t="s">
        <v>42</v>
      </c>
      <c r="Q129" s="5" t="s">
        <v>43</v>
      </c>
      <c r="R129">
        <v>4.0999999999999996</v>
      </c>
      <c r="S129">
        <v>21</v>
      </c>
      <c r="T129">
        <f t="shared" si="1"/>
        <v>1</v>
      </c>
    </row>
    <row r="130" spans="1:20">
      <c r="A130" s="4">
        <v>44256</v>
      </c>
      <c r="B130">
        <v>2021</v>
      </c>
      <c r="C130">
        <v>3</v>
      </c>
      <c r="D130" s="5" t="s">
        <v>35</v>
      </c>
      <c r="E130" s="5" t="s">
        <v>36</v>
      </c>
      <c r="F130" s="5" t="s">
        <v>37</v>
      </c>
      <c r="G130" s="5" t="s">
        <v>38</v>
      </c>
      <c r="H130" s="5" t="s">
        <v>63</v>
      </c>
      <c r="I130" s="5" t="s">
        <v>64</v>
      </c>
      <c r="J130" s="5" t="s">
        <v>41</v>
      </c>
      <c r="K130">
        <v>23</v>
      </c>
      <c r="L130">
        <v>773704</v>
      </c>
      <c r="M130" s="26">
        <v>17795192</v>
      </c>
      <c r="N130">
        <v>46869</v>
      </c>
      <c r="O130" s="26">
        <v>2283029.21</v>
      </c>
      <c r="P130" s="5" t="s">
        <v>50</v>
      </c>
      <c r="Q130" s="5" t="s">
        <v>51</v>
      </c>
      <c r="R130">
        <v>3.7</v>
      </c>
      <c r="S130">
        <v>19</v>
      </c>
      <c r="T130">
        <f t="shared" ref="T130:T193" si="2">IF(AND(OR($B130=Sel_Year,Sel_Year="All"),OR($C130=Sel_Month,Sel_Month="All"),OR($D130=Sel_Region,Sel_Region="All"),OR($E130=Sel_State,Sel_State="All"),OR($F130=Sel_City,Sel_City="All"),OR($G130=Sel_Dealer,Sel_Dealer="All"),OR($H130=Sel_Model,Sel_Model="All"),OR($I130=Sel_Segment,Sel_Segment="All"),OR($J130=Sel_Fuel,Sel_Fuel="All"),OR($P130=Sel_CustType,Sel_CustType="All"),OR($Q130=Sel_Payment,Sel_Payment="All")),1,0)</f>
        <v>0</v>
      </c>
    </row>
    <row r="131" spans="1:20">
      <c r="A131" s="4">
        <v>44269</v>
      </c>
      <c r="B131">
        <v>2021</v>
      </c>
      <c r="C131">
        <v>3</v>
      </c>
      <c r="D131" s="5" t="s">
        <v>44</v>
      </c>
      <c r="E131" s="5" t="s">
        <v>45</v>
      </c>
      <c r="F131" s="5" t="s">
        <v>46</v>
      </c>
      <c r="G131" s="5" t="s">
        <v>47</v>
      </c>
      <c r="H131" s="5" t="s">
        <v>48</v>
      </c>
      <c r="I131" s="5" t="s">
        <v>40</v>
      </c>
      <c r="J131" s="5" t="s">
        <v>49</v>
      </c>
      <c r="K131">
        <v>6</v>
      </c>
      <c r="L131">
        <v>471066</v>
      </c>
      <c r="M131" s="26">
        <v>2826396</v>
      </c>
      <c r="N131">
        <v>33308</v>
      </c>
      <c r="O131" s="26">
        <v>361452.84</v>
      </c>
      <c r="P131" s="5" t="s">
        <v>42</v>
      </c>
      <c r="Q131" s="5" t="s">
        <v>43</v>
      </c>
      <c r="R131">
        <v>4.0999999999999996</v>
      </c>
      <c r="S131">
        <v>21</v>
      </c>
      <c r="T131">
        <f t="shared" si="2"/>
        <v>1</v>
      </c>
    </row>
    <row r="132" spans="1:20">
      <c r="A132" s="4">
        <v>44278</v>
      </c>
      <c r="B132">
        <v>2021</v>
      </c>
      <c r="C132">
        <v>3</v>
      </c>
      <c r="D132" s="5" t="s">
        <v>35</v>
      </c>
      <c r="E132" s="5" t="s">
        <v>60</v>
      </c>
      <c r="F132" s="5" t="s">
        <v>61</v>
      </c>
      <c r="G132" s="5" t="s">
        <v>62</v>
      </c>
      <c r="H132" s="5" t="s">
        <v>74</v>
      </c>
      <c r="I132" s="5" t="s">
        <v>40</v>
      </c>
      <c r="J132" s="5" t="s">
        <v>49</v>
      </c>
      <c r="K132">
        <v>11</v>
      </c>
      <c r="L132">
        <v>650851</v>
      </c>
      <c r="M132" s="26">
        <v>7159361</v>
      </c>
      <c r="N132">
        <v>7451</v>
      </c>
      <c r="O132" s="26">
        <v>942792.2</v>
      </c>
      <c r="P132" s="5" t="s">
        <v>50</v>
      </c>
      <c r="Q132" s="5" t="s">
        <v>75</v>
      </c>
      <c r="R132">
        <v>4.7</v>
      </c>
      <c r="S132">
        <v>20</v>
      </c>
      <c r="T132">
        <f t="shared" si="2"/>
        <v>0</v>
      </c>
    </row>
    <row r="133" spans="1:20">
      <c r="A133" s="4">
        <v>44281</v>
      </c>
      <c r="B133">
        <v>2021</v>
      </c>
      <c r="C133">
        <v>3</v>
      </c>
      <c r="D133" s="5" t="s">
        <v>35</v>
      </c>
      <c r="E133" s="5" t="s">
        <v>36</v>
      </c>
      <c r="F133" s="5" t="s">
        <v>37</v>
      </c>
      <c r="G133" s="5" t="s">
        <v>38</v>
      </c>
      <c r="H133" s="5" t="s">
        <v>57</v>
      </c>
      <c r="I133" s="5" t="s">
        <v>58</v>
      </c>
      <c r="J133" s="5" t="s">
        <v>59</v>
      </c>
      <c r="K133">
        <v>37</v>
      </c>
      <c r="L133">
        <v>1420017</v>
      </c>
      <c r="M133" s="26">
        <v>52540629</v>
      </c>
      <c r="N133">
        <v>28349</v>
      </c>
      <c r="O133" s="26">
        <v>6519363.9199999999</v>
      </c>
      <c r="P133" s="5" t="s">
        <v>42</v>
      </c>
      <c r="Q133" s="5" t="s">
        <v>43</v>
      </c>
      <c r="R133">
        <v>4.7</v>
      </c>
      <c r="S133">
        <v>9</v>
      </c>
      <c r="T133">
        <f t="shared" si="2"/>
        <v>1</v>
      </c>
    </row>
    <row r="134" spans="1:20">
      <c r="A134" s="4">
        <v>44257</v>
      </c>
      <c r="B134">
        <v>2021</v>
      </c>
      <c r="C134">
        <v>3</v>
      </c>
      <c r="D134" s="5" t="s">
        <v>35</v>
      </c>
      <c r="E134" s="5" t="s">
        <v>76</v>
      </c>
      <c r="F134" s="5" t="s">
        <v>77</v>
      </c>
      <c r="G134" s="5" t="s">
        <v>78</v>
      </c>
      <c r="H134" s="5" t="s">
        <v>73</v>
      </c>
      <c r="I134" s="5" t="s">
        <v>40</v>
      </c>
      <c r="J134" s="5" t="s">
        <v>49</v>
      </c>
      <c r="K134">
        <v>40</v>
      </c>
      <c r="L134">
        <v>713443</v>
      </c>
      <c r="M134" s="26">
        <v>28537720</v>
      </c>
      <c r="N134">
        <v>15397</v>
      </c>
      <c r="O134" s="26">
        <v>2548768.2000000002</v>
      </c>
      <c r="P134" s="5" t="s">
        <v>42</v>
      </c>
      <c r="Q134" s="5" t="s">
        <v>43</v>
      </c>
      <c r="R134">
        <v>4.8</v>
      </c>
      <c r="S134">
        <v>13</v>
      </c>
      <c r="T134">
        <f t="shared" si="2"/>
        <v>1</v>
      </c>
    </row>
    <row r="135" spans="1:20">
      <c r="A135" s="4">
        <v>44269</v>
      </c>
      <c r="B135">
        <v>2021</v>
      </c>
      <c r="C135">
        <v>3</v>
      </c>
      <c r="D135" s="5" t="s">
        <v>44</v>
      </c>
      <c r="E135" s="5" t="s">
        <v>82</v>
      </c>
      <c r="F135" s="5" t="s">
        <v>83</v>
      </c>
      <c r="G135" s="5" t="s">
        <v>84</v>
      </c>
      <c r="H135" s="5" t="s">
        <v>80</v>
      </c>
      <c r="I135" s="5" t="s">
        <v>81</v>
      </c>
      <c r="J135" s="5" t="s">
        <v>41</v>
      </c>
      <c r="K135">
        <v>45</v>
      </c>
      <c r="L135">
        <v>578875</v>
      </c>
      <c r="M135" s="26">
        <v>26049375</v>
      </c>
      <c r="N135">
        <v>8648</v>
      </c>
      <c r="O135" s="26">
        <v>3369647.85</v>
      </c>
      <c r="P135" s="5" t="s">
        <v>42</v>
      </c>
      <c r="Q135" s="5" t="s">
        <v>43</v>
      </c>
      <c r="R135">
        <v>3.9</v>
      </c>
      <c r="S135">
        <v>12</v>
      </c>
      <c r="T135">
        <f t="shared" si="2"/>
        <v>1</v>
      </c>
    </row>
    <row r="136" spans="1:20">
      <c r="A136" s="4">
        <v>44257</v>
      </c>
      <c r="B136">
        <v>2021</v>
      </c>
      <c r="C136">
        <v>3</v>
      </c>
      <c r="D136" s="5" t="s">
        <v>35</v>
      </c>
      <c r="E136" s="5" t="s">
        <v>60</v>
      </c>
      <c r="F136" s="5" t="s">
        <v>61</v>
      </c>
      <c r="G136" s="5" t="s">
        <v>62</v>
      </c>
      <c r="H136" s="5" t="s">
        <v>65</v>
      </c>
      <c r="I136" s="5" t="s">
        <v>53</v>
      </c>
      <c r="J136" s="5" t="s">
        <v>49</v>
      </c>
      <c r="K136">
        <v>20</v>
      </c>
      <c r="L136">
        <v>1261610</v>
      </c>
      <c r="M136" s="26">
        <v>25232200</v>
      </c>
      <c r="N136">
        <v>44953</v>
      </c>
      <c r="O136" s="26">
        <v>3066208.44</v>
      </c>
      <c r="P136" s="5" t="s">
        <v>42</v>
      </c>
      <c r="Q136" s="5" t="s">
        <v>51</v>
      </c>
      <c r="R136">
        <v>3.7</v>
      </c>
      <c r="S136">
        <v>18</v>
      </c>
      <c r="T136">
        <f t="shared" si="2"/>
        <v>1</v>
      </c>
    </row>
    <row r="137" spans="1:20">
      <c r="A137" s="4">
        <v>44280</v>
      </c>
      <c r="B137">
        <v>2021</v>
      </c>
      <c r="C137">
        <v>3</v>
      </c>
      <c r="D137" s="5" t="s">
        <v>35</v>
      </c>
      <c r="E137" s="5" t="s">
        <v>36</v>
      </c>
      <c r="F137" s="5" t="s">
        <v>37</v>
      </c>
      <c r="G137" s="5" t="s">
        <v>38</v>
      </c>
      <c r="H137" s="5" t="s">
        <v>57</v>
      </c>
      <c r="I137" s="5" t="s">
        <v>58</v>
      </c>
      <c r="J137" s="5" t="s">
        <v>59</v>
      </c>
      <c r="K137">
        <v>46</v>
      </c>
      <c r="L137">
        <v>1411019</v>
      </c>
      <c r="M137" s="26">
        <v>64906874</v>
      </c>
      <c r="N137">
        <v>36944</v>
      </c>
      <c r="O137" s="26">
        <v>9836854.5999999996</v>
      </c>
      <c r="P137" s="5" t="s">
        <v>50</v>
      </c>
      <c r="Q137" s="5" t="s">
        <v>51</v>
      </c>
      <c r="R137">
        <v>3.5</v>
      </c>
      <c r="S137">
        <v>8</v>
      </c>
      <c r="T137">
        <f t="shared" si="2"/>
        <v>0</v>
      </c>
    </row>
    <row r="138" spans="1:20">
      <c r="A138" s="4">
        <v>44259</v>
      </c>
      <c r="B138">
        <v>2021</v>
      </c>
      <c r="C138">
        <v>3</v>
      </c>
      <c r="D138" s="5" t="s">
        <v>66</v>
      </c>
      <c r="E138" s="5" t="s">
        <v>67</v>
      </c>
      <c r="F138" s="5" t="s">
        <v>68</v>
      </c>
      <c r="G138" s="5" t="s">
        <v>69</v>
      </c>
      <c r="H138" s="5" t="s">
        <v>80</v>
      </c>
      <c r="I138" s="5" t="s">
        <v>81</v>
      </c>
      <c r="J138" s="5" t="s">
        <v>41</v>
      </c>
      <c r="K138">
        <v>58</v>
      </c>
      <c r="L138">
        <v>531449</v>
      </c>
      <c r="M138" s="26">
        <v>30824042</v>
      </c>
      <c r="N138">
        <v>31033</v>
      </c>
      <c r="O138" s="26">
        <v>4232983.3</v>
      </c>
      <c r="P138" s="5" t="s">
        <v>50</v>
      </c>
      <c r="Q138" s="5" t="s">
        <v>43</v>
      </c>
      <c r="R138">
        <v>5</v>
      </c>
      <c r="S138">
        <v>12</v>
      </c>
      <c r="T138">
        <f t="shared" si="2"/>
        <v>0</v>
      </c>
    </row>
    <row r="139" spans="1:20">
      <c r="A139" s="4">
        <v>44276</v>
      </c>
      <c r="B139">
        <v>2021</v>
      </c>
      <c r="C139">
        <v>3</v>
      </c>
      <c r="D139" s="5" t="s">
        <v>35</v>
      </c>
      <c r="E139" s="5" t="s">
        <v>76</v>
      </c>
      <c r="F139" s="5" t="s">
        <v>77</v>
      </c>
      <c r="G139" s="5" t="s">
        <v>78</v>
      </c>
      <c r="H139" s="5" t="s">
        <v>80</v>
      </c>
      <c r="I139" s="5" t="s">
        <v>81</v>
      </c>
      <c r="J139" s="5" t="s">
        <v>41</v>
      </c>
      <c r="K139">
        <v>34</v>
      </c>
      <c r="L139">
        <v>568692</v>
      </c>
      <c r="M139" s="26">
        <v>19335528</v>
      </c>
      <c r="N139">
        <v>35878</v>
      </c>
      <c r="O139" s="26">
        <v>2118477.58</v>
      </c>
      <c r="P139" s="5" t="s">
        <v>50</v>
      </c>
      <c r="Q139" s="5" t="s">
        <v>43</v>
      </c>
      <c r="R139">
        <v>4.2</v>
      </c>
      <c r="S139">
        <v>19</v>
      </c>
      <c r="T139">
        <f t="shared" si="2"/>
        <v>0</v>
      </c>
    </row>
    <row r="140" spans="1:20">
      <c r="A140" s="4">
        <v>44268</v>
      </c>
      <c r="B140">
        <v>2021</v>
      </c>
      <c r="C140">
        <v>3</v>
      </c>
      <c r="D140" s="5" t="s">
        <v>44</v>
      </c>
      <c r="E140" s="5" t="s">
        <v>45</v>
      </c>
      <c r="F140" s="5" t="s">
        <v>46</v>
      </c>
      <c r="G140" s="5" t="s">
        <v>47</v>
      </c>
      <c r="H140" s="5" t="s">
        <v>39</v>
      </c>
      <c r="I140" s="5" t="s">
        <v>40</v>
      </c>
      <c r="J140" s="5" t="s">
        <v>41</v>
      </c>
      <c r="K140">
        <v>36</v>
      </c>
      <c r="L140">
        <v>567462</v>
      </c>
      <c r="M140" s="26">
        <v>20428632</v>
      </c>
      <c r="N140">
        <v>13206</v>
      </c>
      <c r="O140" s="26">
        <v>1879240.05</v>
      </c>
      <c r="P140" s="5" t="s">
        <v>42</v>
      </c>
      <c r="Q140" s="5" t="s">
        <v>75</v>
      </c>
      <c r="R140">
        <v>4.7</v>
      </c>
      <c r="S140">
        <v>4</v>
      </c>
      <c r="T140">
        <f t="shared" si="2"/>
        <v>1</v>
      </c>
    </row>
    <row r="141" spans="1:20">
      <c r="A141" s="4">
        <v>44282</v>
      </c>
      <c r="B141">
        <v>2021</v>
      </c>
      <c r="C141">
        <v>3</v>
      </c>
      <c r="D141" s="5" t="s">
        <v>35</v>
      </c>
      <c r="E141" s="5" t="s">
        <v>36</v>
      </c>
      <c r="F141" s="5" t="s">
        <v>37</v>
      </c>
      <c r="G141" s="5" t="s">
        <v>38</v>
      </c>
      <c r="H141" s="5" t="s">
        <v>48</v>
      </c>
      <c r="I141" s="5" t="s">
        <v>40</v>
      </c>
      <c r="J141" s="5" t="s">
        <v>49</v>
      </c>
      <c r="K141">
        <v>54</v>
      </c>
      <c r="L141">
        <v>444708</v>
      </c>
      <c r="M141" s="26">
        <v>24014232</v>
      </c>
      <c r="N141">
        <v>48727</v>
      </c>
      <c r="O141" s="26">
        <v>2885626.94</v>
      </c>
      <c r="P141" s="5" t="s">
        <v>42</v>
      </c>
      <c r="Q141" s="5" t="s">
        <v>75</v>
      </c>
      <c r="R141">
        <v>3.7</v>
      </c>
      <c r="S141">
        <v>18</v>
      </c>
      <c r="T141">
        <f t="shared" si="2"/>
        <v>1</v>
      </c>
    </row>
    <row r="142" spans="1:20">
      <c r="A142" s="4">
        <v>44278</v>
      </c>
      <c r="B142">
        <v>2021</v>
      </c>
      <c r="C142">
        <v>3</v>
      </c>
      <c r="D142" s="5" t="s">
        <v>44</v>
      </c>
      <c r="E142" s="5" t="s">
        <v>45</v>
      </c>
      <c r="F142" s="5" t="s">
        <v>46</v>
      </c>
      <c r="G142" s="5" t="s">
        <v>47</v>
      </c>
      <c r="H142" s="5" t="s">
        <v>63</v>
      </c>
      <c r="I142" s="5" t="s">
        <v>64</v>
      </c>
      <c r="J142" s="5" t="s">
        <v>41</v>
      </c>
      <c r="K142">
        <v>6</v>
      </c>
      <c r="L142">
        <v>760436</v>
      </c>
      <c r="M142" s="26">
        <v>4562616</v>
      </c>
      <c r="N142">
        <v>30988</v>
      </c>
      <c r="O142" s="26">
        <v>660984.86</v>
      </c>
      <c r="P142" s="5" t="s">
        <v>50</v>
      </c>
      <c r="Q142" s="5" t="s">
        <v>51</v>
      </c>
      <c r="R142">
        <v>4.5</v>
      </c>
      <c r="S142">
        <v>2</v>
      </c>
      <c r="T142">
        <f t="shared" si="2"/>
        <v>0</v>
      </c>
    </row>
    <row r="143" spans="1:20">
      <c r="A143" s="4">
        <v>44263</v>
      </c>
      <c r="B143">
        <v>2021</v>
      </c>
      <c r="C143">
        <v>3</v>
      </c>
      <c r="D143" s="5" t="s">
        <v>35</v>
      </c>
      <c r="E143" s="5" t="s">
        <v>76</v>
      </c>
      <c r="F143" s="5" t="s">
        <v>77</v>
      </c>
      <c r="G143" s="5" t="s">
        <v>78</v>
      </c>
      <c r="H143" s="5" t="s">
        <v>79</v>
      </c>
      <c r="I143" s="5" t="s">
        <v>58</v>
      </c>
      <c r="J143" s="5" t="s">
        <v>49</v>
      </c>
      <c r="K143">
        <v>15</v>
      </c>
      <c r="L143">
        <v>913402</v>
      </c>
      <c r="M143" s="26">
        <v>13701030</v>
      </c>
      <c r="N143">
        <v>16734</v>
      </c>
      <c r="O143" s="26">
        <v>1471463.73</v>
      </c>
      <c r="P143" s="5" t="s">
        <v>50</v>
      </c>
      <c r="Q143" s="5" t="s">
        <v>51</v>
      </c>
      <c r="R143">
        <v>4.9000000000000004</v>
      </c>
      <c r="S143">
        <v>7</v>
      </c>
      <c r="T143">
        <f t="shared" si="2"/>
        <v>0</v>
      </c>
    </row>
    <row r="144" spans="1:20">
      <c r="A144" s="4">
        <v>44263</v>
      </c>
      <c r="B144">
        <v>2021</v>
      </c>
      <c r="C144">
        <v>3</v>
      </c>
      <c r="D144" s="5" t="s">
        <v>35</v>
      </c>
      <c r="E144" s="5" t="s">
        <v>36</v>
      </c>
      <c r="F144" s="5" t="s">
        <v>37</v>
      </c>
      <c r="G144" s="5" t="s">
        <v>38</v>
      </c>
      <c r="H144" s="5" t="s">
        <v>79</v>
      </c>
      <c r="I144" s="5" t="s">
        <v>58</v>
      </c>
      <c r="J144" s="5" t="s">
        <v>49</v>
      </c>
      <c r="K144">
        <v>42</v>
      </c>
      <c r="L144">
        <v>871413</v>
      </c>
      <c r="M144" s="26">
        <v>36599346</v>
      </c>
      <c r="N144">
        <v>38627</v>
      </c>
      <c r="O144" s="26">
        <v>3562911.14</v>
      </c>
      <c r="P144" s="5" t="s">
        <v>50</v>
      </c>
      <c r="Q144" s="5" t="s">
        <v>51</v>
      </c>
      <c r="R144">
        <v>4.5999999999999996</v>
      </c>
      <c r="S144">
        <v>18</v>
      </c>
      <c r="T144">
        <f t="shared" si="2"/>
        <v>0</v>
      </c>
    </row>
    <row r="145" spans="1:20">
      <c r="A145" s="4">
        <v>44276</v>
      </c>
      <c r="B145">
        <v>2021</v>
      </c>
      <c r="C145">
        <v>3</v>
      </c>
      <c r="D145" s="5" t="s">
        <v>44</v>
      </c>
      <c r="E145" s="5" t="s">
        <v>45</v>
      </c>
      <c r="F145" s="5" t="s">
        <v>46</v>
      </c>
      <c r="G145" s="5" t="s">
        <v>47</v>
      </c>
      <c r="H145" s="5" t="s">
        <v>85</v>
      </c>
      <c r="I145" s="5" t="s">
        <v>58</v>
      </c>
      <c r="J145" s="5" t="s">
        <v>49</v>
      </c>
      <c r="K145">
        <v>30</v>
      </c>
      <c r="L145">
        <v>1001083</v>
      </c>
      <c r="M145" s="26">
        <v>30032490</v>
      </c>
      <c r="N145">
        <v>35470</v>
      </c>
      <c r="O145" s="26">
        <v>2688733</v>
      </c>
      <c r="P145" s="5" t="s">
        <v>50</v>
      </c>
      <c r="Q145" s="5" t="s">
        <v>43</v>
      </c>
      <c r="R145">
        <v>3.6</v>
      </c>
      <c r="S145">
        <v>5</v>
      </c>
      <c r="T145">
        <f t="shared" si="2"/>
        <v>0</v>
      </c>
    </row>
    <row r="146" spans="1:20">
      <c r="A146" s="4">
        <v>44283</v>
      </c>
      <c r="B146">
        <v>2021</v>
      </c>
      <c r="C146">
        <v>3</v>
      </c>
      <c r="D146" s="5" t="s">
        <v>35</v>
      </c>
      <c r="E146" s="5" t="s">
        <v>60</v>
      </c>
      <c r="F146" s="5" t="s">
        <v>61</v>
      </c>
      <c r="G146" s="5" t="s">
        <v>62</v>
      </c>
      <c r="H146" s="5" t="s">
        <v>74</v>
      </c>
      <c r="I146" s="5" t="s">
        <v>40</v>
      </c>
      <c r="J146" s="5" t="s">
        <v>49</v>
      </c>
      <c r="K146">
        <v>38</v>
      </c>
      <c r="L146">
        <v>635675</v>
      </c>
      <c r="M146" s="26">
        <v>24155650</v>
      </c>
      <c r="N146">
        <v>5797</v>
      </c>
      <c r="O146" s="26">
        <v>1972745.7</v>
      </c>
      <c r="P146" s="5" t="s">
        <v>42</v>
      </c>
      <c r="Q146" s="5" t="s">
        <v>43</v>
      </c>
      <c r="R146">
        <v>3.9</v>
      </c>
      <c r="S146">
        <v>15</v>
      </c>
      <c r="T146">
        <f t="shared" si="2"/>
        <v>1</v>
      </c>
    </row>
    <row r="147" spans="1:20">
      <c r="A147" s="4">
        <v>44276</v>
      </c>
      <c r="B147">
        <v>2021</v>
      </c>
      <c r="C147">
        <v>3</v>
      </c>
      <c r="D147" s="5" t="s">
        <v>35</v>
      </c>
      <c r="E147" s="5" t="s">
        <v>36</v>
      </c>
      <c r="F147" s="5" t="s">
        <v>37</v>
      </c>
      <c r="G147" s="5" t="s">
        <v>38</v>
      </c>
      <c r="H147" s="5" t="s">
        <v>39</v>
      </c>
      <c r="I147" s="5" t="s">
        <v>40</v>
      </c>
      <c r="J147" s="5" t="s">
        <v>41</v>
      </c>
      <c r="K147">
        <v>13</v>
      </c>
      <c r="L147">
        <v>586809</v>
      </c>
      <c r="M147" s="26">
        <v>7628517</v>
      </c>
      <c r="N147">
        <v>25861</v>
      </c>
      <c r="O147" s="26">
        <v>1080563.77</v>
      </c>
      <c r="P147" s="5" t="s">
        <v>42</v>
      </c>
      <c r="Q147" s="5" t="s">
        <v>51</v>
      </c>
      <c r="R147">
        <v>4.7</v>
      </c>
      <c r="S147">
        <v>19</v>
      </c>
      <c r="T147">
        <f t="shared" si="2"/>
        <v>1</v>
      </c>
    </row>
    <row r="148" spans="1:20">
      <c r="A148" s="4">
        <v>44271</v>
      </c>
      <c r="B148">
        <v>2021</v>
      </c>
      <c r="C148">
        <v>3</v>
      </c>
      <c r="D148" s="5" t="s">
        <v>35</v>
      </c>
      <c r="E148" s="5" t="s">
        <v>36</v>
      </c>
      <c r="F148" s="5" t="s">
        <v>37</v>
      </c>
      <c r="G148" s="5" t="s">
        <v>38</v>
      </c>
      <c r="H148" s="5" t="s">
        <v>65</v>
      </c>
      <c r="I148" s="5" t="s">
        <v>53</v>
      </c>
      <c r="J148" s="5" t="s">
        <v>49</v>
      </c>
      <c r="K148">
        <v>30</v>
      </c>
      <c r="L148">
        <v>1265779</v>
      </c>
      <c r="M148" s="26">
        <v>37973370</v>
      </c>
      <c r="N148">
        <v>30499</v>
      </c>
      <c r="O148" s="26">
        <v>5493611.04</v>
      </c>
      <c r="P148" s="5" t="s">
        <v>42</v>
      </c>
      <c r="Q148" s="5" t="s">
        <v>43</v>
      </c>
      <c r="R148">
        <v>4.9000000000000004</v>
      </c>
      <c r="S148">
        <v>10</v>
      </c>
      <c r="T148">
        <f t="shared" si="2"/>
        <v>1</v>
      </c>
    </row>
    <row r="149" spans="1:20">
      <c r="A149" s="4">
        <v>44267</v>
      </c>
      <c r="B149">
        <v>2021</v>
      </c>
      <c r="C149">
        <v>3</v>
      </c>
      <c r="D149" s="5" t="s">
        <v>44</v>
      </c>
      <c r="E149" s="5" t="s">
        <v>82</v>
      </c>
      <c r="F149" s="5" t="s">
        <v>83</v>
      </c>
      <c r="G149" s="5" t="s">
        <v>84</v>
      </c>
      <c r="H149" s="5" t="s">
        <v>86</v>
      </c>
      <c r="I149" s="5" t="s">
        <v>40</v>
      </c>
      <c r="J149" s="5" t="s">
        <v>41</v>
      </c>
      <c r="K149">
        <v>54</v>
      </c>
      <c r="L149">
        <v>617248</v>
      </c>
      <c r="M149" s="26">
        <v>33331392</v>
      </c>
      <c r="N149">
        <v>45766</v>
      </c>
      <c r="O149" s="26">
        <v>2889600.99</v>
      </c>
      <c r="P149" s="5" t="s">
        <v>42</v>
      </c>
      <c r="Q149" s="5" t="s">
        <v>75</v>
      </c>
      <c r="R149">
        <v>3.9</v>
      </c>
      <c r="S149">
        <v>10</v>
      </c>
      <c r="T149">
        <f t="shared" si="2"/>
        <v>1</v>
      </c>
    </row>
    <row r="150" spans="1:20">
      <c r="A150" s="4">
        <v>44260</v>
      </c>
      <c r="B150">
        <v>2021</v>
      </c>
      <c r="C150">
        <v>3</v>
      </c>
      <c r="D150" s="5" t="s">
        <v>54</v>
      </c>
      <c r="E150" s="5" t="s">
        <v>70</v>
      </c>
      <c r="F150" s="5" t="s">
        <v>71</v>
      </c>
      <c r="G150" s="5" t="s">
        <v>72</v>
      </c>
      <c r="H150" s="5" t="s">
        <v>79</v>
      </c>
      <c r="I150" s="5" t="s">
        <v>58</v>
      </c>
      <c r="J150" s="5" t="s">
        <v>49</v>
      </c>
      <c r="K150">
        <v>22</v>
      </c>
      <c r="L150">
        <v>907058</v>
      </c>
      <c r="M150" s="26">
        <v>19955276</v>
      </c>
      <c r="N150">
        <v>35655</v>
      </c>
      <c r="O150" s="26">
        <v>1617922.98</v>
      </c>
      <c r="P150" s="5" t="s">
        <v>42</v>
      </c>
      <c r="Q150" s="5" t="s">
        <v>75</v>
      </c>
      <c r="R150">
        <v>3.8</v>
      </c>
      <c r="S150">
        <v>20</v>
      </c>
      <c r="T150">
        <f t="shared" si="2"/>
        <v>1</v>
      </c>
    </row>
    <row r="151" spans="1:20">
      <c r="A151" s="4">
        <v>44273</v>
      </c>
      <c r="B151">
        <v>2021</v>
      </c>
      <c r="C151">
        <v>3</v>
      </c>
      <c r="D151" s="5" t="s">
        <v>35</v>
      </c>
      <c r="E151" s="5" t="s">
        <v>76</v>
      </c>
      <c r="F151" s="5" t="s">
        <v>77</v>
      </c>
      <c r="G151" s="5" t="s">
        <v>78</v>
      </c>
      <c r="H151" s="5" t="s">
        <v>57</v>
      </c>
      <c r="I151" s="5" t="s">
        <v>58</v>
      </c>
      <c r="J151" s="5" t="s">
        <v>59</v>
      </c>
      <c r="K151">
        <v>32</v>
      </c>
      <c r="L151">
        <v>1416930</v>
      </c>
      <c r="M151" s="26">
        <v>45341760</v>
      </c>
      <c r="N151">
        <v>20717</v>
      </c>
      <c r="O151" s="26">
        <v>5722536.9100000001</v>
      </c>
      <c r="P151" s="5" t="s">
        <v>42</v>
      </c>
      <c r="Q151" s="5" t="s">
        <v>43</v>
      </c>
      <c r="R151">
        <v>4.5999999999999996</v>
      </c>
      <c r="S151">
        <v>4</v>
      </c>
      <c r="T151">
        <f t="shared" si="2"/>
        <v>1</v>
      </c>
    </row>
    <row r="152" spans="1:20">
      <c r="A152" s="4">
        <v>44299</v>
      </c>
      <c r="B152">
        <v>2021</v>
      </c>
      <c r="C152">
        <v>4</v>
      </c>
      <c r="D152" s="5" t="s">
        <v>44</v>
      </c>
      <c r="E152" s="5" t="s">
        <v>45</v>
      </c>
      <c r="F152" s="5" t="s">
        <v>46</v>
      </c>
      <c r="G152" s="5" t="s">
        <v>47</v>
      </c>
      <c r="H152" s="5" t="s">
        <v>86</v>
      </c>
      <c r="I152" s="5" t="s">
        <v>40</v>
      </c>
      <c r="J152" s="5" t="s">
        <v>41</v>
      </c>
      <c r="K152">
        <v>55</v>
      </c>
      <c r="L152">
        <v>613731</v>
      </c>
      <c r="M152" s="26">
        <v>33755205</v>
      </c>
      <c r="N152">
        <v>8769</v>
      </c>
      <c r="O152" s="26">
        <v>2782132.8</v>
      </c>
      <c r="P152" s="5" t="s">
        <v>42</v>
      </c>
      <c r="Q152" s="5" t="s">
        <v>43</v>
      </c>
      <c r="R152">
        <v>4.5</v>
      </c>
      <c r="S152">
        <v>20</v>
      </c>
      <c r="T152">
        <f t="shared" si="2"/>
        <v>1</v>
      </c>
    </row>
    <row r="153" spans="1:20">
      <c r="A153" s="4">
        <v>44314</v>
      </c>
      <c r="B153">
        <v>2021</v>
      </c>
      <c r="C153">
        <v>4</v>
      </c>
      <c r="D153" s="5" t="s">
        <v>35</v>
      </c>
      <c r="E153" s="5" t="s">
        <v>36</v>
      </c>
      <c r="F153" s="5" t="s">
        <v>37</v>
      </c>
      <c r="G153" s="5" t="s">
        <v>38</v>
      </c>
      <c r="H153" s="5" t="s">
        <v>80</v>
      </c>
      <c r="I153" s="5" t="s">
        <v>81</v>
      </c>
      <c r="J153" s="5" t="s">
        <v>41</v>
      </c>
      <c r="K153">
        <v>39</v>
      </c>
      <c r="L153">
        <v>555805</v>
      </c>
      <c r="M153" s="26">
        <v>21676395</v>
      </c>
      <c r="N153">
        <v>9860</v>
      </c>
      <c r="O153" s="26">
        <v>3342437.61</v>
      </c>
      <c r="P153" s="5" t="s">
        <v>42</v>
      </c>
      <c r="Q153" s="5" t="s">
        <v>75</v>
      </c>
      <c r="R153">
        <v>3.9</v>
      </c>
      <c r="S153">
        <v>14</v>
      </c>
      <c r="T153">
        <f t="shared" si="2"/>
        <v>1</v>
      </c>
    </row>
    <row r="154" spans="1:20">
      <c r="A154" s="4">
        <v>44291</v>
      </c>
      <c r="B154">
        <v>2021</v>
      </c>
      <c r="C154">
        <v>4</v>
      </c>
      <c r="D154" s="5" t="s">
        <v>54</v>
      </c>
      <c r="E154" s="5" t="s">
        <v>70</v>
      </c>
      <c r="F154" s="5" t="s">
        <v>71</v>
      </c>
      <c r="G154" s="5" t="s">
        <v>72</v>
      </c>
      <c r="H154" s="5" t="s">
        <v>65</v>
      </c>
      <c r="I154" s="5" t="s">
        <v>53</v>
      </c>
      <c r="J154" s="5" t="s">
        <v>49</v>
      </c>
      <c r="K154">
        <v>58</v>
      </c>
      <c r="L154">
        <v>1231685</v>
      </c>
      <c r="M154" s="26">
        <v>71437730</v>
      </c>
      <c r="N154">
        <v>19752</v>
      </c>
      <c r="O154" s="26">
        <v>7417186.4900000002</v>
      </c>
      <c r="P154" s="5" t="s">
        <v>42</v>
      </c>
      <c r="Q154" s="5" t="s">
        <v>43</v>
      </c>
      <c r="R154">
        <v>4.3</v>
      </c>
      <c r="S154">
        <v>4</v>
      </c>
      <c r="T154">
        <f t="shared" si="2"/>
        <v>1</v>
      </c>
    </row>
    <row r="155" spans="1:20">
      <c r="A155" s="4">
        <v>44312</v>
      </c>
      <c r="B155">
        <v>2021</v>
      </c>
      <c r="C155">
        <v>4</v>
      </c>
      <c r="D155" s="5" t="s">
        <v>44</v>
      </c>
      <c r="E155" s="5" t="s">
        <v>82</v>
      </c>
      <c r="F155" s="5" t="s">
        <v>83</v>
      </c>
      <c r="G155" s="5" t="s">
        <v>84</v>
      </c>
      <c r="H155" s="5" t="s">
        <v>85</v>
      </c>
      <c r="I155" s="5" t="s">
        <v>58</v>
      </c>
      <c r="J155" s="5" t="s">
        <v>49</v>
      </c>
      <c r="K155">
        <v>50</v>
      </c>
      <c r="L155">
        <v>980372</v>
      </c>
      <c r="M155" s="26">
        <v>49018600</v>
      </c>
      <c r="N155">
        <v>6435</v>
      </c>
      <c r="O155" s="26">
        <v>5059879.47</v>
      </c>
      <c r="P155" s="5" t="s">
        <v>50</v>
      </c>
      <c r="Q155" s="5" t="s">
        <v>51</v>
      </c>
      <c r="R155">
        <v>4.0999999999999996</v>
      </c>
      <c r="S155">
        <v>16</v>
      </c>
      <c r="T155">
        <f t="shared" si="2"/>
        <v>0</v>
      </c>
    </row>
    <row r="156" spans="1:20">
      <c r="A156" s="4">
        <v>44291</v>
      </c>
      <c r="B156">
        <v>2021</v>
      </c>
      <c r="C156">
        <v>4</v>
      </c>
      <c r="D156" s="5" t="s">
        <v>44</v>
      </c>
      <c r="E156" s="5" t="s">
        <v>82</v>
      </c>
      <c r="F156" s="5" t="s">
        <v>83</v>
      </c>
      <c r="G156" s="5" t="s">
        <v>84</v>
      </c>
      <c r="H156" s="5" t="s">
        <v>39</v>
      </c>
      <c r="I156" s="5" t="s">
        <v>40</v>
      </c>
      <c r="J156" s="5" t="s">
        <v>41</v>
      </c>
      <c r="K156">
        <v>8</v>
      </c>
      <c r="L156">
        <v>553412</v>
      </c>
      <c r="M156" s="26">
        <v>4427296</v>
      </c>
      <c r="N156">
        <v>25683</v>
      </c>
      <c r="O156" s="26">
        <v>410818.31</v>
      </c>
      <c r="P156" s="5" t="s">
        <v>50</v>
      </c>
      <c r="Q156" s="5" t="s">
        <v>75</v>
      </c>
      <c r="R156">
        <v>4.8</v>
      </c>
      <c r="S156">
        <v>20</v>
      </c>
      <c r="T156">
        <f t="shared" si="2"/>
        <v>0</v>
      </c>
    </row>
    <row r="157" spans="1:20">
      <c r="A157" s="4">
        <v>44309</v>
      </c>
      <c r="B157">
        <v>2021</v>
      </c>
      <c r="C157">
        <v>4</v>
      </c>
      <c r="D157" s="5" t="s">
        <v>35</v>
      </c>
      <c r="E157" s="5" t="s">
        <v>76</v>
      </c>
      <c r="F157" s="5" t="s">
        <v>77</v>
      </c>
      <c r="G157" s="5" t="s">
        <v>78</v>
      </c>
      <c r="H157" s="5" t="s">
        <v>65</v>
      </c>
      <c r="I157" s="5" t="s">
        <v>53</v>
      </c>
      <c r="J157" s="5" t="s">
        <v>49</v>
      </c>
      <c r="K157">
        <v>18</v>
      </c>
      <c r="L157">
        <v>1253045</v>
      </c>
      <c r="M157" s="26">
        <v>22554810</v>
      </c>
      <c r="N157">
        <v>38274</v>
      </c>
      <c r="O157" s="26">
        <v>2520404.92</v>
      </c>
      <c r="P157" s="5" t="s">
        <v>50</v>
      </c>
      <c r="Q157" s="5" t="s">
        <v>43</v>
      </c>
      <c r="R157">
        <v>4.5</v>
      </c>
      <c r="S157">
        <v>18</v>
      </c>
      <c r="T157">
        <f t="shared" si="2"/>
        <v>0</v>
      </c>
    </row>
    <row r="158" spans="1:20">
      <c r="A158" s="4">
        <v>44312</v>
      </c>
      <c r="B158">
        <v>2021</v>
      </c>
      <c r="C158">
        <v>4</v>
      </c>
      <c r="D158" s="5" t="s">
        <v>35</v>
      </c>
      <c r="E158" s="5" t="s">
        <v>36</v>
      </c>
      <c r="F158" s="5" t="s">
        <v>37</v>
      </c>
      <c r="G158" s="5" t="s">
        <v>38</v>
      </c>
      <c r="H158" s="5" t="s">
        <v>65</v>
      </c>
      <c r="I158" s="5" t="s">
        <v>53</v>
      </c>
      <c r="J158" s="5" t="s">
        <v>49</v>
      </c>
      <c r="K158">
        <v>42</v>
      </c>
      <c r="L158">
        <v>1236685</v>
      </c>
      <c r="M158" s="26">
        <v>51940770</v>
      </c>
      <c r="N158">
        <v>5238</v>
      </c>
      <c r="O158" s="26">
        <v>7137536.9000000004</v>
      </c>
      <c r="P158" s="5" t="s">
        <v>50</v>
      </c>
      <c r="Q158" s="5" t="s">
        <v>51</v>
      </c>
      <c r="R158">
        <v>4.0999999999999996</v>
      </c>
      <c r="S158">
        <v>17</v>
      </c>
      <c r="T158">
        <f t="shared" si="2"/>
        <v>0</v>
      </c>
    </row>
    <row r="159" spans="1:20">
      <c r="A159" s="4">
        <v>44304</v>
      </c>
      <c r="B159">
        <v>2021</v>
      </c>
      <c r="C159">
        <v>4</v>
      </c>
      <c r="D159" s="5" t="s">
        <v>35</v>
      </c>
      <c r="E159" s="5" t="s">
        <v>76</v>
      </c>
      <c r="F159" s="5" t="s">
        <v>77</v>
      </c>
      <c r="G159" s="5" t="s">
        <v>78</v>
      </c>
      <c r="H159" s="5" t="s">
        <v>63</v>
      </c>
      <c r="I159" s="5" t="s">
        <v>64</v>
      </c>
      <c r="J159" s="5" t="s">
        <v>41</v>
      </c>
      <c r="K159">
        <v>7</v>
      </c>
      <c r="L159">
        <v>771840</v>
      </c>
      <c r="M159" s="26">
        <v>5402880</v>
      </c>
      <c r="N159">
        <v>15995</v>
      </c>
      <c r="O159" s="26">
        <v>722504.2</v>
      </c>
      <c r="P159" s="5" t="s">
        <v>50</v>
      </c>
      <c r="Q159" s="5" t="s">
        <v>43</v>
      </c>
      <c r="R159">
        <v>5</v>
      </c>
      <c r="S159">
        <v>15</v>
      </c>
      <c r="T159">
        <f t="shared" si="2"/>
        <v>0</v>
      </c>
    </row>
    <row r="160" spans="1:20">
      <c r="A160" s="4">
        <v>44291</v>
      </c>
      <c r="B160">
        <v>2021</v>
      </c>
      <c r="C160">
        <v>4</v>
      </c>
      <c r="D160" s="5" t="s">
        <v>66</v>
      </c>
      <c r="E160" s="5" t="s">
        <v>67</v>
      </c>
      <c r="F160" s="5" t="s">
        <v>68</v>
      </c>
      <c r="G160" s="5" t="s">
        <v>69</v>
      </c>
      <c r="H160" s="5" t="s">
        <v>63</v>
      </c>
      <c r="I160" s="5" t="s">
        <v>64</v>
      </c>
      <c r="J160" s="5" t="s">
        <v>41</v>
      </c>
      <c r="K160">
        <v>36</v>
      </c>
      <c r="L160">
        <v>736404</v>
      </c>
      <c r="M160" s="26">
        <v>26510544</v>
      </c>
      <c r="N160">
        <v>48862</v>
      </c>
      <c r="O160" s="26">
        <v>3883321.35</v>
      </c>
      <c r="P160" s="5" t="s">
        <v>50</v>
      </c>
      <c r="Q160" s="5" t="s">
        <v>51</v>
      </c>
      <c r="R160">
        <v>3.5</v>
      </c>
      <c r="S160">
        <v>3</v>
      </c>
      <c r="T160">
        <f t="shared" si="2"/>
        <v>0</v>
      </c>
    </row>
    <row r="161" spans="1:20">
      <c r="A161" s="4">
        <v>44297</v>
      </c>
      <c r="B161">
        <v>2021</v>
      </c>
      <c r="C161">
        <v>4</v>
      </c>
      <c r="D161" s="5" t="s">
        <v>35</v>
      </c>
      <c r="E161" s="5" t="s">
        <v>60</v>
      </c>
      <c r="F161" s="5" t="s">
        <v>61</v>
      </c>
      <c r="G161" s="5" t="s">
        <v>62</v>
      </c>
      <c r="H161" s="5" t="s">
        <v>85</v>
      </c>
      <c r="I161" s="5" t="s">
        <v>58</v>
      </c>
      <c r="J161" s="5" t="s">
        <v>49</v>
      </c>
      <c r="K161">
        <v>30</v>
      </c>
      <c r="L161">
        <v>1003929</v>
      </c>
      <c r="M161" s="26">
        <v>30117870</v>
      </c>
      <c r="N161">
        <v>40301</v>
      </c>
      <c r="O161" s="26">
        <v>4390813.79</v>
      </c>
      <c r="P161" s="5" t="s">
        <v>50</v>
      </c>
      <c r="Q161" s="5" t="s">
        <v>75</v>
      </c>
      <c r="R161">
        <v>3.6</v>
      </c>
      <c r="S161">
        <v>3</v>
      </c>
      <c r="T161">
        <f t="shared" si="2"/>
        <v>0</v>
      </c>
    </row>
    <row r="162" spans="1:20">
      <c r="A162" s="4">
        <v>44314</v>
      </c>
      <c r="B162">
        <v>2021</v>
      </c>
      <c r="C162">
        <v>4</v>
      </c>
      <c r="D162" s="5" t="s">
        <v>66</v>
      </c>
      <c r="E162" s="5" t="s">
        <v>67</v>
      </c>
      <c r="F162" s="5" t="s">
        <v>68</v>
      </c>
      <c r="G162" s="5" t="s">
        <v>69</v>
      </c>
      <c r="H162" s="5" t="s">
        <v>48</v>
      </c>
      <c r="I162" s="5" t="s">
        <v>40</v>
      </c>
      <c r="J162" s="5" t="s">
        <v>49</v>
      </c>
      <c r="K162">
        <v>17</v>
      </c>
      <c r="L162">
        <v>431352</v>
      </c>
      <c r="M162" s="26">
        <v>7332984</v>
      </c>
      <c r="N162">
        <v>44014</v>
      </c>
      <c r="O162" s="26">
        <v>881131.35</v>
      </c>
      <c r="P162" s="5" t="s">
        <v>42</v>
      </c>
      <c r="Q162" s="5" t="s">
        <v>51</v>
      </c>
      <c r="R162">
        <v>4</v>
      </c>
      <c r="S162">
        <v>9</v>
      </c>
      <c r="T162">
        <f t="shared" si="2"/>
        <v>1</v>
      </c>
    </row>
    <row r="163" spans="1:20">
      <c r="A163" s="4">
        <v>44288</v>
      </c>
      <c r="B163">
        <v>2021</v>
      </c>
      <c r="C163">
        <v>4</v>
      </c>
      <c r="D163" s="5" t="s">
        <v>54</v>
      </c>
      <c r="E163" s="5" t="s">
        <v>70</v>
      </c>
      <c r="F163" s="5" t="s">
        <v>71</v>
      </c>
      <c r="G163" s="5" t="s">
        <v>72</v>
      </c>
      <c r="H163" s="5" t="s">
        <v>80</v>
      </c>
      <c r="I163" s="5" t="s">
        <v>81</v>
      </c>
      <c r="J163" s="5" t="s">
        <v>41</v>
      </c>
      <c r="K163">
        <v>42</v>
      </c>
      <c r="L163">
        <v>569620</v>
      </c>
      <c r="M163" s="26">
        <v>23924040</v>
      </c>
      <c r="N163">
        <v>9227</v>
      </c>
      <c r="O163" s="26">
        <v>2566642.08</v>
      </c>
      <c r="P163" s="5" t="s">
        <v>42</v>
      </c>
      <c r="Q163" s="5" t="s">
        <v>75</v>
      </c>
      <c r="R163">
        <v>4.8</v>
      </c>
      <c r="S163">
        <v>7</v>
      </c>
      <c r="T163">
        <f t="shared" si="2"/>
        <v>1</v>
      </c>
    </row>
    <row r="164" spans="1:20">
      <c r="A164" s="4">
        <v>44314</v>
      </c>
      <c r="B164">
        <v>2021</v>
      </c>
      <c r="C164">
        <v>4</v>
      </c>
      <c r="D164" s="5" t="s">
        <v>35</v>
      </c>
      <c r="E164" s="5" t="s">
        <v>36</v>
      </c>
      <c r="F164" s="5" t="s">
        <v>37</v>
      </c>
      <c r="G164" s="5" t="s">
        <v>38</v>
      </c>
      <c r="H164" s="5" t="s">
        <v>63</v>
      </c>
      <c r="I164" s="5" t="s">
        <v>64</v>
      </c>
      <c r="J164" s="5" t="s">
        <v>41</v>
      </c>
      <c r="K164">
        <v>35</v>
      </c>
      <c r="L164">
        <v>732821</v>
      </c>
      <c r="M164" s="26">
        <v>25648735</v>
      </c>
      <c r="N164">
        <v>43228</v>
      </c>
      <c r="O164" s="26">
        <v>3079999</v>
      </c>
      <c r="P164" s="5" t="s">
        <v>42</v>
      </c>
      <c r="Q164" s="5" t="s">
        <v>75</v>
      </c>
      <c r="R164">
        <v>5</v>
      </c>
      <c r="S164">
        <v>18</v>
      </c>
      <c r="T164">
        <f t="shared" si="2"/>
        <v>1</v>
      </c>
    </row>
    <row r="165" spans="1:20">
      <c r="A165" s="4">
        <v>44288</v>
      </c>
      <c r="B165">
        <v>2021</v>
      </c>
      <c r="C165">
        <v>4</v>
      </c>
      <c r="D165" s="5" t="s">
        <v>44</v>
      </c>
      <c r="E165" s="5" t="s">
        <v>82</v>
      </c>
      <c r="F165" s="5" t="s">
        <v>83</v>
      </c>
      <c r="G165" s="5" t="s">
        <v>84</v>
      </c>
      <c r="H165" s="5" t="s">
        <v>79</v>
      </c>
      <c r="I165" s="5" t="s">
        <v>58</v>
      </c>
      <c r="J165" s="5" t="s">
        <v>49</v>
      </c>
      <c r="K165">
        <v>22</v>
      </c>
      <c r="L165">
        <v>929356</v>
      </c>
      <c r="M165" s="26">
        <v>20445832</v>
      </c>
      <c r="N165">
        <v>28081</v>
      </c>
      <c r="O165" s="26">
        <v>2405459.04</v>
      </c>
      <c r="P165" s="5" t="s">
        <v>42</v>
      </c>
      <c r="Q165" s="5" t="s">
        <v>75</v>
      </c>
      <c r="R165">
        <v>4.0999999999999996</v>
      </c>
      <c r="S165">
        <v>20</v>
      </c>
      <c r="T165">
        <f t="shared" si="2"/>
        <v>1</v>
      </c>
    </row>
    <row r="166" spans="1:20">
      <c r="A166" s="4">
        <v>44295</v>
      </c>
      <c r="B166">
        <v>2021</v>
      </c>
      <c r="C166">
        <v>4</v>
      </c>
      <c r="D166" s="5" t="s">
        <v>54</v>
      </c>
      <c r="E166" s="5" t="s">
        <v>70</v>
      </c>
      <c r="F166" s="5" t="s">
        <v>71</v>
      </c>
      <c r="G166" s="5" t="s">
        <v>72</v>
      </c>
      <c r="H166" s="5" t="s">
        <v>86</v>
      </c>
      <c r="I166" s="5" t="s">
        <v>40</v>
      </c>
      <c r="J166" s="5" t="s">
        <v>41</v>
      </c>
      <c r="K166">
        <v>43</v>
      </c>
      <c r="L166">
        <v>608622</v>
      </c>
      <c r="M166" s="26">
        <v>26170746</v>
      </c>
      <c r="N166">
        <v>41421</v>
      </c>
      <c r="O166" s="26">
        <v>3875286.44</v>
      </c>
      <c r="P166" s="5" t="s">
        <v>50</v>
      </c>
      <c r="Q166" s="5" t="s">
        <v>51</v>
      </c>
      <c r="R166">
        <v>4.7</v>
      </c>
      <c r="S166">
        <v>13</v>
      </c>
      <c r="T166">
        <f t="shared" si="2"/>
        <v>0</v>
      </c>
    </row>
    <row r="167" spans="1:20">
      <c r="A167" s="4">
        <v>44290</v>
      </c>
      <c r="B167">
        <v>2021</v>
      </c>
      <c r="C167">
        <v>4</v>
      </c>
      <c r="D167" s="5" t="s">
        <v>66</v>
      </c>
      <c r="E167" s="5" t="s">
        <v>67</v>
      </c>
      <c r="F167" s="5" t="s">
        <v>68</v>
      </c>
      <c r="G167" s="5" t="s">
        <v>69</v>
      </c>
      <c r="H167" s="5" t="s">
        <v>79</v>
      </c>
      <c r="I167" s="5" t="s">
        <v>58</v>
      </c>
      <c r="J167" s="5" t="s">
        <v>49</v>
      </c>
      <c r="K167">
        <v>38</v>
      </c>
      <c r="L167">
        <v>921830</v>
      </c>
      <c r="M167" s="26">
        <v>35029540</v>
      </c>
      <c r="N167">
        <v>6548</v>
      </c>
      <c r="O167" s="26">
        <v>4415540.2</v>
      </c>
      <c r="P167" s="5" t="s">
        <v>50</v>
      </c>
      <c r="Q167" s="5" t="s">
        <v>51</v>
      </c>
      <c r="R167">
        <v>4.3</v>
      </c>
      <c r="S167">
        <v>5</v>
      </c>
      <c r="T167">
        <f t="shared" si="2"/>
        <v>0</v>
      </c>
    </row>
    <row r="168" spans="1:20">
      <c r="A168" s="4">
        <v>44298</v>
      </c>
      <c r="B168">
        <v>2021</v>
      </c>
      <c r="C168">
        <v>4</v>
      </c>
      <c r="D168" s="5" t="s">
        <v>54</v>
      </c>
      <c r="E168" s="5" t="s">
        <v>70</v>
      </c>
      <c r="F168" s="5" t="s">
        <v>71</v>
      </c>
      <c r="G168" s="5" t="s">
        <v>72</v>
      </c>
      <c r="H168" s="5" t="s">
        <v>52</v>
      </c>
      <c r="I168" s="5" t="s">
        <v>53</v>
      </c>
      <c r="J168" s="5" t="s">
        <v>41</v>
      </c>
      <c r="K168">
        <v>28</v>
      </c>
      <c r="L168">
        <v>969170</v>
      </c>
      <c r="M168" s="26">
        <v>27136760</v>
      </c>
      <c r="N168">
        <v>41102</v>
      </c>
      <c r="O168" s="26">
        <v>2245754.75</v>
      </c>
      <c r="P168" s="5" t="s">
        <v>50</v>
      </c>
      <c r="Q168" s="5" t="s">
        <v>43</v>
      </c>
      <c r="R168">
        <v>4.8</v>
      </c>
      <c r="S168">
        <v>4</v>
      </c>
      <c r="T168">
        <f t="shared" si="2"/>
        <v>0</v>
      </c>
    </row>
    <row r="169" spans="1:20">
      <c r="A169" s="4">
        <v>44292</v>
      </c>
      <c r="B169">
        <v>2021</v>
      </c>
      <c r="C169">
        <v>4</v>
      </c>
      <c r="D169" s="5" t="s">
        <v>35</v>
      </c>
      <c r="E169" s="5" t="s">
        <v>60</v>
      </c>
      <c r="F169" s="5" t="s">
        <v>61</v>
      </c>
      <c r="G169" s="5" t="s">
        <v>62</v>
      </c>
      <c r="H169" s="5" t="s">
        <v>52</v>
      </c>
      <c r="I169" s="5" t="s">
        <v>53</v>
      </c>
      <c r="J169" s="5" t="s">
        <v>41</v>
      </c>
      <c r="K169">
        <v>37</v>
      </c>
      <c r="L169">
        <v>973106</v>
      </c>
      <c r="M169" s="26">
        <v>36004922</v>
      </c>
      <c r="N169">
        <v>40657</v>
      </c>
      <c r="O169" s="26">
        <v>2890204.58</v>
      </c>
      <c r="P169" s="5" t="s">
        <v>42</v>
      </c>
      <c r="Q169" s="5" t="s">
        <v>43</v>
      </c>
      <c r="R169">
        <v>3.8</v>
      </c>
      <c r="S169">
        <v>20</v>
      </c>
      <c r="T169">
        <f t="shared" si="2"/>
        <v>1</v>
      </c>
    </row>
    <row r="170" spans="1:20">
      <c r="A170" s="4">
        <v>44300</v>
      </c>
      <c r="B170">
        <v>2021</v>
      </c>
      <c r="C170">
        <v>4</v>
      </c>
      <c r="D170" s="5" t="s">
        <v>35</v>
      </c>
      <c r="E170" s="5" t="s">
        <v>36</v>
      </c>
      <c r="F170" s="5" t="s">
        <v>37</v>
      </c>
      <c r="G170" s="5" t="s">
        <v>38</v>
      </c>
      <c r="H170" s="5" t="s">
        <v>39</v>
      </c>
      <c r="I170" s="5" t="s">
        <v>40</v>
      </c>
      <c r="J170" s="5" t="s">
        <v>41</v>
      </c>
      <c r="K170">
        <v>11</v>
      </c>
      <c r="L170">
        <v>576475</v>
      </c>
      <c r="M170" s="26">
        <v>6341225</v>
      </c>
      <c r="N170">
        <v>25788</v>
      </c>
      <c r="O170" s="26">
        <v>947021.13</v>
      </c>
      <c r="P170" s="5" t="s">
        <v>42</v>
      </c>
      <c r="Q170" s="5" t="s">
        <v>43</v>
      </c>
      <c r="R170">
        <v>4.8</v>
      </c>
      <c r="S170">
        <v>21</v>
      </c>
      <c r="T170">
        <f t="shared" si="2"/>
        <v>1</v>
      </c>
    </row>
    <row r="171" spans="1:20">
      <c r="A171" s="4">
        <v>44312</v>
      </c>
      <c r="B171">
        <v>2021</v>
      </c>
      <c r="C171">
        <v>4</v>
      </c>
      <c r="D171" s="5" t="s">
        <v>54</v>
      </c>
      <c r="E171" s="5" t="s">
        <v>70</v>
      </c>
      <c r="F171" s="5" t="s">
        <v>71</v>
      </c>
      <c r="G171" s="5" t="s">
        <v>72</v>
      </c>
      <c r="H171" s="5" t="s">
        <v>74</v>
      </c>
      <c r="I171" s="5" t="s">
        <v>40</v>
      </c>
      <c r="J171" s="5" t="s">
        <v>49</v>
      </c>
      <c r="K171">
        <v>50</v>
      </c>
      <c r="L171">
        <v>624159</v>
      </c>
      <c r="M171" s="26">
        <v>31207950</v>
      </c>
      <c r="N171">
        <v>46335</v>
      </c>
      <c r="O171" s="26">
        <v>3112427.03</v>
      </c>
      <c r="P171" s="5" t="s">
        <v>42</v>
      </c>
      <c r="Q171" s="5" t="s">
        <v>43</v>
      </c>
      <c r="R171">
        <v>4.3</v>
      </c>
      <c r="S171">
        <v>20</v>
      </c>
      <c r="T171">
        <f t="shared" si="2"/>
        <v>1</v>
      </c>
    </row>
    <row r="172" spans="1:20">
      <c r="A172" s="4">
        <v>44291</v>
      </c>
      <c r="B172">
        <v>2021</v>
      </c>
      <c r="C172">
        <v>4</v>
      </c>
      <c r="D172" s="5" t="s">
        <v>44</v>
      </c>
      <c r="E172" s="5" t="s">
        <v>45</v>
      </c>
      <c r="F172" s="5" t="s">
        <v>46</v>
      </c>
      <c r="G172" s="5" t="s">
        <v>47</v>
      </c>
      <c r="H172" s="5" t="s">
        <v>73</v>
      </c>
      <c r="I172" s="5" t="s">
        <v>40</v>
      </c>
      <c r="J172" s="5" t="s">
        <v>49</v>
      </c>
      <c r="K172">
        <v>50</v>
      </c>
      <c r="L172">
        <v>701166</v>
      </c>
      <c r="M172" s="26">
        <v>35058300</v>
      </c>
      <c r="N172">
        <v>22517</v>
      </c>
      <c r="O172" s="26">
        <v>3965228.49</v>
      </c>
      <c r="P172" s="5" t="s">
        <v>42</v>
      </c>
      <c r="Q172" s="5" t="s">
        <v>51</v>
      </c>
      <c r="R172">
        <v>4.5999999999999996</v>
      </c>
      <c r="S172">
        <v>10</v>
      </c>
      <c r="T172">
        <f t="shared" si="2"/>
        <v>1</v>
      </c>
    </row>
    <row r="173" spans="1:20">
      <c r="A173" s="4">
        <v>44303</v>
      </c>
      <c r="B173">
        <v>2021</v>
      </c>
      <c r="C173">
        <v>4</v>
      </c>
      <c r="D173" s="5" t="s">
        <v>35</v>
      </c>
      <c r="E173" s="5" t="s">
        <v>76</v>
      </c>
      <c r="F173" s="5" t="s">
        <v>77</v>
      </c>
      <c r="G173" s="5" t="s">
        <v>78</v>
      </c>
      <c r="H173" s="5" t="s">
        <v>85</v>
      </c>
      <c r="I173" s="5" t="s">
        <v>58</v>
      </c>
      <c r="J173" s="5" t="s">
        <v>49</v>
      </c>
      <c r="K173">
        <v>11</v>
      </c>
      <c r="L173">
        <v>968161</v>
      </c>
      <c r="M173" s="26">
        <v>10649771</v>
      </c>
      <c r="N173">
        <v>36484</v>
      </c>
      <c r="O173" s="26">
        <v>892124.18</v>
      </c>
      <c r="P173" s="5" t="s">
        <v>42</v>
      </c>
      <c r="Q173" s="5" t="s">
        <v>75</v>
      </c>
      <c r="R173">
        <v>4.7</v>
      </c>
      <c r="S173">
        <v>4</v>
      </c>
      <c r="T173">
        <f t="shared" si="2"/>
        <v>1</v>
      </c>
    </row>
    <row r="174" spans="1:20">
      <c r="A174" s="4">
        <v>44301</v>
      </c>
      <c r="B174">
        <v>2021</v>
      </c>
      <c r="C174">
        <v>4</v>
      </c>
      <c r="D174" s="5" t="s">
        <v>54</v>
      </c>
      <c r="E174" s="5" t="s">
        <v>70</v>
      </c>
      <c r="F174" s="5" t="s">
        <v>71</v>
      </c>
      <c r="G174" s="5" t="s">
        <v>72</v>
      </c>
      <c r="H174" s="5" t="s">
        <v>52</v>
      </c>
      <c r="I174" s="5" t="s">
        <v>53</v>
      </c>
      <c r="J174" s="5" t="s">
        <v>41</v>
      </c>
      <c r="K174">
        <v>23</v>
      </c>
      <c r="L174">
        <v>976320</v>
      </c>
      <c r="M174" s="26">
        <v>22455360</v>
      </c>
      <c r="N174">
        <v>38827</v>
      </c>
      <c r="O174" s="26">
        <v>2035808.85</v>
      </c>
      <c r="P174" s="5" t="s">
        <v>42</v>
      </c>
      <c r="Q174" s="5" t="s">
        <v>51</v>
      </c>
      <c r="R174">
        <v>3.6</v>
      </c>
      <c r="S174">
        <v>12</v>
      </c>
      <c r="T174">
        <f t="shared" si="2"/>
        <v>1</v>
      </c>
    </row>
    <row r="175" spans="1:20">
      <c r="A175" s="4">
        <v>44305</v>
      </c>
      <c r="B175">
        <v>2021</v>
      </c>
      <c r="C175">
        <v>4</v>
      </c>
      <c r="D175" s="5" t="s">
        <v>66</v>
      </c>
      <c r="E175" s="5" t="s">
        <v>67</v>
      </c>
      <c r="F175" s="5" t="s">
        <v>68</v>
      </c>
      <c r="G175" s="5" t="s">
        <v>69</v>
      </c>
      <c r="H175" s="5" t="s">
        <v>65</v>
      </c>
      <c r="I175" s="5" t="s">
        <v>53</v>
      </c>
      <c r="J175" s="5" t="s">
        <v>49</v>
      </c>
      <c r="K175">
        <v>15</v>
      </c>
      <c r="L175">
        <v>1278121</v>
      </c>
      <c r="M175" s="26">
        <v>19171815</v>
      </c>
      <c r="N175">
        <v>41503</v>
      </c>
      <c r="O175" s="26">
        <v>1596055.66</v>
      </c>
      <c r="P175" s="5" t="s">
        <v>42</v>
      </c>
      <c r="Q175" s="5" t="s">
        <v>75</v>
      </c>
      <c r="R175">
        <v>5</v>
      </c>
      <c r="S175">
        <v>8</v>
      </c>
      <c r="T175">
        <f t="shared" si="2"/>
        <v>1</v>
      </c>
    </row>
    <row r="176" spans="1:20">
      <c r="A176" s="4">
        <v>44310</v>
      </c>
      <c r="B176">
        <v>2021</v>
      </c>
      <c r="C176">
        <v>4</v>
      </c>
      <c r="D176" s="5" t="s">
        <v>35</v>
      </c>
      <c r="E176" s="5" t="s">
        <v>76</v>
      </c>
      <c r="F176" s="5" t="s">
        <v>77</v>
      </c>
      <c r="G176" s="5" t="s">
        <v>78</v>
      </c>
      <c r="H176" s="5" t="s">
        <v>73</v>
      </c>
      <c r="I176" s="5" t="s">
        <v>40</v>
      </c>
      <c r="J176" s="5" t="s">
        <v>49</v>
      </c>
      <c r="K176">
        <v>42</v>
      </c>
      <c r="L176">
        <v>698522</v>
      </c>
      <c r="M176" s="26">
        <v>29337924</v>
      </c>
      <c r="N176">
        <v>43451</v>
      </c>
      <c r="O176" s="26">
        <v>3535197.48</v>
      </c>
      <c r="P176" s="5" t="s">
        <v>42</v>
      </c>
      <c r="Q176" s="5" t="s">
        <v>43</v>
      </c>
      <c r="R176">
        <v>3.8</v>
      </c>
      <c r="S176">
        <v>3</v>
      </c>
      <c r="T176">
        <f t="shared" si="2"/>
        <v>1</v>
      </c>
    </row>
    <row r="177" spans="1:20">
      <c r="A177" s="4">
        <v>44307</v>
      </c>
      <c r="B177">
        <v>2021</v>
      </c>
      <c r="C177">
        <v>4</v>
      </c>
      <c r="D177" s="5" t="s">
        <v>54</v>
      </c>
      <c r="E177" s="5" t="s">
        <v>70</v>
      </c>
      <c r="F177" s="5" t="s">
        <v>71</v>
      </c>
      <c r="G177" s="5" t="s">
        <v>72</v>
      </c>
      <c r="H177" s="5" t="s">
        <v>48</v>
      </c>
      <c r="I177" s="5" t="s">
        <v>40</v>
      </c>
      <c r="J177" s="5" t="s">
        <v>49</v>
      </c>
      <c r="K177">
        <v>26</v>
      </c>
      <c r="L177">
        <v>460271</v>
      </c>
      <c r="M177" s="26">
        <v>11967046</v>
      </c>
      <c r="N177">
        <v>28244</v>
      </c>
      <c r="O177" s="26">
        <v>1167762.77</v>
      </c>
      <c r="P177" s="5" t="s">
        <v>50</v>
      </c>
      <c r="Q177" s="5" t="s">
        <v>75</v>
      </c>
      <c r="R177">
        <v>5</v>
      </c>
      <c r="S177">
        <v>3</v>
      </c>
      <c r="T177">
        <f t="shared" si="2"/>
        <v>0</v>
      </c>
    </row>
    <row r="178" spans="1:20">
      <c r="A178" s="4">
        <v>44289</v>
      </c>
      <c r="B178">
        <v>2021</v>
      </c>
      <c r="C178">
        <v>4</v>
      </c>
      <c r="D178" s="5" t="s">
        <v>35</v>
      </c>
      <c r="E178" s="5" t="s">
        <v>36</v>
      </c>
      <c r="F178" s="5" t="s">
        <v>37</v>
      </c>
      <c r="G178" s="5" t="s">
        <v>38</v>
      </c>
      <c r="H178" s="5" t="s">
        <v>63</v>
      </c>
      <c r="I178" s="5" t="s">
        <v>64</v>
      </c>
      <c r="J178" s="5" t="s">
        <v>41</v>
      </c>
      <c r="K178">
        <v>40</v>
      </c>
      <c r="L178">
        <v>732612</v>
      </c>
      <c r="M178" s="26">
        <v>29304480</v>
      </c>
      <c r="N178">
        <v>5601</v>
      </c>
      <c r="O178" s="26">
        <v>2883770.7</v>
      </c>
      <c r="P178" s="5" t="s">
        <v>50</v>
      </c>
      <c r="Q178" s="5" t="s">
        <v>75</v>
      </c>
      <c r="R178">
        <v>4.9000000000000004</v>
      </c>
      <c r="S178">
        <v>8</v>
      </c>
      <c r="T178">
        <f t="shared" si="2"/>
        <v>0</v>
      </c>
    </row>
    <row r="179" spans="1:20">
      <c r="A179" s="4">
        <v>44297</v>
      </c>
      <c r="B179">
        <v>2021</v>
      </c>
      <c r="C179">
        <v>4</v>
      </c>
      <c r="D179" s="5" t="s">
        <v>35</v>
      </c>
      <c r="E179" s="5" t="s">
        <v>76</v>
      </c>
      <c r="F179" s="5" t="s">
        <v>77</v>
      </c>
      <c r="G179" s="5" t="s">
        <v>78</v>
      </c>
      <c r="H179" s="5" t="s">
        <v>48</v>
      </c>
      <c r="I179" s="5" t="s">
        <v>40</v>
      </c>
      <c r="J179" s="5" t="s">
        <v>49</v>
      </c>
      <c r="K179">
        <v>23</v>
      </c>
      <c r="L179">
        <v>435926</v>
      </c>
      <c r="M179" s="26">
        <v>10026298</v>
      </c>
      <c r="N179">
        <v>37144</v>
      </c>
      <c r="O179" s="26">
        <v>1207883</v>
      </c>
      <c r="P179" s="5" t="s">
        <v>42</v>
      </c>
      <c r="Q179" s="5" t="s">
        <v>51</v>
      </c>
      <c r="R179">
        <v>3.6</v>
      </c>
      <c r="S179">
        <v>21</v>
      </c>
      <c r="T179">
        <f t="shared" si="2"/>
        <v>1</v>
      </c>
    </row>
    <row r="180" spans="1:20">
      <c r="A180" s="4">
        <v>44305</v>
      </c>
      <c r="B180">
        <v>2021</v>
      </c>
      <c r="C180">
        <v>4</v>
      </c>
      <c r="D180" s="5" t="s">
        <v>35</v>
      </c>
      <c r="E180" s="5" t="s">
        <v>36</v>
      </c>
      <c r="F180" s="5" t="s">
        <v>37</v>
      </c>
      <c r="G180" s="5" t="s">
        <v>38</v>
      </c>
      <c r="H180" s="5" t="s">
        <v>85</v>
      </c>
      <c r="I180" s="5" t="s">
        <v>58</v>
      </c>
      <c r="J180" s="5" t="s">
        <v>49</v>
      </c>
      <c r="K180">
        <v>48</v>
      </c>
      <c r="L180">
        <v>990832</v>
      </c>
      <c r="M180" s="26">
        <v>47559936</v>
      </c>
      <c r="N180">
        <v>24461</v>
      </c>
      <c r="O180" s="26">
        <v>7439970.0599999996</v>
      </c>
      <c r="P180" s="5" t="s">
        <v>42</v>
      </c>
      <c r="Q180" s="5" t="s">
        <v>51</v>
      </c>
      <c r="R180">
        <v>4.2</v>
      </c>
      <c r="S180">
        <v>2</v>
      </c>
      <c r="T180">
        <f t="shared" si="2"/>
        <v>1</v>
      </c>
    </row>
    <row r="181" spans="1:20">
      <c r="A181" s="4">
        <v>44306</v>
      </c>
      <c r="B181">
        <v>2021</v>
      </c>
      <c r="C181">
        <v>4</v>
      </c>
      <c r="D181" s="5" t="s">
        <v>35</v>
      </c>
      <c r="E181" s="5" t="s">
        <v>60</v>
      </c>
      <c r="F181" s="5" t="s">
        <v>61</v>
      </c>
      <c r="G181" s="5" t="s">
        <v>62</v>
      </c>
      <c r="H181" s="5" t="s">
        <v>74</v>
      </c>
      <c r="I181" s="5" t="s">
        <v>40</v>
      </c>
      <c r="J181" s="5" t="s">
        <v>49</v>
      </c>
      <c r="K181">
        <v>11</v>
      </c>
      <c r="L181">
        <v>663198</v>
      </c>
      <c r="M181" s="26">
        <v>7295178</v>
      </c>
      <c r="N181">
        <v>46001</v>
      </c>
      <c r="O181" s="26">
        <v>920922.18</v>
      </c>
      <c r="P181" s="5" t="s">
        <v>42</v>
      </c>
      <c r="Q181" s="5" t="s">
        <v>51</v>
      </c>
      <c r="R181">
        <v>4.4000000000000004</v>
      </c>
      <c r="S181">
        <v>12</v>
      </c>
      <c r="T181">
        <f t="shared" si="2"/>
        <v>1</v>
      </c>
    </row>
    <row r="182" spans="1:20">
      <c r="A182" s="4">
        <v>44313</v>
      </c>
      <c r="B182">
        <v>2021</v>
      </c>
      <c r="C182">
        <v>4</v>
      </c>
      <c r="D182" s="5" t="s">
        <v>44</v>
      </c>
      <c r="E182" s="5" t="s">
        <v>45</v>
      </c>
      <c r="F182" s="5" t="s">
        <v>46</v>
      </c>
      <c r="G182" s="5" t="s">
        <v>47</v>
      </c>
      <c r="H182" s="5" t="s">
        <v>80</v>
      </c>
      <c r="I182" s="5" t="s">
        <v>81</v>
      </c>
      <c r="J182" s="5" t="s">
        <v>41</v>
      </c>
      <c r="K182">
        <v>31</v>
      </c>
      <c r="L182">
        <v>532798</v>
      </c>
      <c r="M182" s="26">
        <v>16516738</v>
      </c>
      <c r="N182">
        <v>38700</v>
      </c>
      <c r="O182" s="26">
        <v>2383991.38</v>
      </c>
      <c r="P182" s="5" t="s">
        <v>42</v>
      </c>
      <c r="Q182" s="5" t="s">
        <v>51</v>
      </c>
      <c r="R182">
        <v>4.5</v>
      </c>
      <c r="S182">
        <v>20</v>
      </c>
      <c r="T182">
        <f t="shared" si="2"/>
        <v>1</v>
      </c>
    </row>
    <row r="183" spans="1:20">
      <c r="A183" s="4">
        <v>44303</v>
      </c>
      <c r="B183">
        <v>2021</v>
      </c>
      <c r="C183">
        <v>4</v>
      </c>
      <c r="D183" s="5" t="s">
        <v>35</v>
      </c>
      <c r="E183" s="5" t="s">
        <v>60</v>
      </c>
      <c r="F183" s="5" t="s">
        <v>61</v>
      </c>
      <c r="G183" s="5" t="s">
        <v>62</v>
      </c>
      <c r="H183" s="5" t="s">
        <v>39</v>
      </c>
      <c r="I183" s="5" t="s">
        <v>40</v>
      </c>
      <c r="J183" s="5" t="s">
        <v>41</v>
      </c>
      <c r="K183">
        <v>35</v>
      </c>
      <c r="L183">
        <v>560838</v>
      </c>
      <c r="M183" s="26">
        <v>19629330</v>
      </c>
      <c r="N183">
        <v>22581</v>
      </c>
      <c r="O183" s="26">
        <v>2631329.38</v>
      </c>
      <c r="P183" s="5" t="s">
        <v>42</v>
      </c>
      <c r="Q183" s="5" t="s">
        <v>51</v>
      </c>
      <c r="R183">
        <v>4.5999999999999996</v>
      </c>
      <c r="S183">
        <v>14</v>
      </c>
      <c r="T183">
        <f t="shared" si="2"/>
        <v>1</v>
      </c>
    </row>
    <row r="184" spans="1:20">
      <c r="A184" s="4">
        <v>44312</v>
      </c>
      <c r="B184">
        <v>2021</v>
      </c>
      <c r="C184">
        <v>4</v>
      </c>
      <c r="D184" s="5" t="s">
        <v>44</v>
      </c>
      <c r="E184" s="5" t="s">
        <v>82</v>
      </c>
      <c r="F184" s="5" t="s">
        <v>83</v>
      </c>
      <c r="G184" s="5" t="s">
        <v>84</v>
      </c>
      <c r="H184" s="5" t="s">
        <v>63</v>
      </c>
      <c r="I184" s="5" t="s">
        <v>64</v>
      </c>
      <c r="J184" s="5" t="s">
        <v>41</v>
      </c>
      <c r="K184">
        <v>24</v>
      </c>
      <c r="L184">
        <v>730961</v>
      </c>
      <c r="M184" s="26">
        <v>17543064</v>
      </c>
      <c r="N184">
        <v>44623</v>
      </c>
      <c r="O184" s="26">
        <v>2466376.83</v>
      </c>
      <c r="P184" s="5" t="s">
        <v>42</v>
      </c>
      <c r="Q184" s="5" t="s">
        <v>43</v>
      </c>
      <c r="R184">
        <v>4.8</v>
      </c>
      <c r="S184">
        <v>9</v>
      </c>
      <c r="T184">
        <f t="shared" si="2"/>
        <v>1</v>
      </c>
    </row>
    <row r="185" spans="1:20">
      <c r="A185" s="4">
        <v>44307</v>
      </c>
      <c r="B185">
        <v>2021</v>
      </c>
      <c r="C185">
        <v>4</v>
      </c>
      <c r="D185" s="5" t="s">
        <v>35</v>
      </c>
      <c r="E185" s="5" t="s">
        <v>60</v>
      </c>
      <c r="F185" s="5" t="s">
        <v>61</v>
      </c>
      <c r="G185" s="5" t="s">
        <v>62</v>
      </c>
      <c r="H185" s="5" t="s">
        <v>85</v>
      </c>
      <c r="I185" s="5" t="s">
        <v>58</v>
      </c>
      <c r="J185" s="5" t="s">
        <v>49</v>
      </c>
      <c r="K185">
        <v>49</v>
      </c>
      <c r="L185">
        <v>981195</v>
      </c>
      <c r="M185" s="26">
        <v>48078555</v>
      </c>
      <c r="N185">
        <v>26993</v>
      </c>
      <c r="O185" s="26">
        <v>6524349.2300000004</v>
      </c>
      <c r="P185" s="5" t="s">
        <v>50</v>
      </c>
      <c r="Q185" s="5" t="s">
        <v>43</v>
      </c>
      <c r="R185">
        <v>4.8</v>
      </c>
      <c r="S185">
        <v>3</v>
      </c>
      <c r="T185">
        <f t="shared" si="2"/>
        <v>0</v>
      </c>
    </row>
    <row r="186" spans="1:20">
      <c r="A186" s="4">
        <v>44304</v>
      </c>
      <c r="B186">
        <v>2021</v>
      </c>
      <c r="C186">
        <v>4</v>
      </c>
      <c r="D186" s="5" t="s">
        <v>44</v>
      </c>
      <c r="E186" s="5" t="s">
        <v>45</v>
      </c>
      <c r="F186" s="5" t="s">
        <v>46</v>
      </c>
      <c r="G186" s="5" t="s">
        <v>47</v>
      </c>
      <c r="H186" s="5" t="s">
        <v>52</v>
      </c>
      <c r="I186" s="5" t="s">
        <v>53</v>
      </c>
      <c r="J186" s="5" t="s">
        <v>41</v>
      </c>
      <c r="K186">
        <v>60</v>
      </c>
      <c r="L186">
        <v>971437</v>
      </c>
      <c r="M186" s="26">
        <v>58286220</v>
      </c>
      <c r="N186">
        <v>5536</v>
      </c>
      <c r="O186" s="26">
        <v>5855686.9900000002</v>
      </c>
      <c r="P186" s="5" t="s">
        <v>50</v>
      </c>
      <c r="Q186" s="5" t="s">
        <v>43</v>
      </c>
      <c r="R186">
        <v>4.0999999999999996</v>
      </c>
      <c r="S186">
        <v>12</v>
      </c>
      <c r="T186">
        <f t="shared" si="2"/>
        <v>0</v>
      </c>
    </row>
    <row r="187" spans="1:20">
      <c r="A187" s="4">
        <v>44289</v>
      </c>
      <c r="B187">
        <v>2021</v>
      </c>
      <c r="C187">
        <v>4</v>
      </c>
      <c r="D187" s="5" t="s">
        <v>54</v>
      </c>
      <c r="E187" s="5" t="s">
        <v>70</v>
      </c>
      <c r="F187" s="5" t="s">
        <v>71</v>
      </c>
      <c r="G187" s="5" t="s">
        <v>72</v>
      </c>
      <c r="H187" s="5" t="s">
        <v>63</v>
      </c>
      <c r="I187" s="5" t="s">
        <v>64</v>
      </c>
      <c r="J187" s="5" t="s">
        <v>41</v>
      </c>
      <c r="K187">
        <v>42</v>
      </c>
      <c r="L187">
        <v>787538</v>
      </c>
      <c r="M187" s="26">
        <v>33076596</v>
      </c>
      <c r="N187">
        <v>8259</v>
      </c>
      <c r="O187" s="26">
        <v>3198012.44</v>
      </c>
      <c r="P187" s="5" t="s">
        <v>42</v>
      </c>
      <c r="Q187" s="5" t="s">
        <v>75</v>
      </c>
      <c r="R187">
        <v>4.5</v>
      </c>
      <c r="S187">
        <v>4</v>
      </c>
      <c r="T187">
        <f t="shared" si="2"/>
        <v>1</v>
      </c>
    </row>
    <row r="188" spans="1:20">
      <c r="A188" s="4">
        <v>44287</v>
      </c>
      <c r="B188">
        <v>2021</v>
      </c>
      <c r="C188">
        <v>4</v>
      </c>
      <c r="D188" s="5" t="s">
        <v>35</v>
      </c>
      <c r="E188" s="5" t="s">
        <v>36</v>
      </c>
      <c r="F188" s="5" t="s">
        <v>37</v>
      </c>
      <c r="G188" s="5" t="s">
        <v>38</v>
      </c>
      <c r="H188" s="5" t="s">
        <v>65</v>
      </c>
      <c r="I188" s="5" t="s">
        <v>53</v>
      </c>
      <c r="J188" s="5" t="s">
        <v>49</v>
      </c>
      <c r="K188">
        <v>23</v>
      </c>
      <c r="L188">
        <v>1246847</v>
      </c>
      <c r="M188" s="26">
        <v>28677481</v>
      </c>
      <c r="N188">
        <v>44808</v>
      </c>
      <c r="O188" s="26">
        <v>3076015.73</v>
      </c>
      <c r="P188" s="5" t="s">
        <v>50</v>
      </c>
      <c r="Q188" s="5" t="s">
        <v>51</v>
      </c>
      <c r="R188">
        <v>4.5999999999999996</v>
      </c>
      <c r="S188">
        <v>13</v>
      </c>
      <c r="T188">
        <f t="shared" si="2"/>
        <v>0</v>
      </c>
    </row>
    <row r="189" spans="1:20">
      <c r="A189" s="4">
        <v>44312</v>
      </c>
      <c r="B189">
        <v>2021</v>
      </c>
      <c r="C189">
        <v>4</v>
      </c>
      <c r="D189" s="5" t="s">
        <v>44</v>
      </c>
      <c r="E189" s="5" t="s">
        <v>82</v>
      </c>
      <c r="F189" s="5" t="s">
        <v>83</v>
      </c>
      <c r="G189" s="5" t="s">
        <v>84</v>
      </c>
      <c r="H189" s="5" t="s">
        <v>63</v>
      </c>
      <c r="I189" s="5" t="s">
        <v>64</v>
      </c>
      <c r="J189" s="5" t="s">
        <v>41</v>
      </c>
      <c r="K189">
        <v>29</v>
      </c>
      <c r="L189">
        <v>757553</v>
      </c>
      <c r="M189" s="26">
        <v>21969037</v>
      </c>
      <c r="N189">
        <v>39498</v>
      </c>
      <c r="O189" s="26">
        <v>3467670.27</v>
      </c>
      <c r="P189" s="5" t="s">
        <v>50</v>
      </c>
      <c r="Q189" s="5" t="s">
        <v>75</v>
      </c>
      <c r="R189">
        <v>4.0999999999999996</v>
      </c>
      <c r="S189">
        <v>9</v>
      </c>
      <c r="T189">
        <f t="shared" si="2"/>
        <v>0</v>
      </c>
    </row>
    <row r="190" spans="1:20">
      <c r="A190" s="4">
        <v>44299</v>
      </c>
      <c r="B190">
        <v>2021</v>
      </c>
      <c r="C190">
        <v>4</v>
      </c>
      <c r="D190" s="5" t="s">
        <v>54</v>
      </c>
      <c r="E190" s="5" t="s">
        <v>55</v>
      </c>
      <c r="F190" s="5" t="s">
        <v>55</v>
      </c>
      <c r="G190" s="5" t="s">
        <v>56</v>
      </c>
      <c r="H190" s="5" t="s">
        <v>39</v>
      </c>
      <c r="I190" s="5" t="s">
        <v>40</v>
      </c>
      <c r="J190" s="5" t="s">
        <v>41</v>
      </c>
      <c r="K190">
        <v>20</v>
      </c>
      <c r="L190">
        <v>591271</v>
      </c>
      <c r="M190" s="26">
        <v>11825420</v>
      </c>
      <c r="N190">
        <v>19716</v>
      </c>
      <c r="O190" s="26">
        <v>1176388.18</v>
      </c>
      <c r="P190" s="5" t="s">
        <v>42</v>
      </c>
      <c r="Q190" s="5" t="s">
        <v>75</v>
      </c>
      <c r="R190">
        <v>4.4000000000000004</v>
      </c>
      <c r="S190">
        <v>11</v>
      </c>
      <c r="T190">
        <f t="shared" si="2"/>
        <v>1</v>
      </c>
    </row>
    <row r="191" spans="1:20">
      <c r="A191" s="4">
        <v>44292</v>
      </c>
      <c r="B191">
        <v>2021</v>
      </c>
      <c r="C191">
        <v>4</v>
      </c>
      <c r="D191" s="5" t="s">
        <v>54</v>
      </c>
      <c r="E191" s="5" t="s">
        <v>70</v>
      </c>
      <c r="F191" s="5" t="s">
        <v>71</v>
      </c>
      <c r="G191" s="5" t="s">
        <v>72</v>
      </c>
      <c r="H191" s="5" t="s">
        <v>74</v>
      </c>
      <c r="I191" s="5" t="s">
        <v>40</v>
      </c>
      <c r="J191" s="5" t="s">
        <v>49</v>
      </c>
      <c r="K191">
        <v>50</v>
      </c>
      <c r="L191">
        <v>666168</v>
      </c>
      <c r="M191" s="26">
        <v>33308400</v>
      </c>
      <c r="N191">
        <v>25136</v>
      </c>
      <c r="O191" s="26">
        <v>3848511.26</v>
      </c>
      <c r="P191" s="5" t="s">
        <v>50</v>
      </c>
      <c r="Q191" s="5" t="s">
        <v>75</v>
      </c>
      <c r="R191">
        <v>5</v>
      </c>
      <c r="S191">
        <v>15</v>
      </c>
      <c r="T191">
        <f t="shared" si="2"/>
        <v>0</v>
      </c>
    </row>
    <row r="192" spans="1:20">
      <c r="A192" s="4">
        <v>44307</v>
      </c>
      <c r="B192">
        <v>2021</v>
      </c>
      <c r="C192">
        <v>4</v>
      </c>
      <c r="D192" s="5" t="s">
        <v>54</v>
      </c>
      <c r="E192" s="5" t="s">
        <v>70</v>
      </c>
      <c r="F192" s="5" t="s">
        <v>71</v>
      </c>
      <c r="G192" s="5" t="s">
        <v>72</v>
      </c>
      <c r="H192" s="5" t="s">
        <v>57</v>
      </c>
      <c r="I192" s="5" t="s">
        <v>58</v>
      </c>
      <c r="J192" s="5" t="s">
        <v>59</v>
      </c>
      <c r="K192">
        <v>36</v>
      </c>
      <c r="L192">
        <v>1390813</v>
      </c>
      <c r="M192" s="26">
        <v>50069268</v>
      </c>
      <c r="N192">
        <v>44568</v>
      </c>
      <c r="O192" s="26">
        <v>4452228.78</v>
      </c>
      <c r="P192" s="5" t="s">
        <v>42</v>
      </c>
      <c r="Q192" s="5" t="s">
        <v>51</v>
      </c>
      <c r="R192">
        <v>4.5</v>
      </c>
      <c r="S192">
        <v>15</v>
      </c>
      <c r="T192">
        <f t="shared" si="2"/>
        <v>1</v>
      </c>
    </row>
    <row r="193" spans="1:20">
      <c r="A193" s="4">
        <v>44303</v>
      </c>
      <c r="B193">
        <v>2021</v>
      </c>
      <c r="C193">
        <v>4</v>
      </c>
      <c r="D193" s="5" t="s">
        <v>54</v>
      </c>
      <c r="E193" s="5" t="s">
        <v>55</v>
      </c>
      <c r="F193" s="5" t="s">
        <v>55</v>
      </c>
      <c r="G193" s="5" t="s">
        <v>56</v>
      </c>
      <c r="H193" s="5" t="s">
        <v>63</v>
      </c>
      <c r="I193" s="5" t="s">
        <v>64</v>
      </c>
      <c r="J193" s="5" t="s">
        <v>41</v>
      </c>
      <c r="K193">
        <v>53</v>
      </c>
      <c r="L193">
        <v>735664</v>
      </c>
      <c r="M193" s="26">
        <v>38990192</v>
      </c>
      <c r="N193">
        <v>46858</v>
      </c>
      <c r="O193" s="26">
        <v>4653530.1100000003</v>
      </c>
      <c r="P193" s="5" t="s">
        <v>50</v>
      </c>
      <c r="Q193" s="5" t="s">
        <v>51</v>
      </c>
      <c r="R193">
        <v>4.5999999999999996</v>
      </c>
      <c r="S193">
        <v>10</v>
      </c>
      <c r="T193">
        <f t="shared" si="2"/>
        <v>0</v>
      </c>
    </row>
    <row r="194" spans="1:20">
      <c r="A194" s="4">
        <v>44303</v>
      </c>
      <c r="B194">
        <v>2021</v>
      </c>
      <c r="C194">
        <v>4</v>
      </c>
      <c r="D194" s="5" t="s">
        <v>66</v>
      </c>
      <c r="E194" s="5" t="s">
        <v>67</v>
      </c>
      <c r="F194" s="5" t="s">
        <v>68</v>
      </c>
      <c r="G194" s="5" t="s">
        <v>69</v>
      </c>
      <c r="H194" s="5" t="s">
        <v>52</v>
      </c>
      <c r="I194" s="5" t="s">
        <v>53</v>
      </c>
      <c r="J194" s="5" t="s">
        <v>41</v>
      </c>
      <c r="K194">
        <v>55</v>
      </c>
      <c r="L194">
        <v>935109</v>
      </c>
      <c r="M194" s="26">
        <v>51430995</v>
      </c>
      <c r="N194">
        <v>8552</v>
      </c>
      <c r="O194" s="26">
        <v>4536159.51</v>
      </c>
      <c r="P194" s="5" t="s">
        <v>50</v>
      </c>
      <c r="Q194" s="5" t="s">
        <v>75</v>
      </c>
      <c r="R194">
        <v>3.9</v>
      </c>
      <c r="S194">
        <v>3</v>
      </c>
      <c r="T194">
        <f t="shared" ref="T194:T257" si="3">IF(AND(OR($B194=Sel_Year,Sel_Year="All"),OR($C194=Sel_Month,Sel_Month="All"),OR($D194=Sel_Region,Sel_Region="All"),OR($E194=Sel_State,Sel_State="All"),OR($F194=Sel_City,Sel_City="All"),OR($G194=Sel_Dealer,Sel_Dealer="All"),OR($H194=Sel_Model,Sel_Model="All"),OR($I194=Sel_Segment,Sel_Segment="All"),OR($J194=Sel_Fuel,Sel_Fuel="All"),OR($P194=Sel_CustType,Sel_CustType="All"),OR($Q194=Sel_Payment,Sel_Payment="All")),1,0)</f>
        <v>0</v>
      </c>
    </row>
    <row r="195" spans="1:20">
      <c r="A195" s="4">
        <v>44309</v>
      </c>
      <c r="B195">
        <v>2021</v>
      </c>
      <c r="C195">
        <v>4</v>
      </c>
      <c r="D195" s="5" t="s">
        <v>44</v>
      </c>
      <c r="E195" s="5" t="s">
        <v>45</v>
      </c>
      <c r="F195" s="5" t="s">
        <v>46</v>
      </c>
      <c r="G195" s="5" t="s">
        <v>47</v>
      </c>
      <c r="H195" s="5" t="s">
        <v>85</v>
      </c>
      <c r="I195" s="5" t="s">
        <v>58</v>
      </c>
      <c r="J195" s="5" t="s">
        <v>49</v>
      </c>
      <c r="K195">
        <v>5</v>
      </c>
      <c r="L195">
        <v>994068</v>
      </c>
      <c r="M195" s="26">
        <v>4970340</v>
      </c>
      <c r="N195">
        <v>9049</v>
      </c>
      <c r="O195" s="26">
        <v>565800.14</v>
      </c>
      <c r="P195" s="5" t="s">
        <v>50</v>
      </c>
      <c r="Q195" s="5" t="s">
        <v>75</v>
      </c>
      <c r="R195">
        <v>3.6</v>
      </c>
      <c r="S195">
        <v>3</v>
      </c>
      <c r="T195">
        <f t="shared" si="3"/>
        <v>0</v>
      </c>
    </row>
    <row r="196" spans="1:20">
      <c r="A196" s="4">
        <v>44293</v>
      </c>
      <c r="B196">
        <v>2021</v>
      </c>
      <c r="C196">
        <v>4</v>
      </c>
      <c r="D196" s="5" t="s">
        <v>54</v>
      </c>
      <c r="E196" s="5" t="s">
        <v>70</v>
      </c>
      <c r="F196" s="5" t="s">
        <v>71</v>
      </c>
      <c r="G196" s="5" t="s">
        <v>72</v>
      </c>
      <c r="H196" s="5" t="s">
        <v>52</v>
      </c>
      <c r="I196" s="5" t="s">
        <v>53</v>
      </c>
      <c r="J196" s="5" t="s">
        <v>41</v>
      </c>
      <c r="K196">
        <v>55</v>
      </c>
      <c r="L196">
        <v>921228</v>
      </c>
      <c r="M196" s="26">
        <v>50667540</v>
      </c>
      <c r="N196">
        <v>45076</v>
      </c>
      <c r="O196" s="26">
        <v>4089070.08</v>
      </c>
      <c r="P196" s="5" t="s">
        <v>42</v>
      </c>
      <c r="Q196" s="5" t="s">
        <v>75</v>
      </c>
      <c r="R196">
        <v>3.9</v>
      </c>
      <c r="S196">
        <v>20</v>
      </c>
      <c r="T196">
        <f t="shared" si="3"/>
        <v>1</v>
      </c>
    </row>
    <row r="197" spans="1:20">
      <c r="A197" s="4">
        <v>44294</v>
      </c>
      <c r="B197">
        <v>2021</v>
      </c>
      <c r="C197">
        <v>4</v>
      </c>
      <c r="D197" s="5" t="s">
        <v>44</v>
      </c>
      <c r="E197" s="5" t="s">
        <v>82</v>
      </c>
      <c r="F197" s="5" t="s">
        <v>83</v>
      </c>
      <c r="G197" s="5" t="s">
        <v>84</v>
      </c>
      <c r="H197" s="5" t="s">
        <v>85</v>
      </c>
      <c r="I197" s="5" t="s">
        <v>58</v>
      </c>
      <c r="J197" s="5" t="s">
        <v>49</v>
      </c>
      <c r="K197">
        <v>16</v>
      </c>
      <c r="L197">
        <v>963811</v>
      </c>
      <c r="M197" s="26">
        <v>15420976</v>
      </c>
      <c r="N197">
        <v>30654</v>
      </c>
      <c r="O197" s="26">
        <v>2327951.7999999998</v>
      </c>
      <c r="P197" s="5" t="s">
        <v>42</v>
      </c>
      <c r="Q197" s="5" t="s">
        <v>75</v>
      </c>
      <c r="R197">
        <v>4</v>
      </c>
      <c r="S197">
        <v>15</v>
      </c>
      <c r="T197">
        <f t="shared" si="3"/>
        <v>1</v>
      </c>
    </row>
    <row r="198" spans="1:20">
      <c r="A198" s="4">
        <v>44311</v>
      </c>
      <c r="B198">
        <v>2021</v>
      </c>
      <c r="C198">
        <v>4</v>
      </c>
      <c r="D198" s="5" t="s">
        <v>44</v>
      </c>
      <c r="E198" s="5" t="s">
        <v>45</v>
      </c>
      <c r="F198" s="5" t="s">
        <v>46</v>
      </c>
      <c r="G198" s="5" t="s">
        <v>47</v>
      </c>
      <c r="H198" s="5" t="s">
        <v>74</v>
      </c>
      <c r="I198" s="5" t="s">
        <v>40</v>
      </c>
      <c r="J198" s="5" t="s">
        <v>49</v>
      </c>
      <c r="K198">
        <v>41</v>
      </c>
      <c r="L198">
        <v>632127</v>
      </c>
      <c r="M198" s="26">
        <v>25917207</v>
      </c>
      <c r="N198">
        <v>38135</v>
      </c>
      <c r="O198" s="26">
        <v>3400625.9</v>
      </c>
      <c r="P198" s="5" t="s">
        <v>50</v>
      </c>
      <c r="Q198" s="5" t="s">
        <v>75</v>
      </c>
      <c r="R198">
        <v>3.8</v>
      </c>
      <c r="S198">
        <v>11</v>
      </c>
      <c r="T198">
        <f t="shared" si="3"/>
        <v>0</v>
      </c>
    </row>
    <row r="199" spans="1:20">
      <c r="A199" s="4">
        <v>44301</v>
      </c>
      <c r="B199">
        <v>2021</v>
      </c>
      <c r="C199">
        <v>4</v>
      </c>
      <c r="D199" s="5" t="s">
        <v>44</v>
      </c>
      <c r="E199" s="5" t="s">
        <v>45</v>
      </c>
      <c r="F199" s="5" t="s">
        <v>46</v>
      </c>
      <c r="G199" s="5" t="s">
        <v>47</v>
      </c>
      <c r="H199" s="5" t="s">
        <v>74</v>
      </c>
      <c r="I199" s="5" t="s">
        <v>40</v>
      </c>
      <c r="J199" s="5" t="s">
        <v>49</v>
      </c>
      <c r="K199">
        <v>55</v>
      </c>
      <c r="L199">
        <v>640569</v>
      </c>
      <c r="M199" s="26">
        <v>35231295</v>
      </c>
      <c r="N199">
        <v>14587</v>
      </c>
      <c r="O199" s="26">
        <v>2995559</v>
      </c>
      <c r="P199" s="5" t="s">
        <v>50</v>
      </c>
      <c r="Q199" s="5" t="s">
        <v>75</v>
      </c>
      <c r="R199">
        <v>3.6</v>
      </c>
      <c r="S199">
        <v>11</v>
      </c>
      <c r="T199">
        <f t="shared" si="3"/>
        <v>0</v>
      </c>
    </row>
    <row r="200" spans="1:20">
      <c r="A200" s="4">
        <v>44294</v>
      </c>
      <c r="B200">
        <v>2021</v>
      </c>
      <c r="C200">
        <v>4</v>
      </c>
      <c r="D200" s="5" t="s">
        <v>54</v>
      </c>
      <c r="E200" s="5" t="s">
        <v>70</v>
      </c>
      <c r="F200" s="5" t="s">
        <v>71</v>
      </c>
      <c r="G200" s="5" t="s">
        <v>72</v>
      </c>
      <c r="H200" s="5" t="s">
        <v>74</v>
      </c>
      <c r="I200" s="5" t="s">
        <v>40</v>
      </c>
      <c r="J200" s="5" t="s">
        <v>49</v>
      </c>
      <c r="K200">
        <v>42</v>
      </c>
      <c r="L200">
        <v>625850</v>
      </c>
      <c r="M200" s="26">
        <v>26285700</v>
      </c>
      <c r="N200">
        <v>34001</v>
      </c>
      <c r="O200" s="26">
        <v>2523909.4500000002</v>
      </c>
      <c r="P200" s="5" t="s">
        <v>50</v>
      </c>
      <c r="Q200" s="5" t="s">
        <v>75</v>
      </c>
      <c r="R200">
        <v>3.6</v>
      </c>
      <c r="S200">
        <v>3</v>
      </c>
      <c r="T200">
        <f t="shared" si="3"/>
        <v>0</v>
      </c>
    </row>
    <row r="201" spans="1:20">
      <c r="A201" s="4">
        <v>44309</v>
      </c>
      <c r="B201">
        <v>2021</v>
      </c>
      <c r="C201">
        <v>4</v>
      </c>
      <c r="D201" s="5" t="s">
        <v>44</v>
      </c>
      <c r="E201" s="5" t="s">
        <v>45</v>
      </c>
      <c r="F201" s="5" t="s">
        <v>46</v>
      </c>
      <c r="G201" s="5" t="s">
        <v>47</v>
      </c>
      <c r="H201" s="5" t="s">
        <v>73</v>
      </c>
      <c r="I201" s="5" t="s">
        <v>40</v>
      </c>
      <c r="J201" s="5" t="s">
        <v>49</v>
      </c>
      <c r="K201">
        <v>55</v>
      </c>
      <c r="L201">
        <v>743186</v>
      </c>
      <c r="M201" s="26">
        <v>40875230</v>
      </c>
      <c r="N201">
        <v>19407</v>
      </c>
      <c r="O201" s="26">
        <v>6338591.0099999998</v>
      </c>
      <c r="P201" s="5" t="s">
        <v>42</v>
      </c>
      <c r="Q201" s="5" t="s">
        <v>51</v>
      </c>
      <c r="R201">
        <v>4.0999999999999996</v>
      </c>
      <c r="S201">
        <v>9</v>
      </c>
      <c r="T201">
        <f t="shared" si="3"/>
        <v>1</v>
      </c>
    </row>
    <row r="202" spans="1:20">
      <c r="A202" s="4">
        <v>44328</v>
      </c>
      <c r="B202">
        <v>2021</v>
      </c>
      <c r="C202">
        <v>5</v>
      </c>
      <c r="D202" s="5" t="s">
        <v>54</v>
      </c>
      <c r="E202" s="5" t="s">
        <v>55</v>
      </c>
      <c r="F202" s="5" t="s">
        <v>55</v>
      </c>
      <c r="G202" s="5" t="s">
        <v>56</v>
      </c>
      <c r="H202" s="5" t="s">
        <v>65</v>
      </c>
      <c r="I202" s="5" t="s">
        <v>53</v>
      </c>
      <c r="J202" s="5" t="s">
        <v>49</v>
      </c>
      <c r="K202">
        <v>21</v>
      </c>
      <c r="L202">
        <v>1270132</v>
      </c>
      <c r="M202" s="26">
        <v>26672772</v>
      </c>
      <c r="N202">
        <v>17766</v>
      </c>
      <c r="O202" s="26">
        <v>2828947.05</v>
      </c>
      <c r="P202" s="5" t="s">
        <v>42</v>
      </c>
      <c r="Q202" s="5" t="s">
        <v>51</v>
      </c>
      <c r="R202">
        <v>4.8</v>
      </c>
      <c r="S202">
        <v>14</v>
      </c>
      <c r="T202">
        <f t="shared" si="3"/>
        <v>1</v>
      </c>
    </row>
    <row r="203" spans="1:20">
      <c r="A203" s="4">
        <v>44322</v>
      </c>
      <c r="B203">
        <v>2021</v>
      </c>
      <c r="C203">
        <v>5</v>
      </c>
      <c r="D203" s="5" t="s">
        <v>66</v>
      </c>
      <c r="E203" s="5" t="s">
        <v>67</v>
      </c>
      <c r="F203" s="5" t="s">
        <v>68</v>
      </c>
      <c r="G203" s="5" t="s">
        <v>69</v>
      </c>
      <c r="H203" s="5" t="s">
        <v>73</v>
      </c>
      <c r="I203" s="5" t="s">
        <v>40</v>
      </c>
      <c r="J203" s="5" t="s">
        <v>49</v>
      </c>
      <c r="K203">
        <v>32</v>
      </c>
      <c r="L203">
        <v>706023</v>
      </c>
      <c r="M203" s="26">
        <v>22592736</v>
      </c>
      <c r="N203">
        <v>37069</v>
      </c>
      <c r="O203" s="26">
        <v>3393177.17</v>
      </c>
      <c r="P203" s="5" t="s">
        <v>50</v>
      </c>
      <c r="Q203" s="5" t="s">
        <v>75</v>
      </c>
      <c r="R203">
        <v>3.6</v>
      </c>
      <c r="S203">
        <v>15</v>
      </c>
      <c r="T203">
        <f t="shared" si="3"/>
        <v>0</v>
      </c>
    </row>
    <row r="204" spans="1:20">
      <c r="A204" s="4">
        <v>44328</v>
      </c>
      <c r="B204">
        <v>2021</v>
      </c>
      <c r="C204">
        <v>5</v>
      </c>
      <c r="D204" s="5" t="s">
        <v>44</v>
      </c>
      <c r="E204" s="5" t="s">
        <v>82</v>
      </c>
      <c r="F204" s="5" t="s">
        <v>83</v>
      </c>
      <c r="G204" s="5" t="s">
        <v>84</v>
      </c>
      <c r="H204" s="5" t="s">
        <v>57</v>
      </c>
      <c r="I204" s="5" t="s">
        <v>58</v>
      </c>
      <c r="J204" s="5" t="s">
        <v>59</v>
      </c>
      <c r="K204">
        <v>24</v>
      </c>
      <c r="L204">
        <v>1391957</v>
      </c>
      <c r="M204" s="26">
        <v>33406968</v>
      </c>
      <c r="N204">
        <v>29284</v>
      </c>
      <c r="O204" s="26">
        <v>3766319.66</v>
      </c>
      <c r="P204" s="5" t="s">
        <v>42</v>
      </c>
      <c r="Q204" s="5" t="s">
        <v>43</v>
      </c>
      <c r="R204">
        <v>4.0999999999999996</v>
      </c>
      <c r="S204">
        <v>17</v>
      </c>
      <c r="T204">
        <f t="shared" si="3"/>
        <v>1</v>
      </c>
    </row>
    <row r="205" spans="1:20">
      <c r="A205" s="4">
        <v>44321</v>
      </c>
      <c r="B205">
        <v>2021</v>
      </c>
      <c r="C205">
        <v>5</v>
      </c>
      <c r="D205" s="5" t="s">
        <v>54</v>
      </c>
      <c r="E205" s="5" t="s">
        <v>55</v>
      </c>
      <c r="F205" s="5" t="s">
        <v>55</v>
      </c>
      <c r="G205" s="5" t="s">
        <v>56</v>
      </c>
      <c r="H205" s="5" t="s">
        <v>52</v>
      </c>
      <c r="I205" s="5" t="s">
        <v>53</v>
      </c>
      <c r="J205" s="5" t="s">
        <v>41</v>
      </c>
      <c r="K205">
        <v>13</v>
      </c>
      <c r="L205">
        <v>939819</v>
      </c>
      <c r="M205" s="26">
        <v>12217647</v>
      </c>
      <c r="N205">
        <v>16011</v>
      </c>
      <c r="O205" s="26">
        <v>1272798.0900000001</v>
      </c>
      <c r="P205" s="5" t="s">
        <v>50</v>
      </c>
      <c r="Q205" s="5" t="s">
        <v>75</v>
      </c>
      <c r="R205">
        <v>4.2</v>
      </c>
      <c r="S205">
        <v>6</v>
      </c>
      <c r="T205">
        <f t="shared" si="3"/>
        <v>0</v>
      </c>
    </row>
    <row r="206" spans="1:20">
      <c r="A206" s="4">
        <v>44328</v>
      </c>
      <c r="B206">
        <v>2021</v>
      </c>
      <c r="C206">
        <v>5</v>
      </c>
      <c r="D206" s="5" t="s">
        <v>35</v>
      </c>
      <c r="E206" s="5" t="s">
        <v>36</v>
      </c>
      <c r="F206" s="5" t="s">
        <v>37</v>
      </c>
      <c r="G206" s="5" t="s">
        <v>38</v>
      </c>
      <c r="H206" s="5" t="s">
        <v>86</v>
      </c>
      <c r="I206" s="5" t="s">
        <v>40</v>
      </c>
      <c r="J206" s="5" t="s">
        <v>41</v>
      </c>
      <c r="K206">
        <v>10</v>
      </c>
      <c r="L206">
        <v>623258</v>
      </c>
      <c r="M206" s="26">
        <v>6232580</v>
      </c>
      <c r="N206">
        <v>45110</v>
      </c>
      <c r="O206" s="26">
        <v>625194.11</v>
      </c>
      <c r="P206" s="5" t="s">
        <v>42</v>
      </c>
      <c r="Q206" s="5" t="s">
        <v>75</v>
      </c>
      <c r="R206">
        <v>3.9</v>
      </c>
      <c r="S206">
        <v>17</v>
      </c>
      <c r="T206">
        <f t="shared" si="3"/>
        <v>1</v>
      </c>
    </row>
    <row r="207" spans="1:20">
      <c r="A207" s="4">
        <v>44331</v>
      </c>
      <c r="B207">
        <v>2021</v>
      </c>
      <c r="C207">
        <v>5</v>
      </c>
      <c r="D207" s="5" t="s">
        <v>44</v>
      </c>
      <c r="E207" s="5" t="s">
        <v>82</v>
      </c>
      <c r="F207" s="5" t="s">
        <v>83</v>
      </c>
      <c r="G207" s="5" t="s">
        <v>84</v>
      </c>
      <c r="H207" s="5" t="s">
        <v>73</v>
      </c>
      <c r="I207" s="5" t="s">
        <v>40</v>
      </c>
      <c r="J207" s="5" t="s">
        <v>49</v>
      </c>
      <c r="K207">
        <v>32</v>
      </c>
      <c r="L207">
        <v>700093</v>
      </c>
      <c r="M207" s="26">
        <v>22402976</v>
      </c>
      <c r="N207">
        <v>41042</v>
      </c>
      <c r="O207" s="26">
        <v>2425367.34</v>
      </c>
      <c r="P207" s="5" t="s">
        <v>50</v>
      </c>
      <c r="Q207" s="5" t="s">
        <v>75</v>
      </c>
      <c r="R207">
        <v>4.5</v>
      </c>
      <c r="S207">
        <v>4</v>
      </c>
      <c r="T207">
        <f t="shared" si="3"/>
        <v>0</v>
      </c>
    </row>
    <row r="208" spans="1:20">
      <c r="A208" s="4">
        <v>44323</v>
      </c>
      <c r="B208">
        <v>2021</v>
      </c>
      <c r="C208">
        <v>5</v>
      </c>
      <c r="D208" s="5" t="s">
        <v>35</v>
      </c>
      <c r="E208" s="5" t="s">
        <v>36</v>
      </c>
      <c r="F208" s="5" t="s">
        <v>37</v>
      </c>
      <c r="G208" s="5" t="s">
        <v>38</v>
      </c>
      <c r="H208" s="5" t="s">
        <v>48</v>
      </c>
      <c r="I208" s="5" t="s">
        <v>40</v>
      </c>
      <c r="J208" s="5" t="s">
        <v>49</v>
      </c>
      <c r="K208">
        <v>39</v>
      </c>
      <c r="L208">
        <v>422291</v>
      </c>
      <c r="M208" s="26">
        <v>16469349</v>
      </c>
      <c r="N208">
        <v>8071</v>
      </c>
      <c r="O208" s="26">
        <v>2274280.75</v>
      </c>
      <c r="P208" s="5" t="s">
        <v>42</v>
      </c>
      <c r="Q208" s="5" t="s">
        <v>51</v>
      </c>
      <c r="R208">
        <v>4.9000000000000004</v>
      </c>
      <c r="S208">
        <v>18</v>
      </c>
      <c r="T208">
        <f t="shared" si="3"/>
        <v>1</v>
      </c>
    </row>
    <row r="209" spans="1:20">
      <c r="A209" s="4">
        <v>44337</v>
      </c>
      <c r="B209">
        <v>2021</v>
      </c>
      <c r="C209">
        <v>5</v>
      </c>
      <c r="D209" s="5" t="s">
        <v>54</v>
      </c>
      <c r="E209" s="5" t="s">
        <v>70</v>
      </c>
      <c r="F209" s="5" t="s">
        <v>71</v>
      </c>
      <c r="G209" s="5" t="s">
        <v>72</v>
      </c>
      <c r="H209" s="5" t="s">
        <v>57</v>
      </c>
      <c r="I209" s="5" t="s">
        <v>58</v>
      </c>
      <c r="J209" s="5" t="s">
        <v>59</v>
      </c>
      <c r="K209">
        <v>45</v>
      </c>
      <c r="L209">
        <v>1423100</v>
      </c>
      <c r="M209" s="26">
        <v>64039500</v>
      </c>
      <c r="N209">
        <v>48636</v>
      </c>
      <c r="O209" s="26">
        <v>7041929.8899999997</v>
      </c>
      <c r="P209" s="5" t="s">
        <v>50</v>
      </c>
      <c r="Q209" s="5" t="s">
        <v>75</v>
      </c>
      <c r="R209">
        <v>4.9000000000000004</v>
      </c>
      <c r="S209">
        <v>3</v>
      </c>
      <c r="T209">
        <f t="shared" si="3"/>
        <v>0</v>
      </c>
    </row>
    <row r="210" spans="1:20">
      <c r="A210" s="4">
        <v>44343</v>
      </c>
      <c r="B210">
        <v>2021</v>
      </c>
      <c r="C210">
        <v>5</v>
      </c>
      <c r="D210" s="5" t="s">
        <v>44</v>
      </c>
      <c r="E210" s="5" t="s">
        <v>82</v>
      </c>
      <c r="F210" s="5" t="s">
        <v>83</v>
      </c>
      <c r="G210" s="5" t="s">
        <v>84</v>
      </c>
      <c r="H210" s="5" t="s">
        <v>39</v>
      </c>
      <c r="I210" s="5" t="s">
        <v>40</v>
      </c>
      <c r="J210" s="5" t="s">
        <v>41</v>
      </c>
      <c r="K210">
        <v>50</v>
      </c>
      <c r="L210">
        <v>602320</v>
      </c>
      <c r="M210" s="26">
        <v>30116000</v>
      </c>
      <c r="N210">
        <v>18773</v>
      </c>
      <c r="O210" s="26">
        <v>2559568.4</v>
      </c>
      <c r="P210" s="5" t="s">
        <v>42</v>
      </c>
      <c r="Q210" s="5" t="s">
        <v>43</v>
      </c>
      <c r="R210">
        <v>4.3</v>
      </c>
      <c r="S210">
        <v>9</v>
      </c>
      <c r="T210">
        <f t="shared" si="3"/>
        <v>1</v>
      </c>
    </row>
    <row r="211" spans="1:20">
      <c r="A211" s="4">
        <v>44320</v>
      </c>
      <c r="B211">
        <v>2021</v>
      </c>
      <c r="C211">
        <v>5</v>
      </c>
      <c r="D211" s="5" t="s">
        <v>54</v>
      </c>
      <c r="E211" s="5" t="s">
        <v>70</v>
      </c>
      <c r="F211" s="5" t="s">
        <v>71</v>
      </c>
      <c r="G211" s="5" t="s">
        <v>72</v>
      </c>
      <c r="H211" s="5" t="s">
        <v>74</v>
      </c>
      <c r="I211" s="5" t="s">
        <v>40</v>
      </c>
      <c r="J211" s="5" t="s">
        <v>49</v>
      </c>
      <c r="K211">
        <v>19</v>
      </c>
      <c r="L211">
        <v>639040</v>
      </c>
      <c r="M211" s="26">
        <v>12141760</v>
      </c>
      <c r="N211">
        <v>42254</v>
      </c>
      <c r="O211" s="26">
        <v>977971.08</v>
      </c>
      <c r="P211" s="5" t="s">
        <v>50</v>
      </c>
      <c r="Q211" s="5" t="s">
        <v>75</v>
      </c>
      <c r="R211">
        <v>4.0999999999999996</v>
      </c>
      <c r="S211">
        <v>10</v>
      </c>
      <c r="T211">
        <f t="shared" si="3"/>
        <v>0</v>
      </c>
    </row>
    <row r="212" spans="1:20">
      <c r="A212" s="4">
        <v>44333</v>
      </c>
      <c r="B212">
        <v>2021</v>
      </c>
      <c r="C212">
        <v>5</v>
      </c>
      <c r="D212" s="5" t="s">
        <v>35</v>
      </c>
      <c r="E212" s="5" t="s">
        <v>36</v>
      </c>
      <c r="F212" s="5" t="s">
        <v>37</v>
      </c>
      <c r="G212" s="5" t="s">
        <v>38</v>
      </c>
      <c r="H212" s="5" t="s">
        <v>86</v>
      </c>
      <c r="I212" s="5" t="s">
        <v>40</v>
      </c>
      <c r="J212" s="5" t="s">
        <v>41</v>
      </c>
      <c r="K212">
        <v>19</v>
      </c>
      <c r="L212">
        <v>574941</v>
      </c>
      <c r="M212" s="26">
        <v>10923879</v>
      </c>
      <c r="N212">
        <v>25410</v>
      </c>
      <c r="O212" s="26">
        <v>1375014.62</v>
      </c>
      <c r="P212" s="5" t="s">
        <v>42</v>
      </c>
      <c r="Q212" s="5" t="s">
        <v>43</v>
      </c>
      <c r="R212">
        <v>4.4000000000000004</v>
      </c>
      <c r="S212">
        <v>17</v>
      </c>
      <c r="T212">
        <f t="shared" si="3"/>
        <v>1</v>
      </c>
    </row>
    <row r="213" spans="1:20">
      <c r="A213" s="4">
        <v>44319</v>
      </c>
      <c r="B213">
        <v>2021</v>
      </c>
      <c r="C213">
        <v>5</v>
      </c>
      <c r="D213" s="5" t="s">
        <v>35</v>
      </c>
      <c r="E213" s="5" t="s">
        <v>36</v>
      </c>
      <c r="F213" s="5" t="s">
        <v>37</v>
      </c>
      <c r="G213" s="5" t="s">
        <v>38</v>
      </c>
      <c r="H213" s="5" t="s">
        <v>57</v>
      </c>
      <c r="I213" s="5" t="s">
        <v>58</v>
      </c>
      <c r="J213" s="5" t="s">
        <v>59</v>
      </c>
      <c r="K213">
        <v>60</v>
      </c>
      <c r="L213">
        <v>1393306</v>
      </c>
      <c r="M213" s="26">
        <v>83598360</v>
      </c>
      <c r="N213">
        <v>17810</v>
      </c>
      <c r="O213" s="26">
        <v>9584393.8399999999</v>
      </c>
      <c r="P213" s="5" t="s">
        <v>42</v>
      </c>
      <c r="Q213" s="5" t="s">
        <v>75</v>
      </c>
      <c r="R213">
        <v>3.8</v>
      </c>
      <c r="S213">
        <v>6</v>
      </c>
      <c r="T213">
        <f t="shared" si="3"/>
        <v>1</v>
      </c>
    </row>
    <row r="214" spans="1:20">
      <c r="A214" s="4">
        <v>44318</v>
      </c>
      <c r="B214">
        <v>2021</v>
      </c>
      <c r="C214">
        <v>5</v>
      </c>
      <c r="D214" s="5" t="s">
        <v>35</v>
      </c>
      <c r="E214" s="5" t="s">
        <v>36</v>
      </c>
      <c r="F214" s="5" t="s">
        <v>37</v>
      </c>
      <c r="G214" s="5" t="s">
        <v>38</v>
      </c>
      <c r="H214" s="5" t="s">
        <v>85</v>
      </c>
      <c r="I214" s="5" t="s">
        <v>58</v>
      </c>
      <c r="J214" s="5" t="s">
        <v>49</v>
      </c>
      <c r="K214">
        <v>6</v>
      </c>
      <c r="L214">
        <v>960721</v>
      </c>
      <c r="M214" s="26">
        <v>5764326</v>
      </c>
      <c r="N214">
        <v>36831</v>
      </c>
      <c r="O214" s="26">
        <v>628487.59</v>
      </c>
      <c r="P214" s="5" t="s">
        <v>42</v>
      </c>
      <c r="Q214" s="5" t="s">
        <v>75</v>
      </c>
      <c r="R214">
        <v>4.4000000000000004</v>
      </c>
      <c r="S214">
        <v>8</v>
      </c>
      <c r="T214">
        <f t="shared" si="3"/>
        <v>1</v>
      </c>
    </row>
    <row r="215" spans="1:20">
      <c r="A215" s="4">
        <v>44322</v>
      </c>
      <c r="B215">
        <v>2021</v>
      </c>
      <c r="C215">
        <v>5</v>
      </c>
      <c r="D215" s="5" t="s">
        <v>44</v>
      </c>
      <c r="E215" s="5" t="s">
        <v>45</v>
      </c>
      <c r="F215" s="5" t="s">
        <v>46</v>
      </c>
      <c r="G215" s="5" t="s">
        <v>47</v>
      </c>
      <c r="H215" s="5" t="s">
        <v>48</v>
      </c>
      <c r="I215" s="5" t="s">
        <v>40</v>
      </c>
      <c r="J215" s="5" t="s">
        <v>49</v>
      </c>
      <c r="K215">
        <v>46</v>
      </c>
      <c r="L215">
        <v>462990</v>
      </c>
      <c r="M215" s="26">
        <v>21297540</v>
      </c>
      <c r="N215">
        <v>17865</v>
      </c>
      <c r="O215" s="26">
        <v>2728837.23</v>
      </c>
      <c r="P215" s="5" t="s">
        <v>50</v>
      </c>
      <c r="Q215" s="5" t="s">
        <v>75</v>
      </c>
      <c r="R215">
        <v>4</v>
      </c>
      <c r="S215">
        <v>17</v>
      </c>
      <c r="T215">
        <f t="shared" si="3"/>
        <v>0</v>
      </c>
    </row>
    <row r="216" spans="1:20">
      <c r="A216" s="4">
        <v>44321</v>
      </c>
      <c r="B216">
        <v>2021</v>
      </c>
      <c r="C216">
        <v>5</v>
      </c>
      <c r="D216" s="5" t="s">
        <v>54</v>
      </c>
      <c r="E216" s="5" t="s">
        <v>55</v>
      </c>
      <c r="F216" s="5" t="s">
        <v>55</v>
      </c>
      <c r="G216" s="5" t="s">
        <v>56</v>
      </c>
      <c r="H216" s="5" t="s">
        <v>74</v>
      </c>
      <c r="I216" s="5" t="s">
        <v>40</v>
      </c>
      <c r="J216" s="5" t="s">
        <v>49</v>
      </c>
      <c r="K216">
        <v>59</v>
      </c>
      <c r="L216">
        <v>644036</v>
      </c>
      <c r="M216" s="26">
        <v>37998124</v>
      </c>
      <c r="N216">
        <v>37765</v>
      </c>
      <c r="O216" s="26">
        <v>4739607.75</v>
      </c>
      <c r="P216" s="5" t="s">
        <v>42</v>
      </c>
      <c r="Q216" s="5" t="s">
        <v>75</v>
      </c>
      <c r="R216">
        <v>4.3</v>
      </c>
      <c r="S216">
        <v>20</v>
      </c>
      <c r="T216">
        <f t="shared" si="3"/>
        <v>1</v>
      </c>
    </row>
    <row r="217" spans="1:20">
      <c r="A217" s="4">
        <v>44327</v>
      </c>
      <c r="B217">
        <v>2021</v>
      </c>
      <c r="C217">
        <v>5</v>
      </c>
      <c r="D217" s="5" t="s">
        <v>44</v>
      </c>
      <c r="E217" s="5" t="s">
        <v>82</v>
      </c>
      <c r="F217" s="5" t="s">
        <v>83</v>
      </c>
      <c r="G217" s="5" t="s">
        <v>84</v>
      </c>
      <c r="H217" s="5" t="s">
        <v>39</v>
      </c>
      <c r="I217" s="5" t="s">
        <v>40</v>
      </c>
      <c r="J217" s="5" t="s">
        <v>41</v>
      </c>
      <c r="K217">
        <v>25</v>
      </c>
      <c r="L217">
        <v>608352</v>
      </c>
      <c r="M217" s="26">
        <v>15208800</v>
      </c>
      <c r="N217">
        <v>42544</v>
      </c>
      <c r="O217" s="26">
        <v>1325718.8700000001</v>
      </c>
      <c r="P217" s="5" t="s">
        <v>42</v>
      </c>
      <c r="Q217" s="5" t="s">
        <v>75</v>
      </c>
      <c r="R217">
        <v>3.9</v>
      </c>
      <c r="S217">
        <v>12</v>
      </c>
      <c r="T217">
        <f t="shared" si="3"/>
        <v>1</v>
      </c>
    </row>
    <row r="218" spans="1:20">
      <c r="A218" s="4">
        <v>44343</v>
      </c>
      <c r="B218">
        <v>2021</v>
      </c>
      <c r="C218">
        <v>5</v>
      </c>
      <c r="D218" s="5" t="s">
        <v>54</v>
      </c>
      <c r="E218" s="5" t="s">
        <v>55</v>
      </c>
      <c r="F218" s="5" t="s">
        <v>55</v>
      </c>
      <c r="G218" s="5" t="s">
        <v>56</v>
      </c>
      <c r="H218" s="5" t="s">
        <v>86</v>
      </c>
      <c r="I218" s="5" t="s">
        <v>40</v>
      </c>
      <c r="J218" s="5" t="s">
        <v>41</v>
      </c>
      <c r="K218">
        <v>25</v>
      </c>
      <c r="L218">
        <v>584797</v>
      </c>
      <c r="M218" s="26">
        <v>14619925</v>
      </c>
      <c r="N218">
        <v>25517</v>
      </c>
      <c r="O218" s="26">
        <v>1476610.27</v>
      </c>
      <c r="P218" s="5" t="s">
        <v>42</v>
      </c>
      <c r="Q218" s="5" t="s">
        <v>43</v>
      </c>
      <c r="R218">
        <v>4.9000000000000004</v>
      </c>
      <c r="S218">
        <v>15</v>
      </c>
      <c r="T218">
        <f t="shared" si="3"/>
        <v>1</v>
      </c>
    </row>
    <row r="219" spans="1:20">
      <c r="A219" s="4">
        <v>44330</v>
      </c>
      <c r="B219">
        <v>2021</v>
      </c>
      <c r="C219">
        <v>5</v>
      </c>
      <c r="D219" s="5" t="s">
        <v>54</v>
      </c>
      <c r="E219" s="5" t="s">
        <v>55</v>
      </c>
      <c r="F219" s="5" t="s">
        <v>55</v>
      </c>
      <c r="G219" s="5" t="s">
        <v>56</v>
      </c>
      <c r="H219" s="5" t="s">
        <v>63</v>
      </c>
      <c r="I219" s="5" t="s">
        <v>64</v>
      </c>
      <c r="J219" s="5" t="s">
        <v>41</v>
      </c>
      <c r="K219">
        <v>15</v>
      </c>
      <c r="L219">
        <v>771530</v>
      </c>
      <c r="M219" s="26">
        <v>11572950</v>
      </c>
      <c r="N219">
        <v>24056</v>
      </c>
      <c r="O219" s="26">
        <v>970831.06</v>
      </c>
      <c r="P219" s="5" t="s">
        <v>42</v>
      </c>
      <c r="Q219" s="5" t="s">
        <v>51</v>
      </c>
      <c r="R219">
        <v>3.8</v>
      </c>
      <c r="S219">
        <v>13</v>
      </c>
      <c r="T219">
        <f t="shared" si="3"/>
        <v>1</v>
      </c>
    </row>
    <row r="220" spans="1:20">
      <c r="A220" s="4">
        <v>44327</v>
      </c>
      <c r="B220">
        <v>2021</v>
      </c>
      <c r="C220">
        <v>5</v>
      </c>
      <c r="D220" s="5" t="s">
        <v>35</v>
      </c>
      <c r="E220" s="5" t="s">
        <v>60</v>
      </c>
      <c r="F220" s="5" t="s">
        <v>61</v>
      </c>
      <c r="G220" s="5" t="s">
        <v>62</v>
      </c>
      <c r="H220" s="5" t="s">
        <v>39</v>
      </c>
      <c r="I220" s="5" t="s">
        <v>40</v>
      </c>
      <c r="J220" s="5" t="s">
        <v>41</v>
      </c>
      <c r="K220">
        <v>23</v>
      </c>
      <c r="L220">
        <v>589882</v>
      </c>
      <c r="M220" s="26">
        <v>13567286</v>
      </c>
      <c r="N220">
        <v>21770</v>
      </c>
      <c r="O220" s="26">
        <v>1818435.86</v>
      </c>
      <c r="P220" s="5" t="s">
        <v>50</v>
      </c>
      <c r="Q220" s="5" t="s">
        <v>43</v>
      </c>
      <c r="R220">
        <v>3.6</v>
      </c>
      <c r="S220">
        <v>13</v>
      </c>
      <c r="T220">
        <f t="shared" si="3"/>
        <v>0</v>
      </c>
    </row>
    <row r="221" spans="1:20">
      <c r="A221" s="4">
        <v>44324</v>
      </c>
      <c r="B221">
        <v>2021</v>
      </c>
      <c r="C221">
        <v>5</v>
      </c>
      <c r="D221" s="5" t="s">
        <v>35</v>
      </c>
      <c r="E221" s="5" t="s">
        <v>76</v>
      </c>
      <c r="F221" s="5" t="s">
        <v>77</v>
      </c>
      <c r="G221" s="5" t="s">
        <v>78</v>
      </c>
      <c r="H221" s="5" t="s">
        <v>79</v>
      </c>
      <c r="I221" s="5" t="s">
        <v>58</v>
      </c>
      <c r="J221" s="5" t="s">
        <v>49</v>
      </c>
      <c r="K221">
        <v>33</v>
      </c>
      <c r="L221">
        <v>879833</v>
      </c>
      <c r="M221" s="26">
        <v>29034489</v>
      </c>
      <c r="N221">
        <v>36531</v>
      </c>
      <c r="O221" s="26">
        <v>4578332.29</v>
      </c>
      <c r="P221" s="5" t="s">
        <v>50</v>
      </c>
      <c r="Q221" s="5" t="s">
        <v>51</v>
      </c>
      <c r="R221">
        <v>4.5</v>
      </c>
      <c r="S221">
        <v>4</v>
      </c>
      <c r="T221">
        <f t="shared" si="3"/>
        <v>0</v>
      </c>
    </row>
    <row r="222" spans="1:20">
      <c r="A222" s="4">
        <v>44339</v>
      </c>
      <c r="B222">
        <v>2021</v>
      </c>
      <c r="C222">
        <v>5</v>
      </c>
      <c r="D222" s="5" t="s">
        <v>44</v>
      </c>
      <c r="E222" s="5" t="s">
        <v>45</v>
      </c>
      <c r="F222" s="5" t="s">
        <v>46</v>
      </c>
      <c r="G222" s="5" t="s">
        <v>47</v>
      </c>
      <c r="H222" s="5" t="s">
        <v>74</v>
      </c>
      <c r="I222" s="5" t="s">
        <v>40</v>
      </c>
      <c r="J222" s="5" t="s">
        <v>49</v>
      </c>
      <c r="K222">
        <v>38</v>
      </c>
      <c r="L222">
        <v>653235</v>
      </c>
      <c r="M222" s="26">
        <v>24822930</v>
      </c>
      <c r="N222">
        <v>35911</v>
      </c>
      <c r="O222" s="26">
        <v>3117717.7</v>
      </c>
      <c r="P222" s="5" t="s">
        <v>42</v>
      </c>
      <c r="Q222" s="5" t="s">
        <v>51</v>
      </c>
      <c r="R222">
        <v>4.7</v>
      </c>
      <c r="S222">
        <v>20</v>
      </c>
      <c r="T222">
        <f t="shared" si="3"/>
        <v>1</v>
      </c>
    </row>
    <row r="223" spans="1:20">
      <c r="A223" s="4">
        <v>44343</v>
      </c>
      <c r="B223">
        <v>2021</v>
      </c>
      <c r="C223">
        <v>5</v>
      </c>
      <c r="D223" s="5" t="s">
        <v>35</v>
      </c>
      <c r="E223" s="5" t="s">
        <v>60</v>
      </c>
      <c r="F223" s="5" t="s">
        <v>61</v>
      </c>
      <c r="G223" s="5" t="s">
        <v>62</v>
      </c>
      <c r="H223" s="5" t="s">
        <v>79</v>
      </c>
      <c r="I223" s="5" t="s">
        <v>58</v>
      </c>
      <c r="J223" s="5" t="s">
        <v>49</v>
      </c>
      <c r="K223">
        <v>5</v>
      </c>
      <c r="L223">
        <v>895297</v>
      </c>
      <c r="M223" s="26">
        <v>4476485</v>
      </c>
      <c r="N223">
        <v>41219</v>
      </c>
      <c r="O223" s="26">
        <v>617562.23</v>
      </c>
      <c r="P223" s="5" t="s">
        <v>42</v>
      </c>
      <c r="Q223" s="5" t="s">
        <v>75</v>
      </c>
      <c r="R223">
        <v>4.4000000000000004</v>
      </c>
      <c r="S223">
        <v>13</v>
      </c>
      <c r="T223">
        <f t="shared" si="3"/>
        <v>1</v>
      </c>
    </row>
    <row r="224" spans="1:20">
      <c r="A224" s="4">
        <v>44339</v>
      </c>
      <c r="B224">
        <v>2021</v>
      </c>
      <c r="C224">
        <v>5</v>
      </c>
      <c r="D224" s="5" t="s">
        <v>54</v>
      </c>
      <c r="E224" s="5" t="s">
        <v>55</v>
      </c>
      <c r="F224" s="5" t="s">
        <v>55</v>
      </c>
      <c r="G224" s="5" t="s">
        <v>56</v>
      </c>
      <c r="H224" s="5" t="s">
        <v>65</v>
      </c>
      <c r="I224" s="5" t="s">
        <v>53</v>
      </c>
      <c r="J224" s="5" t="s">
        <v>49</v>
      </c>
      <c r="K224">
        <v>28</v>
      </c>
      <c r="L224">
        <v>1273844</v>
      </c>
      <c r="M224" s="26">
        <v>35667632</v>
      </c>
      <c r="N224">
        <v>28128</v>
      </c>
      <c r="O224" s="26">
        <v>4102565.67</v>
      </c>
      <c r="P224" s="5" t="s">
        <v>42</v>
      </c>
      <c r="Q224" s="5" t="s">
        <v>75</v>
      </c>
      <c r="R224">
        <v>4.2</v>
      </c>
      <c r="S224">
        <v>13</v>
      </c>
      <c r="T224">
        <f t="shared" si="3"/>
        <v>1</v>
      </c>
    </row>
    <row r="225" spans="1:20">
      <c r="A225" s="4">
        <v>44335</v>
      </c>
      <c r="B225">
        <v>2021</v>
      </c>
      <c r="C225">
        <v>5</v>
      </c>
      <c r="D225" s="5" t="s">
        <v>35</v>
      </c>
      <c r="E225" s="5" t="s">
        <v>76</v>
      </c>
      <c r="F225" s="5" t="s">
        <v>77</v>
      </c>
      <c r="G225" s="5" t="s">
        <v>78</v>
      </c>
      <c r="H225" s="5" t="s">
        <v>86</v>
      </c>
      <c r="I225" s="5" t="s">
        <v>40</v>
      </c>
      <c r="J225" s="5" t="s">
        <v>41</v>
      </c>
      <c r="K225">
        <v>13</v>
      </c>
      <c r="L225">
        <v>598980</v>
      </c>
      <c r="M225" s="26">
        <v>7786740</v>
      </c>
      <c r="N225">
        <v>7953</v>
      </c>
      <c r="O225" s="26">
        <v>1217339.3500000001</v>
      </c>
      <c r="P225" s="5" t="s">
        <v>42</v>
      </c>
      <c r="Q225" s="5" t="s">
        <v>75</v>
      </c>
      <c r="R225">
        <v>4.4000000000000004</v>
      </c>
      <c r="S225">
        <v>17</v>
      </c>
      <c r="T225">
        <f t="shared" si="3"/>
        <v>1</v>
      </c>
    </row>
    <row r="226" spans="1:20">
      <c r="A226" s="4">
        <v>44337</v>
      </c>
      <c r="B226">
        <v>2021</v>
      </c>
      <c r="C226">
        <v>5</v>
      </c>
      <c r="D226" s="5" t="s">
        <v>54</v>
      </c>
      <c r="E226" s="5" t="s">
        <v>55</v>
      </c>
      <c r="F226" s="5" t="s">
        <v>55</v>
      </c>
      <c r="G226" s="5" t="s">
        <v>56</v>
      </c>
      <c r="H226" s="5" t="s">
        <v>39</v>
      </c>
      <c r="I226" s="5" t="s">
        <v>40</v>
      </c>
      <c r="J226" s="5" t="s">
        <v>41</v>
      </c>
      <c r="K226">
        <v>19</v>
      </c>
      <c r="L226">
        <v>607962</v>
      </c>
      <c r="M226" s="26">
        <v>11551278</v>
      </c>
      <c r="N226">
        <v>44940</v>
      </c>
      <c r="O226" s="26">
        <v>978988.06</v>
      </c>
      <c r="P226" s="5" t="s">
        <v>50</v>
      </c>
      <c r="Q226" s="5" t="s">
        <v>51</v>
      </c>
      <c r="R226">
        <v>3.8</v>
      </c>
      <c r="S226">
        <v>14</v>
      </c>
      <c r="T226">
        <f t="shared" si="3"/>
        <v>0</v>
      </c>
    </row>
    <row r="227" spans="1:20">
      <c r="A227" s="4">
        <v>44327</v>
      </c>
      <c r="B227">
        <v>2021</v>
      </c>
      <c r="C227">
        <v>5</v>
      </c>
      <c r="D227" s="5" t="s">
        <v>35</v>
      </c>
      <c r="E227" s="5" t="s">
        <v>60</v>
      </c>
      <c r="F227" s="5" t="s">
        <v>61</v>
      </c>
      <c r="G227" s="5" t="s">
        <v>62</v>
      </c>
      <c r="H227" s="5" t="s">
        <v>73</v>
      </c>
      <c r="I227" s="5" t="s">
        <v>40</v>
      </c>
      <c r="J227" s="5" t="s">
        <v>49</v>
      </c>
      <c r="K227">
        <v>25</v>
      </c>
      <c r="L227">
        <v>707175</v>
      </c>
      <c r="M227" s="26">
        <v>17679375</v>
      </c>
      <c r="N227">
        <v>14065</v>
      </c>
      <c r="O227" s="26">
        <v>2816563</v>
      </c>
      <c r="P227" s="5" t="s">
        <v>50</v>
      </c>
      <c r="Q227" s="5" t="s">
        <v>75</v>
      </c>
      <c r="R227">
        <v>4.7</v>
      </c>
      <c r="S227">
        <v>21</v>
      </c>
      <c r="T227">
        <f t="shared" si="3"/>
        <v>0</v>
      </c>
    </row>
    <row r="228" spans="1:20">
      <c r="A228" s="4">
        <v>44333</v>
      </c>
      <c r="B228">
        <v>2021</v>
      </c>
      <c r="C228">
        <v>5</v>
      </c>
      <c r="D228" s="5" t="s">
        <v>44</v>
      </c>
      <c r="E228" s="5" t="s">
        <v>82</v>
      </c>
      <c r="F228" s="5" t="s">
        <v>83</v>
      </c>
      <c r="G228" s="5" t="s">
        <v>84</v>
      </c>
      <c r="H228" s="5" t="s">
        <v>85</v>
      </c>
      <c r="I228" s="5" t="s">
        <v>58</v>
      </c>
      <c r="J228" s="5" t="s">
        <v>49</v>
      </c>
      <c r="K228">
        <v>40</v>
      </c>
      <c r="L228">
        <v>996307</v>
      </c>
      <c r="M228" s="26">
        <v>39852280</v>
      </c>
      <c r="N228">
        <v>33010</v>
      </c>
      <c r="O228" s="26">
        <v>4680475.6100000003</v>
      </c>
      <c r="P228" s="5" t="s">
        <v>42</v>
      </c>
      <c r="Q228" s="5" t="s">
        <v>75</v>
      </c>
      <c r="R228">
        <v>4.3</v>
      </c>
      <c r="S228">
        <v>18</v>
      </c>
      <c r="T228">
        <f t="shared" si="3"/>
        <v>1</v>
      </c>
    </row>
    <row r="229" spans="1:20">
      <c r="A229" s="4">
        <v>44321</v>
      </c>
      <c r="B229">
        <v>2021</v>
      </c>
      <c r="C229">
        <v>5</v>
      </c>
      <c r="D229" s="5" t="s">
        <v>44</v>
      </c>
      <c r="E229" s="5" t="s">
        <v>82</v>
      </c>
      <c r="F229" s="5" t="s">
        <v>83</v>
      </c>
      <c r="G229" s="5" t="s">
        <v>84</v>
      </c>
      <c r="H229" s="5" t="s">
        <v>39</v>
      </c>
      <c r="I229" s="5" t="s">
        <v>40</v>
      </c>
      <c r="J229" s="5" t="s">
        <v>41</v>
      </c>
      <c r="K229">
        <v>58</v>
      </c>
      <c r="L229">
        <v>601609</v>
      </c>
      <c r="M229" s="26">
        <v>34893322</v>
      </c>
      <c r="N229">
        <v>18548</v>
      </c>
      <c r="O229" s="26">
        <v>3580154.89</v>
      </c>
      <c r="P229" s="5" t="s">
        <v>50</v>
      </c>
      <c r="Q229" s="5" t="s">
        <v>43</v>
      </c>
      <c r="R229">
        <v>3.7</v>
      </c>
      <c r="S229">
        <v>14</v>
      </c>
      <c r="T229">
        <f t="shared" si="3"/>
        <v>0</v>
      </c>
    </row>
    <row r="230" spans="1:20">
      <c r="A230" s="4">
        <v>44343</v>
      </c>
      <c r="B230">
        <v>2021</v>
      </c>
      <c r="C230">
        <v>5</v>
      </c>
      <c r="D230" s="5" t="s">
        <v>35</v>
      </c>
      <c r="E230" s="5" t="s">
        <v>36</v>
      </c>
      <c r="F230" s="5" t="s">
        <v>37</v>
      </c>
      <c r="G230" s="5" t="s">
        <v>38</v>
      </c>
      <c r="H230" s="5" t="s">
        <v>39</v>
      </c>
      <c r="I230" s="5" t="s">
        <v>40</v>
      </c>
      <c r="J230" s="5" t="s">
        <v>41</v>
      </c>
      <c r="K230">
        <v>33</v>
      </c>
      <c r="L230">
        <v>579452</v>
      </c>
      <c r="M230" s="26">
        <v>19121916</v>
      </c>
      <c r="N230">
        <v>39944</v>
      </c>
      <c r="O230" s="26">
        <v>2206454.61</v>
      </c>
      <c r="P230" s="5" t="s">
        <v>50</v>
      </c>
      <c r="Q230" s="5" t="s">
        <v>75</v>
      </c>
      <c r="R230">
        <v>3.6</v>
      </c>
      <c r="S230">
        <v>5</v>
      </c>
      <c r="T230">
        <f t="shared" si="3"/>
        <v>0</v>
      </c>
    </row>
    <row r="231" spans="1:20">
      <c r="A231" s="4">
        <v>44332</v>
      </c>
      <c r="B231">
        <v>2021</v>
      </c>
      <c r="C231">
        <v>5</v>
      </c>
      <c r="D231" s="5" t="s">
        <v>44</v>
      </c>
      <c r="E231" s="5" t="s">
        <v>45</v>
      </c>
      <c r="F231" s="5" t="s">
        <v>46</v>
      </c>
      <c r="G231" s="5" t="s">
        <v>47</v>
      </c>
      <c r="H231" s="5" t="s">
        <v>57</v>
      </c>
      <c r="I231" s="5" t="s">
        <v>58</v>
      </c>
      <c r="J231" s="5" t="s">
        <v>59</v>
      </c>
      <c r="K231">
        <v>29</v>
      </c>
      <c r="L231">
        <v>1378998</v>
      </c>
      <c r="M231" s="26">
        <v>39990942</v>
      </c>
      <c r="N231">
        <v>34057</v>
      </c>
      <c r="O231" s="26">
        <v>4469911.2</v>
      </c>
      <c r="P231" s="5" t="s">
        <v>42</v>
      </c>
      <c r="Q231" s="5" t="s">
        <v>51</v>
      </c>
      <c r="R231">
        <v>4.8</v>
      </c>
      <c r="S231">
        <v>3</v>
      </c>
      <c r="T231">
        <f t="shared" si="3"/>
        <v>1</v>
      </c>
    </row>
    <row r="232" spans="1:20">
      <c r="A232" s="4">
        <v>44328</v>
      </c>
      <c r="B232">
        <v>2021</v>
      </c>
      <c r="C232">
        <v>5</v>
      </c>
      <c r="D232" s="5" t="s">
        <v>35</v>
      </c>
      <c r="E232" s="5" t="s">
        <v>76</v>
      </c>
      <c r="F232" s="5" t="s">
        <v>77</v>
      </c>
      <c r="G232" s="5" t="s">
        <v>78</v>
      </c>
      <c r="H232" s="5" t="s">
        <v>39</v>
      </c>
      <c r="I232" s="5" t="s">
        <v>40</v>
      </c>
      <c r="J232" s="5" t="s">
        <v>41</v>
      </c>
      <c r="K232">
        <v>33</v>
      </c>
      <c r="L232">
        <v>582000</v>
      </c>
      <c r="M232" s="26">
        <v>19206000</v>
      </c>
      <c r="N232">
        <v>30541</v>
      </c>
      <c r="O232" s="26">
        <v>1983181.2</v>
      </c>
      <c r="P232" s="5" t="s">
        <v>50</v>
      </c>
      <c r="Q232" s="5" t="s">
        <v>51</v>
      </c>
      <c r="R232">
        <v>3.9</v>
      </c>
      <c r="S232">
        <v>2</v>
      </c>
      <c r="T232">
        <f t="shared" si="3"/>
        <v>0</v>
      </c>
    </row>
    <row r="233" spans="1:20">
      <c r="A233" s="4">
        <v>44327</v>
      </c>
      <c r="B233">
        <v>2021</v>
      </c>
      <c r="C233">
        <v>5</v>
      </c>
      <c r="D233" s="5" t="s">
        <v>54</v>
      </c>
      <c r="E233" s="5" t="s">
        <v>55</v>
      </c>
      <c r="F233" s="5" t="s">
        <v>55</v>
      </c>
      <c r="G233" s="5" t="s">
        <v>56</v>
      </c>
      <c r="H233" s="5" t="s">
        <v>80</v>
      </c>
      <c r="I233" s="5" t="s">
        <v>81</v>
      </c>
      <c r="J233" s="5" t="s">
        <v>41</v>
      </c>
      <c r="K233">
        <v>9</v>
      </c>
      <c r="L233">
        <v>556050</v>
      </c>
      <c r="M233" s="26">
        <v>5004450</v>
      </c>
      <c r="N233">
        <v>20060</v>
      </c>
      <c r="O233" s="26">
        <v>578778.29</v>
      </c>
      <c r="P233" s="5" t="s">
        <v>42</v>
      </c>
      <c r="Q233" s="5" t="s">
        <v>43</v>
      </c>
      <c r="R233">
        <v>4.8</v>
      </c>
      <c r="S233">
        <v>5</v>
      </c>
      <c r="T233">
        <f t="shared" si="3"/>
        <v>1</v>
      </c>
    </row>
    <row r="234" spans="1:20">
      <c r="A234" s="4">
        <v>44331</v>
      </c>
      <c r="B234">
        <v>2021</v>
      </c>
      <c r="C234">
        <v>5</v>
      </c>
      <c r="D234" s="5" t="s">
        <v>66</v>
      </c>
      <c r="E234" s="5" t="s">
        <v>67</v>
      </c>
      <c r="F234" s="5" t="s">
        <v>68</v>
      </c>
      <c r="G234" s="5" t="s">
        <v>69</v>
      </c>
      <c r="H234" s="5" t="s">
        <v>74</v>
      </c>
      <c r="I234" s="5" t="s">
        <v>40</v>
      </c>
      <c r="J234" s="5" t="s">
        <v>49</v>
      </c>
      <c r="K234">
        <v>52</v>
      </c>
      <c r="L234">
        <v>650689</v>
      </c>
      <c r="M234" s="26">
        <v>33835828</v>
      </c>
      <c r="N234">
        <v>23232</v>
      </c>
      <c r="O234" s="26">
        <v>5225519.47</v>
      </c>
      <c r="P234" s="5" t="s">
        <v>42</v>
      </c>
      <c r="Q234" s="5" t="s">
        <v>51</v>
      </c>
      <c r="R234">
        <v>3.6</v>
      </c>
      <c r="S234">
        <v>14</v>
      </c>
      <c r="T234">
        <f t="shared" si="3"/>
        <v>1</v>
      </c>
    </row>
    <row r="235" spans="1:20">
      <c r="A235" s="4">
        <v>44327</v>
      </c>
      <c r="B235">
        <v>2021</v>
      </c>
      <c r="C235">
        <v>5</v>
      </c>
      <c r="D235" s="5" t="s">
        <v>66</v>
      </c>
      <c r="E235" s="5" t="s">
        <v>67</v>
      </c>
      <c r="F235" s="5" t="s">
        <v>68</v>
      </c>
      <c r="G235" s="5" t="s">
        <v>69</v>
      </c>
      <c r="H235" s="5" t="s">
        <v>39</v>
      </c>
      <c r="I235" s="5" t="s">
        <v>40</v>
      </c>
      <c r="J235" s="5" t="s">
        <v>41</v>
      </c>
      <c r="K235">
        <v>52</v>
      </c>
      <c r="L235">
        <v>606105</v>
      </c>
      <c r="M235" s="26">
        <v>31517460</v>
      </c>
      <c r="N235">
        <v>36310</v>
      </c>
      <c r="O235" s="26">
        <v>3796027.97</v>
      </c>
      <c r="P235" s="5" t="s">
        <v>50</v>
      </c>
      <c r="Q235" s="5" t="s">
        <v>43</v>
      </c>
      <c r="R235">
        <v>5</v>
      </c>
      <c r="S235">
        <v>21</v>
      </c>
      <c r="T235">
        <f t="shared" si="3"/>
        <v>0</v>
      </c>
    </row>
    <row r="236" spans="1:20">
      <c r="A236" s="4">
        <v>44337</v>
      </c>
      <c r="B236">
        <v>2021</v>
      </c>
      <c r="C236">
        <v>5</v>
      </c>
      <c r="D236" s="5" t="s">
        <v>35</v>
      </c>
      <c r="E236" s="5" t="s">
        <v>76</v>
      </c>
      <c r="F236" s="5" t="s">
        <v>77</v>
      </c>
      <c r="G236" s="5" t="s">
        <v>78</v>
      </c>
      <c r="H236" s="5" t="s">
        <v>85</v>
      </c>
      <c r="I236" s="5" t="s">
        <v>58</v>
      </c>
      <c r="J236" s="5" t="s">
        <v>49</v>
      </c>
      <c r="K236">
        <v>55</v>
      </c>
      <c r="L236">
        <v>1003148</v>
      </c>
      <c r="M236" s="26">
        <v>55173140</v>
      </c>
      <c r="N236">
        <v>19163</v>
      </c>
      <c r="O236" s="26">
        <v>8329028.46</v>
      </c>
      <c r="P236" s="5" t="s">
        <v>50</v>
      </c>
      <c r="Q236" s="5" t="s">
        <v>75</v>
      </c>
      <c r="R236">
        <v>4.5</v>
      </c>
      <c r="S236">
        <v>15</v>
      </c>
      <c r="T236">
        <f t="shared" si="3"/>
        <v>0</v>
      </c>
    </row>
    <row r="237" spans="1:20">
      <c r="A237" s="4">
        <v>44325</v>
      </c>
      <c r="B237">
        <v>2021</v>
      </c>
      <c r="C237">
        <v>5</v>
      </c>
      <c r="D237" s="5" t="s">
        <v>54</v>
      </c>
      <c r="E237" s="5" t="s">
        <v>55</v>
      </c>
      <c r="F237" s="5" t="s">
        <v>55</v>
      </c>
      <c r="G237" s="5" t="s">
        <v>56</v>
      </c>
      <c r="H237" s="5" t="s">
        <v>48</v>
      </c>
      <c r="I237" s="5" t="s">
        <v>40</v>
      </c>
      <c r="J237" s="5" t="s">
        <v>49</v>
      </c>
      <c r="K237">
        <v>14</v>
      </c>
      <c r="L237">
        <v>444545</v>
      </c>
      <c r="M237" s="26">
        <v>6223630</v>
      </c>
      <c r="N237">
        <v>41715</v>
      </c>
      <c r="O237" s="26">
        <v>658034.61</v>
      </c>
      <c r="P237" s="5" t="s">
        <v>42</v>
      </c>
      <c r="Q237" s="5" t="s">
        <v>75</v>
      </c>
      <c r="R237">
        <v>4.0999999999999996</v>
      </c>
      <c r="S237">
        <v>16</v>
      </c>
      <c r="T237">
        <f t="shared" si="3"/>
        <v>1</v>
      </c>
    </row>
    <row r="238" spans="1:20">
      <c r="A238" s="4">
        <v>44327</v>
      </c>
      <c r="B238">
        <v>2021</v>
      </c>
      <c r="C238">
        <v>5</v>
      </c>
      <c r="D238" s="5" t="s">
        <v>44</v>
      </c>
      <c r="E238" s="5" t="s">
        <v>82</v>
      </c>
      <c r="F238" s="5" t="s">
        <v>83</v>
      </c>
      <c r="G238" s="5" t="s">
        <v>84</v>
      </c>
      <c r="H238" s="5" t="s">
        <v>65</v>
      </c>
      <c r="I238" s="5" t="s">
        <v>53</v>
      </c>
      <c r="J238" s="5" t="s">
        <v>49</v>
      </c>
      <c r="K238">
        <v>50</v>
      </c>
      <c r="L238">
        <v>1239863</v>
      </c>
      <c r="M238" s="26">
        <v>61993150</v>
      </c>
      <c r="N238">
        <v>47176</v>
      </c>
      <c r="O238" s="26">
        <v>7841819.3600000003</v>
      </c>
      <c r="P238" s="5" t="s">
        <v>42</v>
      </c>
      <c r="Q238" s="5" t="s">
        <v>75</v>
      </c>
      <c r="R238">
        <v>3.7</v>
      </c>
      <c r="S238">
        <v>7</v>
      </c>
      <c r="T238">
        <f t="shared" si="3"/>
        <v>1</v>
      </c>
    </row>
    <row r="239" spans="1:20">
      <c r="A239" s="4">
        <v>44327</v>
      </c>
      <c r="B239">
        <v>2021</v>
      </c>
      <c r="C239">
        <v>5</v>
      </c>
      <c r="D239" s="5" t="s">
        <v>35</v>
      </c>
      <c r="E239" s="5" t="s">
        <v>60</v>
      </c>
      <c r="F239" s="5" t="s">
        <v>61</v>
      </c>
      <c r="G239" s="5" t="s">
        <v>62</v>
      </c>
      <c r="H239" s="5" t="s">
        <v>86</v>
      </c>
      <c r="I239" s="5" t="s">
        <v>40</v>
      </c>
      <c r="J239" s="5" t="s">
        <v>41</v>
      </c>
      <c r="K239">
        <v>34</v>
      </c>
      <c r="L239">
        <v>576912</v>
      </c>
      <c r="M239" s="26">
        <v>19615008</v>
      </c>
      <c r="N239">
        <v>40265</v>
      </c>
      <c r="O239" s="26">
        <v>1762816.88</v>
      </c>
      <c r="P239" s="5" t="s">
        <v>42</v>
      </c>
      <c r="Q239" s="5" t="s">
        <v>43</v>
      </c>
      <c r="R239">
        <v>4.9000000000000004</v>
      </c>
      <c r="S239">
        <v>19</v>
      </c>
      <c r="T239">
        <f t="shared" si="3"/>
        <v>1</v>
      </c>
    </row>
    <row r="240" spans="1:20">
      <c r="A240" s="4">
        <v>44331</v>
      </c>
      <c r="B240">
        <v>2021</v>
      </c>
      <c r="C240">
        <v>5</v>
      </c>
      <c r="D240" s="5" t="s">
        <v>54</v>
      </c>
      <c r="E240" s="5" t="s">
        <v>70</v>
      </c>
      <c r="F240" s="5" t="s">
        <v>71</v>
      </c>
      <c r="G240" s="5" t="s">
        <v>72</v>
      </c>
      <c r="H240" s="5" t="s">
        <v>65</v>
      </c>
      <c r="I240" s="5" t="s">
        <v>53</v>
      </c>
      <c r="J240" s="5" t="s">
        <v>49</v>
      </c>
      <c r="K240">
        <v>42</v>
      </c>
      <c r="L240">
        <v>1240958</v>
      </c>
      <c r="M240" s="26">
        <v>52120236</v>
      </c>
      <c r="N240">
        <v>41855</v>
      </c>
      <c r="O240" s="26">
        <v>6639244.3600000003</v>
      </c>
      <c r="P240" s="5" t="s">
        <v>42</v>
      </c>
      <c r="Q240" s="5" t="s">
        <v>43</v>
      </c>
      <c r="R240">
        <v>4.5</v>
      </c>
      <c r="S240">
        <v>19</v>
      </c>
      <c r="T240">
        <f t="shared" si="3"/>
        <v>1</v>
      </c>
    </row>
    <row r="241" spans="1:20">
      <c r="A241" s="4">
        <v>44324</v>
      </c>
      <c r="B241">
        <v>2021</v>
      </c>
      <c r="C241">
        <v>5</v>
      </c>
      <c r="D241" s="5" t="s">
        <v>35</v>
      </c>
      <c r="E241" s="5" t="s">
        <v>76</v>
      </c>
      <c r="F241" s="5" t="s">
        <v>77</v>
      </c>
      <c r="G241" s="5" t="s">
        <v>78</v>
      </c>
      <c r="H241" s="5" t="s">
        <v>86</v>
      </c>
      <c r="I241" s="5" t="s">
        <v>40</v>
      </c>
      <c r="J241" s="5" t="s">
        <v>41</v>
      </c>
      <c r="K241">
        <v>20</v>
      </c>
      <c r="L241">
        <v>605163</v>
      </c>
      <c r="M241" s="26">
        <v>12103260</v>
      </c>
      <c r="N241">
        <v>18117</v>
      </c>
      <c r="O241" s="26">
        <v>1799851.46</v>
      </c>
      <c r="P241" s="5" t="s">
        <v>50</v>
      </c>
      <c r="Q241" s="5" t="s">
        <v>43</v>
      </c>
      <c r="R241">
        <v>4.9000000000000004</v>
      </c>
      <c r="S241">
        <v>3</v>
      </c>
      <c r="T241">
        <f t="shared" si="3"/>
        <v>0</v>
      </c>
    </row>
    <row r="242" spans="1:20">
      <c r="A242" s="4">
        <v>44336</v>
      </c>
      <c r="B242">
        <v>2021</v>
      </c>
      <c r="C242">
        <v>5</v>
      </c>
      <c r="D242" s="5" t="s">
        <v>54</v>
      </c>
      <c r="E242" s="5" t="s">
        <v>70</v>
      </c>
      <c r="F242" s="5" t="s">
        <v>71</v>
      </c>
      <c r="G242" s="5" t="s">
        <v>72</v>
      </c>
      <c r="H242" s="5" t="s">
        <v>79</v>
      </c>
      <c r="I242" s="5" t="s">
        <v>58</v>
      </c>
      <c r="J242" s="5" t="s">
        <v>49</v>
      </c>
      <c r="K242">
        <v>6</v>
      </c>
      <c r="L242">
        <v>892562</v>
      </c>
      <c r="M242" s="26">
        <v>5355372</v>
      </c>
      <c r="N242">
        <v>28561</v>
      </c>
      <c r="O242" s="26">
        <v>583335.16</v>
      </c>
      <c r="P242" s="5" t="s">
        <v>42</v>
      </c>
      <c r="Q242" s="5" t="s">
        <v>75</v>
      </c>
      <c r="R242">
        <v>4.7</v>
      </c>
      <c r="S242">
        <v>11</v>
      </c>
      <c r="T242">
        <f t="shared" si="3"/>
        <v>1</v>
      </c>
    </row>
    <row r="243" spans="1:20">
      <c r="A243" s="4">
        <v>44322</v>
      </c>
      <c r="B243">
        <v>2021</v>
      </c>
      <c r="C243">
        <v>5</v>
      </c>
      <c r="D243" s="5" t="s">
        <v>35</v>
      </c>
      <c r="E243" s="5" t="s">
        <v>76</v>
      </c>
      <c r="F243" s="5" t="s">
        <v>77</v>
      </c>
      <c r="G243" s="5" t="s">
        <v>78</v>
      </c>
      <c r="H243" s="5" t="s">
        <v>52</v>
      </c>
      <c r="I243" s="5" t="s">
        <v>53</v>
      </c>
      <c r="J243" s="5" t="s">
        <v>41</v>
      </c>
      <c r="K243">
        <v>30</v>
      </c>
      <c r="L243">
        <v>965783</v>
      </c>
      <c r="M243" s="26">
        <v>28973490</v>
      </c>
      <c r="N243">
        <v>30203</v>
      </c>
      <c r="O243" s="26">
        <v>3870446.92</v>
      </c>
      <c r="P243" s="5" t="s">
        <v>50</v>
      </c>
      <c r="Q243" s="5" t="s">
        <v>43</v>
      </c>
      <c r="R243">
        <v>4.5</v>
      </c>
      <c r="S243">
        <v>13</v>
      </c>
      <c r="T243">
        <f t="shared" si="3"/>
        <v>0</v>
      </c>
    </row>
    <row r="244" spans="1:20">
      <c r="A244" s="4">
        <v>44323</v>
      </c>
      <c r="B244">
        <v>2021</v>
      </c>
      <c r="C244">
        <v>5</v>
      </c>
      <c r="D244" s="5" t="s">
        <v>35</v>
      </c>
      <c r="E244" s="5" t="s">
        <v>76</v>
      </c>
      <c r="F244" s="5" t="s">
        <v>77</v>
      </c>
      <c r="G244" s="5" t="s">
        <v>78</v>
      </c>
      <c r="H244" s="5" t="s">
        <v>85</v>
      </c>
      <c r="I244" s="5" t="s">
        <v>58</v>
      </c>
      <c r="J244" s="5" t="s">
        <v>49</v>
      </c>
      <c r="K244">
        <v>9</v>
      </c>
      <c r="L244">
        <v>1003927</v>
      </c>
      <c r="M244" s="26">
        <v>9035343</v>
      </c>
      <c r="N244">
        <v>45065</v>
      </c>
      <c r="O244" s="26">
        <v>954314.16</v>
      </c>
      <c r="P244" s="5" t="s">
        <v>42</v>
      </c>
      <c r="Q244" s="5" t="s">
        <v>75</v>
      </c>
      <c r="R244">
        <v>4.2</v>
      </c>
      <c r="S244">
        <v>13</v>
      </c>
      <c r="T244">
        <f t="shared" si="3"/>
        <v>1</v>
      </c>
    </row>
    <row r="245" spans="1:20">
      <c r="A245" s="4">
        <v>44343</v>
      </c>
      <c r="B245">
        <v>2021</v>
      </c>
      <c r="C245">
        <v>5</v>
      </c>
      <c r="D245" s="5" t="s">
        <v>44</v>
      </c>
      <c r="E245" s="5" t="s">
        <v>45</v>
      </c>
      <c r="F245" s="5" t="s">
        <v>46</v>
      </c>
      <c r="G245" s="5" t="s">
        <v>47</v>
      </c>
      <c r="H245" s="5" t="s">
        <v>79</v>
      </c>
      <c r="I245" s="5" t="s">
        <v>58</v>
      </c>
      <c r="J245" s="5" t="s">
        <v>49</v>
      </c>
      <c r="K245">
        <v>14</v>
      </c>
      <c r="L245">
        <v>877300</v>
      </c>
      <c r="M245" s="26">
        <v>12282200</v>
      </c>
      <c r="N245">
        <v>39970</v>
      </c>
      <c r="O245" s="26">
        <v>1759648.34</v>
      </c>
      <c r="P245" s="5" t="s">
        <v>50</v>
      </c>
      <c r="Q245" s="5" t="s">
        <v>43</v>
      </c>
      <c r="R245">
        <v>3.7</v>
      </c>
      <c r="S245">
        <v>15</v>
      </c>
      <c r="T245">
        <f t="shared" si="3"/>
        <v>0</v>
      </c>
    </row>
    <row r="246" spans="1:20">
      <c r="A246" s="4">
        <v>44323</v>
      </c>
      <c r="B246">
        <v>2021</v>
      </c>
      <c r="C246">
        <v>5</v>
      </c>
      <c r="D246" s="5" t="s">
        <v>54</v>
      </c>
      <c r="E246" s="5" t="s">
        <v>70</v>
      </c>
      <c r="F246" s="5" t="s">
        <v>71</v>
      </c>
      <c r="G246" s="5" t="s">
        <v>72</v>
      </c>
      <c r="H246" s="5" t="s">
        <v>57</v>
      </c>
      <c r="I246" s="5" t="s">
        <v>58</v>
      </c>
      <c r="J246" s="5" t="s">
        <v>59</v>
      </c>
      <c r="K246">
        <v>60</v>
      </c>
      <c r="L246">
        <v>1411796</v>
      </c>
      <c r="M246" s="26">
        <v>84707760</v>
      </c>
      <c r="N246">
        <v>39270</v>
      </c>
      <c r="O246" s="26">
        <v>13372353.619999999</v>
      </c>
      <c r="P246" s="5" t="s">
        <v>50</v>
      </c>
      <c r="Q246" s="5" t="s">
        <v>75</v>
      </c>
      <c r="R246">
        <v>3.7</v>
      </c>
      <c r="S246">
        <v>19</v>
      </c>
      <c r="T246">
        <f t="shared" si="3"/>
        <v>0</v>
      </c>
    </row>
    <row r="247" spans="1:20">
      <c r="A247" s="4">
        <v>44330</v>
      </c>
      <c r="B247">
        <v>2021</v>
      </c>
      <c r="C247">
        <v>5</v>
      </c>
      <c r="D247" s="5" t="s">
        <v>35</v>
      </c>
      <c r="E247" s="5" t="s">
        <v>36</v>
      </c>
      <c r="F247" s="5" t="s">
        <v>37</v>
      </c>
      <c r="G247" s="5" t="s">
        <v>38</v>
      </c>
      <c r="H247" s="5" t="s">
        <v>86</v>
      </c>
      <c r="I247" s="5" t="s">
        <v>40</v>
      </c>
      <c r="J247" s="5" t="s">
        <v>41</v>
      </c>
      <c r="K247">
        <v>12</v>
      </c>
      <c r="L247">
        <v>598968</v>
      </c>
      <c r="M247" s="26">
        <v>7187616</v>
      </c>
      <c r="N247">
        <v>43335</v>
      </c>
      <c r="O247" s="26">
        <v>875231.06</v>
      </c>
      <c r="P247" s="5" t="s">
        <v>50</v>
      </c>
      <c r="Q247" s="5" t="s">
        <v>43</v>
      </c>
      <c r="R247">
        <v>4.4000000000000004</v>
      </c>
      <c r="S247">
        <v>12</v>
      </c>
      <c r="T247">
        <f t="shared" si="3"/>
        <v>0</v>
      </c>
    </row>
    <row r="248" spans="1:20">
      <c r="A248" s="4">
        <v>44339</v>
      </c>
      <c r="B248">
        <v>2021</v>
      </c>
      <c r="C248">
        <v>5</v>
      </c>
      <c r="D248" s="5" t="s">
        <v>35</v>
      </c>
      <c r="E248" s="5" t="s">
        <v>36</v>
      </c>
      <c r="F248" s="5" t="s">
        <v>37</v>
      </c>
      <c r="G248" s="5" t="s">
        <v>38</v>
      </c>
      <c r="H248" s="5" t="s">
        <v>74</v>
      </c>
      <c r="I248" s="5" t="s">
        <v>40</v>
      </c>
      <c r="J248" s="5" t="s">
        <v>49</v>
      </c>
      <c r="K248">
        <v>27</v>
      </c>
      <c r="L248">
        <v>671063</v>
      </c>
      <c r="M248" s="26">
        <v>18118701</v>
      </c>
      <c r="N248">
        <v>16413</v>
      </c>
      <c r="O248" s="26">
        <v>1777525.18</v>
      </c>
      <c r="P248" s="5" t="s">
        <v>42</v>
      </c>
      <c r="Q248" s="5" t="s">
        <v>51</v>
      </c>
      <c r="R248">
        <v>4.2</v>
      </c>
      <c r="S248">
        <v>4</v>
      </c>
      <c r="T248">
        <f t="shared" si="3"/>
        <v>1</v>
      </c>
    </row>
    <row r="249" spans="1:20">
      <c r="A249" s="4">
        <v>44339</v>
      </c>
      <c r="B249">
        <v>2021</v>
      </c>
      <c r="C249">
        <v>5</v>
      </c>
      <c r="D249" s="5" t="s">
        <v>35</v>
      </c>
      <c r="E249" s="5" t="s">
        <v>36</v>
      </c>
      <c r="F249" s="5" t="s">
        <v>37</v>
      </c>
      <c r="G249" s="5" t="s">
        <v>38</v>
      </c>
      <c r="H249" s="5" t="s">
        <v>57</v>
      </c>
      <c r="I249" s="5" t="s">
        <v>58</v>
      </c>
      <c r="J249" s="5" t="s">
        <v>59</v>
      </c>
      <c r="K249">
        <v>35</v>
      </c>
      <c r="L249">
        <v>1407015</v>
      </c>
      <c r="M249" s="26">
        <v>49245525</v>
      </c>
      <c r="N249">
        <v>14356</v>
      </c>
      <c r="O249" s="26">
        <v>4763182.99</v>
      </c>
      <c r="P249" s="5" t="s">
        <v>50</v>
      </c>
      <c r="Q249" s="5" t="s">
        <v>43</v>
      </c>
      <c r="R249">
        <v>4.8</v>
      </c>
      <c r="S249">
        <v>13</v>
      </c>
      <c r="T249">
        <f t="shared" si="3"/>
        <v>0</v>
      </c>
    </row>
    <row r="250" spans="1:20">
      <c r="A250" s="4">
        <v>44323</v>
      </c>
      <c r="B250">
        <v>2021</v>
      </c>
      <c r="C250">
        <v>5</v>
      </c>
      <c r="D250" s="5" t="s">
        <v>44</v>
      </c>
      <c r="E250" s="5" t="s">
        <v>45</v>
      </c>
      <c r="F250" s="5" t="s">
        <v>46</v>
      </c>
      <c r="G250" s="5" t="s">
        <v>47</v>
      </c>
      <c r="H250" s="5" t="s">
        <v>79</v>
      </c>
      <c r="I250" s="5" t="s">
        <v>58</v>
      </c>
      <c r="J250" s="5" t="s">
        <v>49</v>
      </c>
      <c r="K250">
        <v>35</v>
      </c>
      <c r="L250">
        <v>871954</v>
      </c>
      <c r="M250" s="26">
        <v>30518390</v>
      </c>
      <c r="N250">
        <v>39670</v>
      </c>
      <c r="O250" s="26">
        <v>3568898.65</v>
      </c>
      <c r="P250" s="5" t="s">
        <v>50</v>
      </c>
      <c r="Q250" s="5" t="s">
        <v>75</v>
      </c>
      <c r="R250">
        <v>4.5</v>
      </c>
      <c r="S250">
        <v>2</v>
      </c>
      <c r="T250">
        <f t="shared" si="3"/>
        <v>0</v>
      </c>
    </row>
    <row r="251" spans="1:20">
      <c r="A251" s="4">
        <v>44342</v>
      </c>
      <c r="B251">
        <v>2021</v>
      </c>
      <c r="C251">
        <v>5</v>
      </c>
      <c r="D251" s="5" t="s">
        <v>44</v>
      </c>
      <c r="E251" s="5" t="s">
        <v>82</v>
      </c>
      <c r="F251" s="5" t="s">
        <v>83</v>
      </c>
      <c r="G251" s="5" t="s">
        <v>84</v>
      </c>
      <c r="H251" s="5" t="s">
        <v>74</v>
      </c>
      <c r="I251" s="5" t="s">
        <v>40</v>
      </c>
      <c r="J251" s="5" t="s">
        <v>49</v>
      </c>
      <c r="K251">
        <v>22</v>
      </c>
      <c r="L251">
        <v>673718</v>
      </c>
      <c r="M251" s="26">
        <v>14821796</v>
      </c>
      <c r="N251">
        <v>39011</v>
      </c>
      <c r="O251" s="26">
        <v>1410321.27</v>
      </c>
      <c r="P251" s="5" t="s">
        <v>50</v>
      </c>
      <c r="Q251" s="5" t="s">
        <v>75</v>
      </c>
      <c r="R251">
        <v>4.8</v>
      </c>
      <c r="S251">
        <v>12</v>
      </c>
      <c r="T251">
        <f t="shared" si="3"/>
        <v>0</v>
      </c>
    </row>
    <row r="252" spans="1:20">
      <c r="A252" s="4">
        <v>44363</v>
      </c>
      <c r="B252">
        <v>2021</v>
      </c>
      <c r="C252">
        <v>6</v>
      </c>
      <c r="D252" s="5" t="s">
        <v>44</v>
      </c>
      <c r="E252" s="5" t="s">
        <v>45</v>
      </c>
      <c r="F252" s="5" t="s">
        <v>46</v>
      </c>
      <c r="G252" s="5" t="s">
        <v>47</v>
      </c>
      <c r="H252" s="5" t="s">
        <v>48</v>
      </c>
      <c r="I252" s="5" t="s">
        <v>40</v>
      </c>
      <c r="J252" s="5" t="s">
        <v>49</v>
      </c>
      <c r="K252">
        <v>50</v>
      </c>
      <c r="L252">
        <v>457796</v>
      </c>
      <c r="M252" s="26">
        <v>22889800</v>
      </c>
      <c r="N252">
        <v>39257</v>
      </c>
      <c r="O252" s="26">
        <v>3131319.73</v>
      </c>
      <c r="P252" s="5" t="s">
        <v>42</v>
      </c>
      <c r="Q252" s="5" t="s">
        <v>75</v>
      </c>
      <c r="R252">
        <v>4.0999999999999996</v>
      </c>
      <c r="S252">
        <v>13</v>
      </c>
      <c r="T252">
        <f t="shared" si="3"/>
        <v>1</v>
      </c>
    </row>
    <row r="253" spans="1:20">
      <c r="A253" s="4">
        <v>44354</v>
      </c>
      <c r="B253">
        <v>2021</v>
      </c>
      <c r="C253">
        <v>6</v>
      </c>
      <c r="D253" s="5" t="s">
        <v>66</v>
      </c>
      <c r="E253" s="5" t="s">
        <v>67</v>
      </c>
      <c r="F253" s="5" t="s">
        <v>68</v>
      </c>
      <c r="G253" s="5" t="s">
        <v>69</v>
      </c>
      <c r="H253" s="5" t="s">
        <v>79</v>
      </c>
      <c r="I253" s="5" t="s">
        <v>58</v>
      </c>
      <c r="J253" s="5" t="s">
        <v>49</v>
      </c>
      <c r="K253">
        <v>32</v>
      </c>
      <c r="L253">
        <v>894120</v>
      </c>
      <c r="M253" s="26">
        <v>28611840</v>
      </c>
      <c r="N253">
        <v>40979</v>
      </c>
      <c r="O253" s="26">
        <v>4401345</v>
      </c>
      <c r="P253" s="5" t="s">
        <v>50</v>
      </c>
      <c r="Q253" s="5" t="s">
        <v>75</v>
      </c>
      <c r="R253">
        <v>3.9</v>
      </c>
      <c r="S253">
        <v>2</v>
      </c>
      <c r="T253">
        <f t="shared" si="3"/>
        <v>0</v>
      </c>
    </row>
    <row r="254" spans="1:20">
      <c r="A254" s="4">
        <v>44351</v>
      </c>
      <c r="B254">
        <v>2021</v>
      </c>
      <c r="C254">
        <v>6</v>
      </c>
      <c r="D254" s="5" t="s">
        <v>35</v>
      </c>
      <c r="E254" s="5" t="s">
        <v>76</v>
      </c>
      <c r="F254" s="5" t="s">
        <v>77</v>
      </c>
      <c r="G254" s="5" t="s">
        <v>78</v>
      </c>
      <c r="H254" s="5" t="s">
        <v>80</v>
      </c>
      <c r="I254" s="5" t="s">
        <v>81</v>
      </c>
      <c r="J254" s="5" t="s">
        <v>41</v>
      </c>
      <c r="K254">
        <v>30</v>
      </c>
      <c r="L254">
        <v>549934</v>
      </c>
      <c r="M254" s="26">
        <v>16498020</v>
      </c>
      <c r="N254">
        <v>45412</v>
      </c>
      <c r="O254" s="26">
        <v>1901606.78</v>
      </c>
      <c r="P254" s="5" t="s">
        <v>50</v>
      </c>
      <c r="Q254" s="5" t="s">
        <v>75</v>
      </c>
      <c r="R254">
        <v>4.7</v>
      </c>
      <c r="S254">
        <v>18</v>
      </c>
      <c r="T254">
        <f t="shared" si="3"/>
        <v>0</v>
      </c>
    </row>
    <row r="255" spans="1:20">
      <c r="A255" s="4">
        <v>44375</v>
      </c>
      <c r="B255">
        <v>2021</v>
      </c>
      <c r="C255">
        <v>6</v>
      </c>
      <c r="D255" s="5" t="s">
        <v>54</v>
      </c>
      <c r="E255" s="5" t="s">
        <v>55</v>
      </c>
      <c r="F255" s="5" t="s">
        <v>55</v>
      </c>
      <c r="G255" s="5" t="s">
        <v>56</v>
      </c>
      <c r="H255" s="5" t="s">
        <v>74</v>
      </c>
      <c r="I255" s="5" t="s">
        <v>40</v>
      </c>
      <c r="J255" s="5" t="s">
        <v>49</v>
      </c>
      <c r="K255">
        <v>32</v>
      </c>
      <c r="L255">
        <v>675998</v>
      </c>
      <c r="M255" s="26">
        <v>21631936</v>
      </c>
      <c r="N255">
        <v>23250</v>
      </c>
      <c r="O255" s="26">
        <v>2449506.83</v>
      </c>
      <c r="P255" s="5" t="s">
        <v>50</v>
      </c>
      <c r="Q255" s="5" t="s">
        <v>51</v>
      </c>
      <c r="R255">
        <v>4.7</v>
      </c>
      <c r="S255">
        <v>13</v>
      </c>
      <c r="T255">
        <f t="shared" si="3"/>
        <v>0</v>
      </c>
    </row>
    <row r="256" spans="1:20">
      <c r="A256" s="4">
        <v>44352</v>
      </c>
      <c r="B256">
        <v>2021</v>
      </c>
      <c r="C256">
        <v>6</v>
      </c>
      <c r="D256" s="5" t="s">
        <v>66</v>
      </c>
      <c r="E256" s="5" t="s">
        <v>67</v>
      </c>
      <c r="F256" s="5" t="s">
        <v>68</v>
      </c>
      <c r="G256" s="5" t="s">
        <v>69</v>
      </c>
      <c r="H256" s="5" t="s">
        <v>52</v>
      </c>
      <c r="I256" s="5" t="s">
        <v>53</v>
      </c>
      <c r="J256" s="5" t="s">
        <v>41</v>
      </c>
      <c r="K256">
        <v>42</v>
      </c>
      <c r="L256">
        <v>968987</v>
      </c>
      <c r="M256" s="26">
        <v>40697454</v>
      </c>
      <c r="N256">
        <v>8099</v>
      </c>
      <c r="O256" s="26">
        <v>4904256.16</v>
      </c>
      <c r="P256" s="5" t="s">
        <v>42</v>
      </c>
      <c r="Q256" s="5" t="s">
        <v>51</v>
      </c>
      <c r="R256">
        <v>3.6</v>
      </c>
      <c r="S256">
        <v>5</v>
      </c>
      <c r="T256">
        <f t="shared" si="3"/>
        <v>1</v>
      </c>
    </row>
    <row r="257" spans="1:20">
      <c r="A257" s="4">
        <v>44373</v>
      </c>
      <c r="B257">
        <v>2021</v>
      </c>
      <c r="C257">
        <v>6</v>
      </c>
      <c r="D257" s="5" t="s">
        <v>35</v>
      </c>
      <c r="E257" s="5" t="s">
        <v>76</v>
      </c>
      <c r="F257" s="5" t="s">
        <v>77</v>
      </c>
      <c r="G257" s="5" t="s">
        <v>78</v>
      </c>
      <c r="H257" s="5" t="s">
        <v>80</v>
      </c>
      <c r="I257" s="5" t="s">
        <v>81</v>
      </c>
      <c r="J257" s="5" t="s">
        <v>41</v>
      </c>
      <c r="K257">
        <v>45</v>
      </c>
      <c r="L257">
        <v>528162</v>
      </c>
      <c r="M257" s="26">
        <v>23767290</v>
      </c>
      <c r="N257">
        <v>33623</v>
      </c>
      <c r="O257" s="26">
        <v>3709298.28</v>
      </c>
      <c r="P257" s="5" t="s">
        <v>50</v>
      </c>
      <c r="Q257" s="5" t="s">
        <v>43</v>
      </c>
      <c r="R257">
        <v>3.7</v>
      </c>
      <c r="S257">
        <v>11</v>
      </c>
      <c r="T257">
        <f t="shared" si="3"/>
        <v>0</v>
      </c>
    </row>
    <row r="258" spans="1:20">
      <c r="A258" s="4">
        <v>44373</v>
      </c>
      <c r="B258">
        <v>2021</v>
      </c>
      <c r="C258">
        <v>6</v>
      </c>
      <c r="D258" s="5" t="s">
        <v>54</v>
      </c>
      <c r="E258" s="5" t="s">
        <v>55</v>
      </c>
      <c r="F258" s="5" t="s">
        <v>55</v>
      </c>
      <c r="G258" s="5" t="s">
        <v>56</v>
      </c>
      <c r="H258" s="5" t="s">
        <v>48</v>
      </c>
      <c r="I258" s="5" t="s">
        <v>40</v>
      </c>
      <c r="J258" s="5" t="s">
        <v>49</v>
      </c>
      <c r="K258">
        <v>45</v>
      </c>
      <c r="L258">
        <v>421754</v>
      </c>
      <c r="M258" s="26">
        <v>18978930</v>
      </c>
      <c r="N258">
        <v>36659</v>
      </c>
      <c r="O258" s="26">
        <v>1620249.19</v>
      </c>
      <c r="P258" s="5" t="s">
        <v>42</v>
      </c>
      <c r="Q258" s="5" t="s">
        <v>75</v>
      </c>
      <c r="R258">
        <v>4.2</v>
      </c>
      <c r="S258">
        <v>21</v>
      </c>
      <c r="T258">
        <f t="shared" ref="T258:T321" si="4">IF(AND(OR($B258=Sel_Year,Sel_Year="All"),OR($C258=Sel_Month,Sel_Month="All"),OR($D258=Sel_Region,Sel_Region="All"),OR($E258=Sel_State,Sel_State="All"),OR($F258=Sel_City,Sel_City="All"),OR($G258=Sel_Dealer,Sel_Dealer="All"),OR($H258=Sel_Model,Sel_Model="All"),OR($I258=Sel_Segment,Sel_Segment="All"),OR($J258=Sel_Fuel,Sel_Fuel="All"),OR($P258=Sel_CustType,Sel_CustType="All"),OR($Q258=Sel_Payment,Sel_Payment="All")),1,0)</f>
        <v>1</v>
      </c>
    </row>
    <row r="259" spans="1:20">
      <c r="A259" s="4">
        <v>44360</v>
      </c>
      <c r="B259">
        <v>2021</v>
      </c>
      <c r="C259">
        <v>6</v>
      </c>
      <c r="D259" s="5" t="s">
        <v>44</v>
      </c>
      <c r="E259" s="5" t="s">
        <v>45</v>
      </c>
      <c r="F259" s="5" t="s">
        <v>46</v>
      </c>
      <c r="G259" s="5" t="s">
        <v>47</v>
      </c>
      <c r="H259" s="5" t="s">
        <v>86</v>
      </c>
      <c r="I259" s="5" t="s">
        <v>40</v>
      </c>
      <c r="J259" s="5" t="s">
        <v>41</v>
      </c>
      <c r="K259">
        <v>39</v>
      </c>
      <c r="L259">
        <v>625577</v>
      </c>
      <c r="M259" s="26">
        <v>24397503</v>
      </c>
      <c r="N259">
        <v>49172</v>
      </c>
      <c r="O259" s="26">
        <v>3331317.6</v>
      </c>
      <c r="P259" s="5" t="s">
        <v>42</v>
      </c>
      <c r="Q259" s="5" t="s">
        <v>75</v>
      </c>
      <c r="R259">
        <v>4.9000000000000004</v>
      </c>
      <c r="S259">
        <v>18</v>
      </c>
      <c r="T259">
        <f t="shared" si="4"/>
        <v>1</v>
      </c>
    </row>
    <row r="260" spans="1:20">
      <c r="A260" s="4">
        <v>44350</v>
      </c>
      <c r="B260">
        <v>2021</v>
      </c>
      <c r="C260">
        <v>6</v>
      </c>
      <c r="D260" s="5" t="s">
        <v>66</v>
      </c>
      <c r="E260" s="5" t="s">
        <v>67</v>
      </c>
      <c r="F260" s="5" t="s">
        <v>68</v>
      </c>
      <c r="G260" s="5" t="s">
        <v>69</v>
      </c>
      <c r="H260" s="5" t="s">
        <v>48</v>
      </c>
      <c r="I260" s="5" t="s">
        <v>40</v>
      </c>
      <c r="J260" s="5" t="s">
        <v>49</v>
      </c>
      <c r="K260">
        <v>58</v>
      </c>
      <c r="L260">
        <v>468088</v>
      </c>
      <c r="M260" s="26">
        <v>27149104</v>
      </c>
      <c r="N260">
        <v>25789</v>
      </c>
      <c r="O260" s="26">
        <v>3122939.48</v>
      </c>
      <c r="P260" s="5" t="s">
        <v>50</v>
      </c>
      <c r="Q260" s="5" t="s">
        <v>51</v>
      </c>
      <c r="R260">
        <v>4.4000000000000004</v>
      </c>
      <c r="S260">
        <v>13</v>
      </c>
      <c r="T260">
        <f t="shared" si="4"/>
        <v>0</v>
      </c>
    </row>
    <row r="261" spans="1:20">
      <c r="A261" s="4">
        <v>44368</v>
      </c>
      <c r="B261">
        <v>2021</v>
      </c>
      <c r="C261">
        <v>6</v>
      </c>
      <c r="D261" s="5" t="s">
        <v>44</v>
      </c>
      <c r="E261" s="5" t="s">
        <v>45</v>
      </c>
      <c r="F261" s="5" t="s">
        <v>46</v>
      </c>
      <c r="G261" s="5" t="s">
        <v>47</v>
      </c>
      <c r="H261" s="5" t="s">
        <v>73</v>
      </c>
      <c r="I261" s="5" t="s">
        <v>40</v>
      </c>
      <c r="J261" s="5" t="s">
        <v>49</v>
      </c>
      <c r="K261">
        <v>27</v>
      </c>
      <c r="L261">
        <v>696927</v>
      </c>
      <c r="M261" s="26">
        <v>18817029</v>
      </c>
      <c r="N261">
        <v>17837</v>
      </c>
      <c r="O261" s="26">
        <v>1672593.11</v>
      </c>
      <c r="P261" s="5" t="s">
        <v>50</v>
      </c>
      <c r="Q261" s="5" t="s">
        <v>75</v>
      </c>
      <c r="R261">
        <v>4.3</v>
      </c>
      <c r="S261">
        <v>9</v>
      </c>
      <c r="T261">
        <f t="shared" si="4"/>
        <v>0</v>
      </c>
    </row>
    <row r="262" spans="1:20">
      <c r="A262" s="4">
        <v>44365</v>
      </c>
      <c r="B262">
        <v>2021</v>
      </c>
      <c r="C262">
        <v>6</v>
      </c>
      <c r="D262" s="5" t="s">
        <v>44</v>
      </c>
      <c r="E262" s="5" t="s">
        <v>45</v>
      </c>
      <c r="F262" s="5" t="s">
        <v>46</v>
      </c>
      <c r="G262" s="5" t="s">
        <v>47</v>
      </c>
      <c r="H262" s="5" t="s">
        <v>63</v>
      </c>
      <c r="I262" s="5" t="s">
        <v>64</v>
      </c>
      <c r="J262" s="5" t="s">
        <v>41</v>
      </c>
      <c r="K262">
        <v>36</v>
      </c>
      <c r="L262">
        <v>770066</v>
      </c>
      <c r="M262" s="26">
        <v>27722376</v>
      </c>
      <c r="N262">
        <v>9051</v>
      </c>
      <c r="O262" s="26">
        <v>3489637.18</v>
      </c>
      <c r="P262" s="5" t="s">
        <v>42</v>
      </c>
      <c r="Q262" s="5" t="s">
        <v>43</v>
      </c>
      <c r="R262">
        <v>4.4000000000000004</v>
      </c>
      <c r="S262">
        <v>21</v>
      </c>
      <c r="T262">
        <f t="shared" si="4"/>
        <v>1</v>
      </c>
    </row>
    <row r="263" spans="1:20">
      <c r="A263" s="4">
        <v>44375</v>
      </c>
      <c r="B263">
        <v>2021</v>
      </c>
      <c r="C263">
        <v>6</v>
      </c>
      <c r="D263" s="5" t="s">
        <v>54</v>
      </c>
      <c r="E263" s="5" t="s">
        <v>55</v>
      </c>
      <c r="F263" s="5" t="s">
        <v>55</v>
      </c>
      <c r="G263" s="5" t="s">
        <v>56</v>
      </c>
      <c r="H263" s="5" t="s">
        <v>63</v>
      </c>
      <c r="I263" s="5" t="s">
        <v>64</v>
      </c>
      <c r="J263" s="5" t="s">
        <v>41</v>
      </c>
      <c r="K263">
        <v>44</v>
      </c>
      <c r="L263">
        <v>761348</v>
      </c>
      <c r="M263" s="26">
        <v>33499312</v>
      </c>
      <c r="N263">
        <v>33697</v>
      </c>
      <c r="O263" s="26">
        <v>3266556.77</v>
      </c>
      <c r="P263" s="5" t="s">
        <v>42</v>
      </c>
      <c r="Q263" s="5" t="s">
        <v>43</v>
      </c>
      <c r="R263">
        <v>4.2</v>
      </c>
      <c r="S263">
        <v>3</v>
      </c>
      <c r="T263">
        <f t="shared" si="4"/>
        <v>1</v>
      </c>
    </row>
    <row r="264" spans="1:20">
      <c r="A264" s="4">
        <v>44366</v>
      </c>
      <c r="B264">
        <v>2021</v>
      </c>
      <c r="C264">
        <v>6</v>
      </c>
      <c r="D264" s="5" t="s">
        <v>44</v>
      </c>
      <c r="E264" s="5" t="s">
        <v>82</v>
      </c>
      <c r="F264" s="5" t="s">
        <v>83</v>
      </c>
      <c r="G264" s="5" t="s">
        <v>84</v>
      </c>
      <c r="H264" s="5" t="s">
        <v>57</v>
      </c>
      <c r="I264" s="5" t="s">
        <v>58</v>
      </c>
      <c r="J264" s="5" t="s">
        <v>59</v>
      </c>
      <c r="K264">
        <v>16</v>
      </c>
      <c r="L264">
        <v>1418834</v>
      </c>
      <c r="M264" s="26">
        <v>22701344</v>
      </c>
      <c r="N264">
        <v>33702</v>
      </c>
      <c r="O264" s="26">
        <v>2643423.7999999998</v>
      </c>
      <c r="P264" s="5" t="s">
        <v>50</v>
      </c>
      <c r="Q264" s="5" t="s">
        <v>43</v>
      </c>
      <c r="R264">
        <v>4.3</v>
      </c>
      <c r="S264">
        <v>14</v>
      </c>
      <c r="T264">
        <f t="shared" si="4"/>
        <v>0</v>
      </c>
    </row>
    <row r="265" spans="1:20">
      <c r="A265" s="4">
        <v>44368</v>
      </c>
      <c r="B265">
        <v>2021</v>
      </c>
      <c r="C265">
        <v>6</v>
      </c>
      <c r="D265" s="5" t="s">
        <v>66</v>
      </c>
      <c r="E265" s="5" t="s">
        <v>67</v>
      </c>
      <c r="F265" s="5" t="s">
        <v>68</v>
      </c>
      <c r="G265" s="5" t="s">
        <v>69</v>
      </c>
      <c r="H265" s="5" t="s">
        <v>80</v>
      </c>
      <c r="I265" s="5" t="s">
        <v>81</v>
      </c>
      <c r="J265" s="5" t="s">
        <v>41</v>
      </c>
      <c r="K265">
        <v>40</v>
      </c>
      <c r="L265">
        <v>559116</v>
      </c>
      <c r="M265" s="26">
        <v>22364640</v>
      </c>
      <c r="N265">
        <v>31111</v>
      </c>
      <c r="O265" s="26">
        <v>2643329.35</v>
      </c>
      <c r="P265" s="5" t="s">
        <v>50</v>
      </c>
      <c r="Q265" s="5" t="s">
        <v>43</v>
      </c>
      <c r="R265">
        <v>3.5</v>
      </c>
      <c r="S265">
        <v>6</v>
      </c>
      <c r="T265">
        <f t="shared" si="4"/>
        <v>0</v>
      </c>
    </row>
    <row r="266" spans="1:20">
      <c r="A266" s="4">
        <v>44357</v>
      </c>
      <c r="B266">
        <v>2021</v>
      </c>
      <c r="C266">
        <v>6</v>
      </c>
      <c r="D266" s="5" t="s">
        <v>35</v>
      </c>
      <c r="E266" s="5" t="s">
        <v>60</v>
      </c>
      <c r="F266" s="5" t="s">
        <v>61</v>
      </c>
      <c r="G266" s="5" t="s">
        <v>62</v>
      </c>
      <c r="H266" s="5" t="s">
        <v>73</v>
      </c>
      <c r="I266" s="5" t="s">
        <v>40</v>
      </c>
      <c r="J266" s="5" t="s">
        <v>49</v>
      </c>
      <c r="K266">
        <v>57</v>
      </c>
      <c r="L266">
        <v>713567</v>
      </c>
      <c r="M266" s="26">
        <v>40673319</v>
      </c>
      <c r="N266">
        <v>21985</v>
      </c>
      <c r="O266" s="26">
        <v>6004833.9000000004</v>
      </c>
      <c r="P266" s="5" t="s">
        <v>42</v>
      </c>
      <c r="Q266" s="5" t="s">
        <v>75</v>
      </c>
      <c r="R266">
        <v>3.7</v>
      </c>
      <c r="S266">
        <v>6</v>
      </c>
      <c r="T266">
        <f t="shared" si="4"/>
        <v>1</v>
      </c>
    </row>
    <row r="267" spans="1:20">
      <c r="A267" s="4">
        <v>44365</v>
      </c>
      <c r="B267">
        <v>2021</v>
      </c>
      <c r="C267">
        <v>6</v>
      </c>
      <c r="D267" s="5" t="s">
        <v>35</v>
      </c>
      <c r="E267" s="5" t="s">
        <v>60</v>
      </c>
      <c r="F267" s="5" t="s">
        <v>61</v>
      </c>
      <c r="G267" s="5" t="s">
        <v>62</v>
      </c>
      <c r="H267" s="5" t="s">
        <v>74</v>
      </c>
      <c r="I267" s="5" t="s">
        <v>40</v>
      </c>
      <c r="J267" s="5" t="s">
        <v>49</v>
      </c>
      <c r="K267">
        <v>33</v>
      </c>
      <c r="L267">
        <v>650779</v>
      </c>
      <c r="M267" s="26">
        <v>21475707</v>
      </c>
      <c r="N267">
        <v>42338</v>
      </c>
      <c r="O267" s="26">
        <v>3282338.4</v>
      </c>
      <c r="P267" s="5" t="s">
        <v>42</v>
      </c>
      <c r="Q267" s="5" t="s">
        <v>75</v>
      </c>
      <c r="R267">
        <v>4.5999999999999996</v>
      </c>
      <c r="S267">
        <v>2</v>
      </c>
      <c r="T267">
        <f t="shared" si="4"/>
        <v>1</v>
      </c>
    </row>
    <row r="268" spans="1:20">
      <c r="A268" s="4">
        <v>44357</v>
      </c>
      <c r="B268">
        <v>2021</v>
      </c>
      <c r="C268">
        <v>6</v>
      </c>
      <c r="D268" s="5" t="s">
        <v>35</v>
      </c>
      <c r="E268" s="5" t="s">
        <v>76</v>
      </c>
      <c r="F268" s="5" t="s">
        <v>77</v>
      </c>
      <c r="G268" s="5" t="s">
        <v>78</v>
      </c>
      <c r="H268" s="5" t="s">
        <v>63</v>
      </c>
      <c r="I268" s="5" t="s">
        <v>64</v>
      </c>
      <c r="J268" s="5" t="s">
        <v>41</v>
      </c>
      <c r="K268">
        <v>44</v>
      </c>
      <c r="L268">
        <v>783104</v>
      </c>
      <c r="M268" s="26">
        <v>34456576</v>
      </c>
      <c r="N268">
        <v>9245</v>
      </c>
      <c r="O268" s="26">
        <v>4920444.5199999996</v>
      </c>
      <c r="P268" s="5" t="s">
        <v>50</v>
      </c>
      <c r="Q268" s="5" t="s">
        <v>51</v>
      </c>
      <c r="R268">
        <v>3.9</v>
      </c>
      <c r="S268">
        <v>18</v>
      </c>
      <c r="T268">
        <f t="shared" si="4"/>
        <v>0</v>
      </c>
    </row>
    <row r="269" spans="1:20">
      <c r="A269" s="4">
        <v>44367</v>
      </c>
      <c r="B269">
        <v>2021</v>
      </c>
      <c r="C269">
        <v>6</v>
      </c>
      <c r="D269" s="5" t="s">
        <v>54</v>
      </c>
      <c r="E269" s="5" t="s">
        <v>55</v>
      </c>
      <c r="F269" s="5" t="s">
        <v>55</v>
      </c>
      <c r="G269" s="5" t="s">
        <v>56</v>
      </c>
      <c r="H269" s="5" t="s">
        <v>39</v>
      </c>
      <c r="I269" s="5" t="s">
        <v>40</v>
      </c>
      <c r="J269" s="5" t="s">
        <v>41</v>
      </c>
      <c r="K269">
        <v>30</v>
      </c>
      <c r="L269">
        <v>557342</v>
      </c>
      <c r="M269" s="26">
        <v>16720260</v>
      </c>
      <c r="N269">
        <v>11414</v>
      </c>
      <c r="O269" s="26">
        <v>2254212.7599999998</v>
      </c>
      <c r="P269" s="5" t="s">
        <v>42</v>
      </c>
      <c r="Q269" s="5" t="s">
        <v>75</v>
      </c>
      <c r="R269">
        <v>4.4000000000000004</v>
      </c>
      <c r="S269">
        <v>18</v>
      </c>
      <c r="T269">
        <f t="shared" si="4"/>
        <v>1</v>
      </c>
    </row>
    <row r="270" spans="1:20">
      <c r="A270" s="4">
        <v>44349</v>
      </c>
      <c r="B270">
        <v>2021</v>
      </c>
      <c r="C270">
        <v>6</v>
      </c>
      <c r="D270" s="5" t="s">
        <v>54</v>
      </c>
      <c r="E270" s="5" t="s">
        <v>70</v>
      </c>
      <c r="F270" s="5" t="s">
        <v>71</v>
      </c>
      <c r="G270" s="5" t="s">
        <v>72</v>
      </c>
      <c r="H270" s="5" t="s">
        <v>39</v>
      </c>
      <c r="I270" s="5" t="s">
        <v>40</v>
      </c>
      <c r="J270" s="5" t="s">
        <v>41</v>
      </c>
      <c r="K270">
        <v>60</v>
      </c>
      <c r="L270">
        <v>594521</v>
      </c>
      <c r="M270" s="26">
        <v>35671260</v>
      </c>
      <c r="N270">
        <v>7862</v>
      </c>
      <c r="O270" s="26">
        <v>3390093.63</v>
      </c>
      <c r="P270" s="5" t="s">
        <v>50</v>
      </c>
      <c r="Q270" s="5" t="s">
        <v>75</v>
      </c>
      <c r="R270">
        <v>3.7</v>
      </c>
      <c r="S270">
        <v>18</v>
      </c>
      <c r="T270">
        <f t="shared" si="4"/>
        <v>0</v>
      </c>
    </row>
    <row r="271" spans="1:20">
      <c r="A271" s="4">
        <v>44354</v>
      </c>
      <c r="B271">
        <v>2021</v>
      </c>
      <c r="C271">
        <v>6</v>
      </c>
      <c r="D271" s="5" t="s">
        <v>44</v>
      </c>
      <c r="E271" s="5" t="s">
        <v>82</v>
      </c>
      <c r="F271" s="5" t="s">
        <v>83</v>
      </c>
      <c r="G271" s="5" t="s">
        <v>84</v>
      </c>
      <c r="H271" s="5" t="s">
        <v>85</v>
      </c>
      <c r="I271" s="5" t="s">
        <v>58</v>
      </c>
      <c r="J271" s="5" t="s">
        <v>49</v>
      </c>
      <c r="K271">
        <v>15</v>
      </c>
      <c r="L271">
        <v>984951</v>
      </c>
      <c r="M271" s="26">
        <v>14774265</v>
      </c>
      <c r="N271">
        <v>14842</v>
      </c>
      <c r="O271" s="26">
        <v>1451343.74</v>
      </c>
      <c r="P271" s="5" t="s">
        <v>50</v>
      </c>
      <c r="Q271" s="5" t="s">
        <v>51</v>
      </c>
      <c r="R271">
        <v>4</v>
      </c>
      <c r="S271">
        <v>20</v>
      </c>
      <c r="T271">
        <f t="shared" si="4"/>
        <v>0</v>
      </c>
    </row>
    <row r="272" spans="1:20">
      <c r="A272" s="4">
        <v>44355</v>
      </c>
      <c r="B272">
        <v>2021</v>
      </c>
      <c r="C272">
        <v>6</v>
      </c>
      <c r="D272" s="5" t="s">
        <v>66</v>
      </c>
      <c r="E272" s="5" t="s">
        <v>67</v>
      </c>
      <c r="F272" s="5" t="s">
        <v>68</v>
      </c>
      <c r="G272" s="5" t="s">
        <v>69</v>
      </c>
      <c r="H272" s="5" t="s">
        <v>63</v>
      </c>
      <c r="I272" s="5" t="s">
        <v>64</v>
      </c>
      <c r="J272" s="5" t="s">
        <v>41</v>
      </c>
      <c r="K272">
        <v>44</v>
      </c>
      <c r="L272">
        <v>738827</v>
      </c>
      <c r="M272" s="26">
        <v>32508388</v>
      </c>
      <c r="N272">
        <v>23737</v>
      </c>
      <c r="O272" s="26">
        <v>4103191.44</v>
      </c>
      <c r="P272" s="5" t="s">
        <v>50</v>
      </c>
      <c r="Q272" s="5" t="s">
        <v>51</v>
      </c>
      <c r="R272">
        <v>3.9</v>
      </c>
      <c r="S272">
        <v>2</v>
      </c>
      <c r="T272">
        <f t="shared" si="4"/>
        <v>0</v>
      </c>
    </row>
    <row r="273" spans="1:20">
      <c r="A273" s="4">
        <v>44374</v>
      </c>
      <c r="B273">
        <v>2021</v>
      </c>
      <c r="C273">
        <v>6</v>
      </c>
      <c r="D273" s="5" t="s">
        <v>66</v>
      </c>
      <c r="E273" s="5" t="s">
        <v>67</v>
      </c>
      <c r="F273" s="5" t="s">
        <v>68</v>
      </c>
      <c r="G273" s="5" t="s">
        <v>69</v>
      </c>
      <c r="H273" s="5" t="s">
        <v>39</v>
      </c>
      <c r="I273" s="5" t="s">
        <v>40</v>
      </c>
      <c r="J273" s="5" t="s">
        <v>41</v>
      </c>
      <c r="K273">
        <v>23</v>
      </c>
      <c r="L273">
        <v>605276</v>
      </c>
      <c r="M273" s="26">
        <v>13921348</v>
      </c>
      <c r="N273">
        <v>36104</v>
      </c>
      <c r="O273" s="26">
        <v>1583596.15</v>
      </c>
      <c r="P273" s="5" t="s">
        <v>50</v>
      </c>
      <c r="Q273" s="5" t="s">
        <v>75</v>
      </c>
      <c r="R273">
        <v>3.8</v>
      </c>
      <c r="S273">
        <v>3</v>
      </c>
      <c r="T273">
        <f t="shared" si="4"/>
        <v>0</v>
      </c>
    </row>
    <row r="274" spans="1:20">
      <c r="A274" s="4">
        <v>44353</v>
      </c>
      <c r="B274">
        <v>2021</v>
      </c>
      <c r="C274">
        <v>6</v>
      </c>
      <c r="D274" s="5" t="s">
        <v>66</v>
      </c>
      <c r="E274" s="5" t="s">
        <v>67</v>
      </c>
      <c r="F274" s="5" t="s">
        <v>68</v>
      </c>
      <c r="G274" s="5" t="s">
        <v>69</v>
      </c>
      <c r="H274" s="5" t="s">
        <v>79</v>
      </c>
      <c r="I274" s="5" t="s">
        <v>58</v>
      </c>
      <c r="J274" s="5" t="s">
        <v>49</v>
      </c>
      <c r="K274">
        <v>27</v>
      </c>
      <c r="L274">
        <v>893263</v>
      </c>
      <c r="M274" s="26">
        <v>24118101</v>
      </c>
      <c r="N274">
        <v>38530</v>
      </c>
      <c r="O274" s="26">
        <v>3686862.58</v>
      </c>
      <c r="P274" s="5" t="s">
        <v>50</v>
      </c>
      <c r="Q274" s="5" t="s">
        <v>75</v>
      </c>
      <c r="R274">
        <v>4.7</v>
      </c>
      <c r="S274">
        <v>3</v>
      </c>
      <c r="T274">
        <f t="shared" si="4"/>
        <v>0</v>
      </c>
    </row>
    <row r="275" spans="1:20">
      <c r="A275" s="4">
        <v>44355</v>
      </c>
      <c r="B275">
        <v>2021</v>
      </c>
      <c r="C275">
        <v>6</v>
      </c>
      <c r="D275" s="5" t="s">
        <v>54</v>
      </c>
      <c r="E275" s="5" t="s">
        <v>70</v>
      </c>
      <c r="F275" s="5" t="s">
        <v>71</v>
      </c>
      <c r="G275" s="5" t="s">
        <v>72</v>
      </c>
      <c r="H275" s="5" t="s">
        <v>73</v>
      </c>
      <c r="I275" s="5" t="s">
        <v>40</v>
      </c>
      <c r="J275" s="5" t="s">
        <v>49</v>
      </c>
      <c r="K275">
        <v>60</v>
      </c>
      <c r="L275">
        <v>719258</v>
      </c>
      <c r="M275" s="26">
        <v>43155480</v>
      </c>
      <c r="N275">
        <v>26094</v>
      </c>
      <c r="O275" s="26">
        <v>6263269.3700000001</v>
      </c>
      <c r="P275" s="5" t="s">
        <v>42</v>
      </c>
      <c r="Q275" s="5" t="s">
        <v>75</v>
      </c>
      <c r="R275">
        <v>4.5</v>
      </c>
      <c r="S275">
        <v>18</v>
      </c>
      <c r="T275">
        <f t="shared" si="4"/>
        <v>1</v>
      </c>
    </row>
    <row r="276" spans="1:20">
      <c r="A276" s="4">
        <v>44357</v>
      </c>
      <c r="B276">
        <v>2021</v>
      </c>
      <c r="C276">
        <v>6</v>
      </c>
      <c r="D276" s="5" t="s">
        <v>66</v>
      </c>
      <c r="E276" s="5" t="s">
        <v>67</v>
      </c>
      <c r="F276" s="5" t="s">
        <v>68</v>
      </c>
      <c r="G276" s="5" t="s">
        <v>69</v>
      </c>
      <c r="H276" s="5" t="s">
        <v>73</v>
      </c>
      <c r="I276" s="5" t="s">
        <v>40</v>
      </c>
      <c r="J276" s="5" t="s">
        <v>49</v>
      </c>
      <c r="K276">
        <v>35</v>
      </c>
      <c r="L276">
        <v>734873</v>
      </c>
      <c r="M276" s="26">
        <v>25720555</v>
      </c>
      <c r="N276">
        <v>45103</v>
      </c>
      <c r="O276" s="26">
        <v>2061424.55</v>
      </c>
      <c r="P276" s="5" t="s">
        <v>42</v>
      </c>
      <c r="Q276" s="5" t="s">
        <v>51</v>
      </c>
      <c r="R276">
        <v>3.9</v>
      </c>
      <c r="S276">
        <v>8</v>
      </c>
      <c r="T276">
        <f t="shared" si="4"/>
        <v>1</v>
      </c>
    </row>
    <row r="277" spans="1:20">
      <c r="A277" s="4">
        <v>44372</v>
      </c>
      <c r="B277">
        <v>2021</v>
      </c>
      <c r="C277">
        <v>6</v>
      </c>
      <c r="D277" s="5" t="s">
        <v>35</v>
      </c>
      <c r="E277" s="5" t="s">
        <v>36</v>
      </c>
      <c r="F277" s="5" t="s">
        <v>37</v>
      </c>
      <c r="G277" s="5" t="s">
        <v>38</v>
      </c>
      <c r="H277" s="5" t="s">
        <v>65</v>
      </c>
      <c r="I277" s="5" t="s">
        <v>53</v>
      </c>
      <c r="J277" s="5" t="s">
        <v>49</v>
      </c>
      <c r="K277">
        <v>45</v>
      </c>
      <c r="L277">
        <v>1244939</v>
      </c>
      <c r="M277" s="26">
        <v>56022255</v>
      </c>
      <c r="N277">
        <v>48428</v>
      </c>
      <c r="O277" s="26">
        <v>4638661.46</v>
      </c>
      <c r="P277" s="5" t="s">
        <v>42</v>
      </c>
      <c r="Q277" s="5" t="s">
        <v>43</v>
      </c>
      <c r="R277">
        <v>4.3</v>
      </c>
      <c r="S277">
        <v>2</v>
      </c>
      <c r="T277">
        <f t="shared" si="4"/>
        <v>1</v>
      </c>
    </row>
    <row r="278" spans="1:20">
      <c r="A278" s="4">
        <v>44357</v>
      </c>
      <c r="B278">
        <v>2021</v>
      </c>
      <c r="C278">
        <v>6</v>
      </c>
      <c r="D278" s="5" t="s">
        <v>35</v>
      </c>
      <c r="E278" s="5" t="s">
        <v>36</v>
      </c>
      <c r="F278" s="5" t="s">
        <v>37</v>
      </c>
      <c r="G278" s="5" t="s">
        <v>38</v>
      </c>
      <c r="H278" s="5" t="s">
        <v>85</v>
      </c>
      <c r="I278" s="5" t="s">
        <v>58</v>
      </c>
      <c r="J278" s="5" t="s">
        <v>49</v>
      </c>
      <c r="K278">
        <v>59</v>
      </c>
      <c r="L278">
        <v>982323</v>
      </c>
      <c r="M278" s="26">
        <v>57957057</v>
      </c>
      <c r="N278">
        <v>47299</v>
      </c>
      <c r="O278" s="26">
        <v>5095992.46</v>
      </c>
      <c r="P278" s="5" t="s">
        <v>42</v>
      </c>
      <c r="Q278" s="5" t="s">
        <v>75</v>
      </c>
      <c r="R278">
        <v>4.3</v>
      </c>
      <c r="S278">
        <v>5</v>
      </c>
      <c r="T278">
        <f t="shared" si="4"/>
        <v>1</v>
      </c>
    </row>
    <row r="279" spans="1:20">
      <c r="A279" s="4">
        <v>44359</v>
      </c>
      <c r="B279">
        <v>2021</v>
      </c>
      <c r="C279">
        <v>6</v>
      </c>
      <c r="D279" s="5" t="s">
        <v>35</v>
      </c>
      <c r="E279" s="5" t="s">
        <v>76</v>
      </c>
      <c r="F279" s="5" t="s">
        <v>77</v>
      </c>
      <c r="G279" s="5" t="s">
        <v>78</v>
      </c>
      <c r="H279" s="5" t="s">
        <v>85</v>
      </c>
      <c r="I279" s="5" t="s">
        <v>58</v>
      </c>
      <c r="J279" s="5" t="s">
        <v>49</v>
      </c>
      <c r="K279">
        <v>36</v>
      </c>
      <c r="L279">
        <v>987679</v>
      </c>
      <c r="M279" s="26">
        <v>35556444</v>
      </c>
      <c r="N279">
        <v>12598</v>
      </c>
      <c r="O279" s="26">
        <v>3350216.88</v>
      </c>
      <c r="P279" s="5" t="s">
        <v>42</v>
      </c>
      <c r="Q279" s="5" t="s">
        <v>43</v>
      </c>
      <c r="R279">
        <v>4.3</v>
      </c>
      <c r="S279">
        <v>15</v>
      </c>
      <c r="T279">
        <f t="shared" si="4"/>
        <v>1</v>
      </c>
    </row>
    <row r="280" spans="1:20">
      <c r="A280" s="4">
        <v>44349</v>
      </c>
      <c r="B280">
        <v>2021</v>
      </c>
      <c r="C280">
        <v>6</v>
      </c>
      <c r="D280" s="5" t="s">
        <v>54</v>
      </c>
      <c r="E280" s="5" t="s">
        <v>55</v>
      </c>
      <c r="F280" s="5" t="s">
        <v>55</v>
      </c>
      <c r="G280" s="5" t="s">
        <v>56</v>
      </c>
      <c r="H280" s="5" t="s">
        <v>80</v>
      </c>
      <c r="I280" s="5" t="s">
        <v>81</v>
      </c>
      <c r="J280" s="5" t="s">
        <v>41</v>
      </c>
      <c r="K280">
        <v>30</v>
      </c>
      <c r="L280">
        <v>576935</v>
      </c>
      <c r="M280" s="26">
        <v>17308050</v>
      </c>
      <c r="N280">
        <v>14272</v>
      </c>
      <c r="O280" s="26">
        <v>1974183.32</v>
      </c>
      <c r="P280" s="5" t="s">
        <v>42</v>
      </c>
      <c r="Q280" s="5" t="s">
        <v>43</v>
      </c>
      <c r="R280">
        <v>4.4000000000000004</v>
      </c>
      <c r="S280">
        <v>5</v>
      </c>
      <c r="T280">
        <f t="shared" si="4"/>
        <v>1</v>
      </c>
    </row>
    <row r="281" spans="1:20">
      <c r="A281" s="4">
        <v>44364</v>
      </c>
      <c r="B281">
        <v>2021</v>
      </c>
      <c r="C281">
        <v>6</v>
      </c>
      <c r="D281" s="5" t="s">
        <v>35</v>
      </c>
      <c r="E281" s="5" t="s">
        <v>76</v>
      </c>
      <c r="F281" s="5" t="s">
        <v>77</v>
      </c>
      <c r="G281" s="5" t="s">
        <v>78</v>
      </c>
      <c r="H281" s="5" t="s">
        <v>39</v>
      </c>
      <c r="I281" s="5" t="s">
        <v>40</v>
      </c>
      <c r="J281" s="5" t="s">
        <v>41</v>
      </c>
      <c r="K281">
        <v>22</v>
      </c>
      <c r="L281">
        <v>581377</v>
      </c>
      <c r="M281" s="26">
        <v>12790294</v>
      </c>
      <c r="N281">
        <v>44021</v>
      </c>
      <c r="O281" s="26">
        <v>1455309.08</v>
      </c>
      <c r="P281" s="5" t="s">
        <v>50</v>
      </c>
      <c r="Q281" s="5" t="s">
        <v>43</v>
      </c>
      <c r="R281">
        <v>4.7</v>
      </c>
      <c r="S281">
        <v>6</v>
      </c>
      <c r="T281">
        <f t="shared" si="4"/>
        <v>0</v>
      </c>
    </row>
    <row r="282" spans="1:20">
      <c r="A282" s="4">
        <v>44351</v>
      </c>
      <c r="B282">
        <v>2021</v>
      </c>
      <c r="C282">
        <v>6</v>
      </c>
      <c r="D282" s="5" t="s">
        <v>44</v>
      </c>
      <c r="E282" s="5" t="s">
        <v>82</v>
      </c>
      <c r="F282" s="5" t="s">
        <v>83</v>
      </c>
      <c r="G282" s="5" t="s">
        <v>84</v>
      </c>
      <c r="H282" s="5" t="s">
        <v>80</v>
      </c>
      <c r="I282" s="5" t="s">
        <v>81</v>
      </c>
      <c r="J282" s="5" t="s">
        <v>41</v>
      </c>
      <c r="K282">
        <v>48</v>
      </c>
      <c r="L282">
        <v>521604</v>
      </c>
      <c r="M282" s="26">
        <v>25036992</v>
      </c>
      <c r="N282">
        <v>41800</v>
      </c>
      <c r="O282" s="26">
        <v>3326993.28</v>
      </c>
      <c r="P282" s="5" t="s">
        <v>42</v>
      </c>
      <c r="Q282" s="5" t="s">
        <v>43</v>
      </c>
      <c r="R282">
        <v>3.9</v>
      </c>
      <c r="S282">
        <v>5</v>
      </c>
      <c r="T282">
        <f t="shared" si="4"/>
        <v>1</v>
      </c>
    </row>
    <row r="283" spans="1:20">
      <c r="A283" s="4">
        <v>44360</v>
      </c>
      <c r="B283">
        <v>2021</v>
      </c>
      <c r="C283">
        <v>6</v>
      </c>
      <c r="D283" s="5" t="s">
        <v>44</v>
      </c>
      <c r="E283" s="5" t="s">
        <v>82</v>
      </c>
      <c r="F283" s="5" t="s">
        <v>83</v>
      </c>
      <c r="G283" s="5" t="s">
        <v>84</v>
      </c>
      <c r="H283" s="5" t="s">
        <v>86</v>
      </c>
      <c r="I283" s="5" t="s">
        <v>40</v>
      </c>
      <c r="J283" s="5" t="s">
        <v>41</v>
      </c>
      <c r="K283">
        <v>56</v>
      </c>
      <c r="L283">
        <v>575548</v>
      </c>
      <c r="M283" s="26">
        <v>32230688</v>
      </c>
      <c r="N283">
        <v>31629</v>
      </c>
      <c r="O283" s="26">
        <v>4396855.87</v>
      </c>
      <c r="P283" s="5" t="s">
        <v>50</v>
      </c>
      <c r="Q283" s="5" t="s">
        <v>43</v>
      </c>
      <c r="R283">
        <v>4.4000000000000004</v>
      </c>
      <c r="S283">
        <v>6</v>
      </c>
      <c r="T283">
        <f t="shared" si="4"/>
        <v>0</v>
      </c>
    </row>
    <row r="284" spans="1:20">
      <c r="A284" s="4">
        <v>44360</v>
      </c>
      <c r="B284">
        <v>2021</v>
      </c>
      <c r="C284">
        <v>6</v>
      </c>
      <c r="D284" s="5" t="s">
        <v>66</v>
      </c>
      <c r="E284" s="5" t="s">
        <v>67</v>
      </c>
      <c r="F284" s="5" t="s">
        <v>68</v>
      </c>
      <c r="G284" s="5" t="s">
        <v>69</v>
      </c>
      <c r="H284" s="5" t="s">
        <v>48</v>
      </c>
      <c r="I284" s="5" t="s">
        <v>40</v>
      </c>
      <c r="J284" s="5" t="s">
        <v>49</v>
      </c>
      <c r="K284">
        <v>56</v>
      </c>
      <c r="L284">
        <v>475137</v>
      </c>
      <c r="M284" s="26">
        <v>26607672</v>
      </c>
      <c r="N284">
        <v>20270</v>
      </c>
      <c r="O284" s="26">
        <v>3212908.74</v>
      </c>
      <c r="P284" s="5" t="s">
        <v>50</v>
      </c>
      <c r="Q284" s="5" t="s">
        <v>43</v>
      </c>
      <c r="R284">
        <v>4.4000000000000004</v>
      </c>
      <c r="S284">
        <v>9</v>
      </c>
      <c r="T284">
        <f t="shared" si="4"/>
        <v>0</v>
      </c>
    </row>
    <row r="285" spans="1:20">
      <c r="A285" s="4">
        <v>44372</v>
      </c>
      <c r="B285">
        <v>2021</v>
      </c>
      <c r="C285">
        <v>6</v>
      </c>
      <c r="D285" s="5" t="s">
        <v>54</v>
      </c>
      <c r="E285" s="5" t="s">
        <v>55</v>
      </c>
      <c r="F285" s="5" t="s">
        <v>55</v>
      </c>
      <c r="G285" s="5" t="s">
        <v>56</v>
      </c>
      <c r="H285" s="5" t="s">
        <v>48</v>
      </c>
      <c r="I285" s="5" t="s">
        <v>40</v>
      </c>
      <c r="J285" s="5" t="s">
        <v>49</v>
      </c>
      <c r="K285">
        <v>10</v>
      </c>
      <c r="L285">
        <v>439241</v>
      </c>
      <c r="M285" s="26">
        <v>4392410</v>
      </c>
      <c r="N285">
        <v>45028</v>
      </c>
      <c r="O285" s="26">
        <v>365300</v>
      </c>
      <c r="P285" s="5" t="s">
        <v>50</v>
      </c>
      <c r="Q285" s="5" t="s">
        <v>75</v>
      </c>
      <c r="R285">
        <v>3.6</v>
      </c>
      <c r="S285">
        <v>3</v>
      </c>
      <c r="T285">
        <f t="shared" si="4"/>
        <v>0</v>
      </c>
    </row>
    <row r="286" spans="1:20">
      <c r="A286" s="4">
        <v>44359</v>
      </c>
      <c r="B286">
        <v>2021</v>
      </c>
      <c r="C286">
        <v>6</v>
      </c>
      <c r="D286" s="5" t="s">
        <v>44</v>
      </c>
      <c r="E286" s="5" t="s">
        <v>82</v>
      </c>
      <c r="F286" s="5" t="s">
        <v>83</v>
      </c>
      <c r="G286" s="5" t="s">
        <v>84</v>
      </c>
      <c r="H286" s="5" t="s">
        <v>52</v>
      </c>
      <c r="I286" s="5" t="s">
        <v>53</v>
      </c>
      <c r="J286" s="5" t="s">
        <v>41</v>
      </c>
      <c r="K286">
        <v>24</v>
      </c>
      <c r="L286">
        <v>925948</v>
      </c>
      <c r="M286" s="26">
        <v>22222752</v>
      </c>
      <c r="N286">
        <v>40222</v>
      </c>
      <c r="O286" s="26">
        <v>2614446.89</v>
      </c>
      <c r="P286" s="5" t="s">
        <v>42</v>
      </c>
      <c r="Q286" s="5" t="s">
        <v>75</v>
      </c>
      <c r="R286">
        <v>4.8</v>
      </c>
      <c r="S286">
        <v>13</v>
      </c>
      <c r="T286">
        <f t="shared" si="4"/>
        <v>1</v>
      </c>
    </row>
    <row r="287" spans="1:20">
      <c r="A287" s="4">
        <v>44370</v>
      </c>
      <c r="B287">
        <v>2021</v>
      </c>
      <c r="C287">
        <v>6</v>
      </c>
      <c r="D287" s="5" t="s">
        <v>35</v>
      </c>
      <c r="E287" s="5" t="s">
        <v>76</v>
      </c>
      <c r="F287" s="5" t="s">
        <v>77</v>
      </c>
      <c r="G287" s="5" t="s">
        <v>78</v>
      </c>
      <c r="H287" s="5" t="s">
        <v>52</v>
      </c>
      <c r="I287" s="5" t="s">
        <v>53</v>
      </c>
      <c r="J287" s="5" t="s">
        <v>41</v>
      </c>
      <c r="K287">
        <v>43</v>
      </c>
      <c r="L287">
        <v>935248</v>
      </c>
      <c r="M287" s="26">
        <v>40215664</v>
      </c>
      <c r="N287">
        <v>21272</v>
      </c>
      <c r="O287" s="26">
        <v>5258240.13</v>
      </c>
      <c r="P287" s="5" t="s">
        <v>50</v>
      </c>
      <c r="Q287" s="5" t="s">
        <v>43</v>
      </c>
      <c r="R287">
        <v>4.9000000000000004</v>
      </c>
      <c r="S287">
        <v>11</v>
      </c>
      <c r="T287">
        <f t="shared" si="4"/>
        <v>0</v>
      </c>
    </row>
    <row r="288" spans="1:20">
      <c r="A288" s="4">
        <v>44356</v>
      </c>
      <c r="B288">
        <v>2021</v>
      </c>
      <c r="C288">
        <v>6</v>
      </c>
      <c r="D288" s="5" t="s">
        <v>54</v>
      </c>
      <c r="E288" s="5" t="s">
        <v>70</v>
      </c>
      <c r="F288" s="5" t="s">
        <v>71</v>
      </c>
      <c r="G288" s="5" t="s">
        <v>72</v>
      </c>
      <c r="H288" s="5" t="s">
        <v>65</v>
      </c>
      <c r="I288" s="5" t="s">
        <v>53</v>
      </c>
      <c r="J288" s="5" t="s">
        <v>49</v>
      </c>
      <c r="K288">
        <v>24</v>
      </c>
      <c r="L288">
        <v>1258522</v>
      </c>
      <c r="M288" s="26">
        <v>30204528</v>
      </c>
      <c r="N288">
        <v>5314</v>
      </c>
      <c r="O288" s="26">
        <v>4003127.24</v>
      </c>
      <c r="P288" s="5" t="s">
        <v>50</v>
      </c>
      <c r="Q288" s="5" t="s">
        <v>75</v>
      </c>
      <c r="R288">
        <v>5</v>
      </c>
      <c r="S288">
        <v>7</v>
      </c>
      <c r="T288">
        <f t="shared" si="4"/>
        <v>0</v>
      </c>
    </row>
    <row r="289" spans="1:20">
      <c r="A289" s="4">
        <v>44365</v>
      </c>
      <c r="B289">
        <v>2021</v>
      </c>
      <c r="C289">
        <v>6</v>
      </c>
      <c r="D289" s="5" t="s">
        <v>44</v>
      </c>
      <c r="E289" s="5" t="s">
        <v>45</v>
      </c>
      <c r="F289" s="5" t="s">
        <v>46</v>
      </c>
      <c r="G289" s="5" t="s">
        <v>47</v>
      </c>
      <c r="H289" s="5" t="s">
        <v>63</v>
      </c>
      <c r="I289" s="5" t="s">
        <v>64</v>
      </c>
      <c r="J289" s="5" t="s">
        <v>41</v>
      </c>
      <c r="K289">
        <v>30</v>
      </c>
      <c r="L289">
        <v>743276</v>
      </c>
      <c r="M289" s="26">
        <v>22298280</v>
      </c>
      <c r="N289">
        <v>14026</v>
      </c>
      <c r="O289" s="26">
        <v>2078185.15</v>
      </c>
      <c r="P289" s="5" t="s">
        <v>50</v>
      </c>
      <c r="Q289" s="5" t="s">
        <v>43</v>
      </c>
      <c r="R289">
        <v>4.0999999999999996</v>
      </c>
      <c r="S289">
        <v>8</v>
      </c>
      <c r="T289">
        <f t="shared" si="4"/>
        <v>0</v>
      </c>
    </row>
    <row r="290" spans="1:20">
      <c r="A290" s="4">
        <v>44370</v>
      </c>
      <c r="B290">
        <v>2021</v>
      </c>
      <c r="C290">
        <v>6</v>
      </c>
      <c r="D290" s="5" t="s">
        <v>35</v>
      </c>
      <c r="E290" s="5" t="s">
        <v>36</v>
      </c>
      <c r="F290" s="5" t="s">
        <v>37</v>
      </c>
      <c r="G290" s="5" t="s">
        <v>38</v>
      </c>
      <c r="H290" s="5" t="s">
        <v>74</v>
      </c>
      <c r="I290" s="5" t="s">
        <v>40</v>
      </c>
      <c r="J290" s="5" t="s">
        <v>49</v>
      </c>
      <c r="K290">
        <v>33</v>
      </c>
      <c r="L290">
        <v>634156</v>
      </c>
      <c r="M290" s="26">
        <v>20927148</v>
      </c>
      <c r="N290">
        <v>31261</v>
      </c>
      <c r="O290" s="26">
        <v>2996875.02</v>
      </c>
      <c r="P290" s="5" t="s">
        <v>42</v>
      </c>
      <c r="Q290" s="5" t="s">
        <v>75</v>
      </c>
      <c r="R290">
        <v>4.5999999999999996</v>
      </c>
      <c r="S290">
        <v>11</v>
      </c>
      <c r="T290">
        <f t="shared" si="4"/>
        <v>1</v>
      </c>
    </row>
    <row r="291" spans="1:20">
      <c r="A291" s="4">
        <v>44351</v>
      </c>
      <c r="B291">
        <v>2021</v>
      </c>
      <c r="C291">
        <v>6</v>
      </c>
      <c r="D291" s="5" t="s">
        <v>35</v>
      </c>
      <c r="E291" s="5" t="s">
        <v>60</v>
      </c>
      <c r="F291" s="5" t="s">
        <v>61</v>
      </c>
      <c r="G291" s="5" t="s">
        <v>62</v>
      </c>
      <c r="H291" s="5" t="s">
        <v>52</v>
      </c>
      <c r="I291" s="5" t="s">
        <v>53</v>
      </c>
      <c r="J291" s="5" t="s">
        <v>41</v>
      </c>
      <c r="K291">
        <v>10</v>
      </c>
      <c r="L291">
        <v>924493</v>
      </c>
      <c r="M291" s="26">
        <v>9244930</v>
      </c>
      <c r="N291">
        <v>9617</v>
      </c>
      <c r="O291" s="26">
        <v>1348515.8</v>
      </c>
      <c r="P291" s="5" t="s">
        <v>42</v>
      </c>
      <c r="Q291" s="5" t="s">
        <v>51</v>
      </c>
      <c r="R291">
        <v>4.7</v>
      </c>
      <c r="S291">
        <v>16</v>
      </c>
      <c r="T291">
        <f t="shared" si="4"/>
        <v>1</v>
      </c>
    </row>
    <row r="292" spans="1:20">
      <c r="A292" s="4">
        <v>44354</v>
      </c>
      <c r="B292">
        <v>2021</v>
      </c>
      <c r="C292">
        <v>6</v>
      </c>
      <c r="D292" s="5" t="s">
        <v>54</v>
      </c>
      <c r="E292" s="5" t="s">
        <v>55</v>
      </c>
      <c r="F292" s="5" t="s">
        <v>55</v>
      </c>
      <c r="G292" s="5" t="s">
        <v>56</v>
      </c>
      <c r="H292" s="5" t="s">
        <v>39</v>
      </c>
      <c r="I292" s="5" t="s">
        <v>40</v>
      </c>
      <c r="J292" s="5" t="s">
        <v>41</v>
      </c>
      <c r="K292">
        <v>15</v>
      </c>
      <c r="L292">
        <v>580026</v>
      </c>
      <c r="M292" s="26">
        <v>8700390</v>
      </c>
      <c r="N292">
        <v>33357</v>
      </c>
      <c r="O292" s="26">
        <v>1072127.27</v>
      </c>
      <c r="P292" s="5" t="s">
        <v>50</v>
      </c>
      <c r="Q292" s="5" t="s">
        <v>75</v>
      </c>
      <c r="R292">
        <v>4</v>
      </c>
      <c r="S292">
        <v>18</v>
      </c>
      <c r="T292">
        <f t="shared" si="4"/>
        <v>0</v>
      </c>
    </row>
    <row r="293" spans="1:20">
      <c r="A293" s="4">
        <v>44348</v>
      </c>
      <c r="B293">
        <v>2021</v>
      </c>
      <c r="C293">
        <v>6</v>
      </c>
      <c r="D293" s="5" t="s">
        <v>44</v>
      </c>
      <c r="E293" s="5" t="s">
        <v>82</v>
      </c>
      <c r="F293" s="5" t="s">
        <v>83</v>
      </c>
      <c r="G293" s="5" t="s">
        <v>84</v>
      </c>
      <c r="H293" s="5" t="s">
        <v>63</v>
      </c>
      <c r="I293" s="5" t="s">
        <v>64</v>
      </c>
      <c r="J293" s="5" t="s">
        <v>41</v>
      </c>
      <c r="K293">
        <v>21</v>
      </c>
      <c r="L293">
        <v>752901</v>
      </c>
      <c r="M293" s="26">
        <v>15810921</v>
      </c>
      <c r="N293">
        <v>22410</v>
      </c>
      <c r="O293" s="26">
        <v>1628513.23</v>
      </c>
      <c r="P293" s="5" t="s">
        <v>50</v>
      </c>
      <c r="Q293" s="5" t="s">
        <v>51</v>
      </c>
      <c r="R293">
        <v>4.7</v>
      </c>
      <c r="S293">
        <v>16</v>
      </c>
      <c r="T293">
        <f t="shared" si="4"/>
        <v>0</v>
      </c>
    </row>
    <row r="294" spans="1:20">
      <c r="A294" s="4">
        <v>44351</v>
      </c>
      <c r="B294">
        <v>2021</v>
      </c>
      <c r="C294">
        <v>6</v>
      </c>
      <c r="D294" s="5" t="s">
        <v>54</v>
      </c>
      <c r="E294" s="5" t="s">
        <v>55</v>
      </c>
      <c r="F294" s="5" t="s">
        <v>55</v>
      </c>
      <c r="G294" s="5" t="s">
        <v>56</v>
      </c>
      <c r="H294" s="5" t="s">
        <v>85</v>
      </c>
      <c r="I294" s="5" t="s">
        <v>58</v>
      </c>
      <c r="J294" s="5" t="s">
        <v>49</v>
      </c>
      <c r="K294">
        <v>9</v>
      </c>
      <c r="L294">
        <v>970687</v>
      </c>
      <c r="M294" s="26">
        <v>8736183</v>
      </c>
      <c r="N294">
        <v>34632</v>
      </c>
      <c r="O294" s="26">
        <v>1161407.6000000001</v>
      </c>
      <c r="P294" s="5" t="s">
        <v>50</v>
      </c>
      <c r="Q294" s="5" t="s">
        <v>51</v>
      </c>
      <c r="R294">
        <v>4.8</v>
      </c>
      <c r="S294">
        <v>8</v>
      </c>
      <c r="T294">
        <f t="shared" si="4"/>
        <v>0</v>
      </c>
    </row>
    <row r="295" spans="1:20">
      <c r="A295" s="4">
        <v>44369</v>
      </c>
      <c r="B295">
        <v>2021</v>
      </c>
      <c r="C295">
        <v>6</v>
      </c>
      <c r="D295" s="5" t="s">
        <v>54</v>
      </c>
      <c r="E295" s="5" t="s">
        <v>55</v>
      </c>
      <c r="F295" s="5" t="s">
        <v>55</v>
      </c>
      <c r="G295" s="5" t="s">
        <v>56</v>
      </c>
      <c r="H295" s="5" t="s">
        <v>85</v>
      </c>
      <c r="I295" s="5" t="s">
        <v>58</v>
      </c>
      <c r="J295" s="5" t="s">
        <v>49</v>
      </c>
      <c r="K295">
        <v>45</v>
      </c>
      <c r="L295">
        <v>1009377</v>
      </c>
      <c r="M295" s="26">
        <v>45421965</v>
      </c>
      <c r="N295">
        <v>13891</v>
      </c>
      <c r="O295" s="26">
        <v>5898246.5599999996</v>
      </c>
      <c r="P295" s="5" t="s">
        <v>50</v>
      </c>
      <c r="Q295" s="5" t="s">
        <v>43</v>
      </c>
      <c r="R295">
        <v>5</v>
      </c>
      <c r="S295">
        <v>2</v>
      </c>
      <c r="T295">
        <f t="shared" si="4"/>
        <v>0</v>
      </c>
    </row>
    <row r="296" spans="1:20">
      <c r="A296" s="4">
        <v>44348</v>
      </c>
      <c r="B296">
        <v>2021</v>
      </c>
      <c r="C296">
        <v>6</v>
      </c>
      <c r="D296" s="5" t="s">
        <v>35</v>
      </c>
      <c r="E296" s="5" t="s">
        <v>76</v>
      </c>
      <c r="F296" s="5" t="s">
        <v>77</v>
      </c>
      <c r="G296" s="5" t="s">
        <v>78</v>
      </c>
      <c r="H296" s="5" t="s">
        <v>48</v>
      </c>
      <c r="I296" s="5" t="s">
        <v>40</v>
      </c>
      <c r="J296" s="5" t="s">
        <v>49</v>
      </c>
      <c r="K296">
        <v>16</v>
      </c>
      <c r="L296">
        <v>474894</v>
      </c>
      <c r="M296" s="26">
        <v>7598304</v>
      </c>
      <c r="N296">
        <v>39873</v>
      </c>
      <c r="O296" s="26">
        <v>1185001.96</v>
      </c>
      <c r="P296" s="5" t="s">
        <v>50</v>
      </c>
      <c r="Q296" s="5" t="s">
        <v>75</v>
      </c>
      <c r="R296">
        <v>3.6</v>
      </c>
      <c r="S296">
        <v>6</v>
      </c>
      <c r="T296">
        <f t="shared" si="4"/>
        <v>0</v>
      </c>
    </row>
    <row r="297" spans="1:20">
      <c r="A297" s="4">
        <v>44360</v>
      </c>
      <c r="B297">
        <v>2021</v>
      </c>
      <c r="C297">
        <v>6</v>
      </c>
      <c r="D297" s="5" t="s">
        <v>54</v>
      </c>
      <c r="E297" s="5" t="s">
        <v>70</v>
      </c>
      <c r="F297" s="5" t="s">
        <v>71</v>
      </c>
      <c r="G297" s="5" t="s">
        <v>72</v>
      </c>
      <c r="H297" s="5" t="s">
        <v>39</v>
      </c>
      <c r="I297" s="5" t="s">
        <v>40</v>
      </c>
      <c r="J297" s="5" t="s">
        <v>41</v>
      </c>
      <c r="K297">
        <v>10</v>
      </c>
      <c r="L297">
        <v>583911</v>
      </c>
      <c r="M297" s="26">
        <v>5839110</v>
      </c>
      <c r="N297">
        <v>40334</v>
      </c>
      <c r="O297" s="26">
        <v>589032.97</v>
      </c>
      <c r="P297" s="5" t="s">
        <v>50</v>
      </c>
      <c r="Q297" s="5" t="s">
        <v>51</v>
      </c>
      <c r="R297">
        <v>3.9</v>
      </c>
      <c r="S297">
        <v>10</v>
      </c>
      <c r="T297">
        <f t="shared" si="4"/>
        <v>0</v>
      </c>
    </row>
    <row r="298" spans="1:20">
      <c r="A298" s="4">
        <v>44350</v>
      </c>
      <c r="B298">
        <v>2021</v>
      </c>
      <c r="C298">
        <v>6</v>
      </c>
      <c r="D298" s="5" t="s">
        <v>66</v>
      </c>
      <c r="E298" s="5" t="s">
        <v>67</v>
      </c>
      <c r="F298" s="5" t="s">
        <v>68</v>
      </c>
      <c r="G298" s="5" t="s">
        <v>69</v>
      </c>
      <c r="H298" s="5" t="s">
        <v>79</v>
      </c>
      <c r="I298" s="5" t="s">
        <v>58</v>
      </c>
      <c r="J298" s="5" t="s">
        <v>49</v>
      </c>
      <c r="K298">
        <v>38</v>
      </c>
      <c r="L298">
        <v>904641</v>
      </c>
      <c r="M298" s="26">
        <v>34376358</v>
      </c>
      <c r="N298">
        <v>39948</v>
      </c>
      <c r="O298" s="26">
        <v>4030177.11</v>
      </c>
      <c r="P298" s="5" t="s">
        <v>50</v>
      </c>
      <c r="Q298" s="5" t="s">
        <v>43</v>
      </c>
      <c r="R298">
        <v>4.3</v>
      </c>
      <c r="S298">
        <v>6</v>
      </c>
      <c r="T298">
        <f t="shared" si="4"/>
        <v>0</v>
      </c>
    </row>
    <row r="299" spans="1:20">
      <c r="A299" s="4">
        <v>44352</v>
      </c>
      <c r="B299">
        <v>2021</v>
      </c>
      <c r="C299">
        <v>6</v>
      </c>
      <c r="D299" s="5" t="s">
        <v>35</v>
      </c>
      <c r="E299" s="5" t="s">
        <v>76</v>
      </c>
      <c r="F299" s="5" t="s">
        <v>77</v>
      </c>
      <c r="G299" s="5" t="s">
        <v>78</v>
      </c>
      <c r="H299" s="5" t="s">
        <v>57</v>
      </c>
      <c r="I299" s="5" t="s">
        <v>58</v>
      </c>
      <c r="J299" s="5" t="s">
        <v>59</v>
      </c>
      <c r="K299">
        <v>6</v>
      </c>
      <c r="L299">
        <v>1403893</v>
      </c>
      <c r="M299" s="26">
        <v>8423358</v>
      </c>
      <c r="N299">
        <v>8386</v>
      </c>
      <c r="O299" s="26">
        <v>1244113</v>
      </c>
      <c r="P299" s="5" t="s">
        <v>50</v>
      </c>
      <c r="Q299" s="5" t="s">
        <v>43</v>
      </c>
      <c r="R299">
        <v>4.0999999999999996</v>
      </c>
      <c r="S299">
        <v>15</v>
      </c>
      <c r="T299">
        <f t="shared" si="4"/>
        <v>0</v>
      </c>
    </row>
    <row r="300" spans="1:20">
      <c r="A300" s="4">
        <v>44361</v>
      </c>
      <c r="B300">
        <v>2021</v>
      </c>
      <c r="C300">
        <v>6</v>
      </c>
      <c r="D300" s="5" t="s">
        <v>35</v>
      </c>
      <c r="E300" s="5" t="s">
        <v>60</v>
      </c>
      <c r="F300" s="5" t="s">
        <v>61</v>
      </c>
      <c r="G300" s="5" t="s">
        <v>62</v>
      </c>
      <c r="H300" s="5" t="s">
        <v>57</v>
      </c>
      <c r="I300" s="5" t="s">
        <v>58</v>
      </c>
      <c r="J300" s="5" t="s">
        <v>59</v>
      </c>
      <c r="K300">
        <v>55</v>
      </c>
      <c r="L300">
        <v>1374255</v>
      </c>
      <c r="M300" s="26">
        <v>75584025</v>
      </c>
      <c r="N300">
        <v>7255</v>
      </c>
      <c r="O300" s="26">
        <v>6839500.25</v>
      </c>
      <c r="P300" s="5" t="s">
        <v>42</v>
      </c>
      <c r="Q300" s="5" t="s">
        <v>51</v>
      </c>
      <c r="R300">
        <v>3.9</v>
      </c>
      <c r="S300">
        <v>3</v>
      </c>
      <c r="T300">
        <f t="shared" si="4"/>
        <v>1</v>
      </c>
    </row>
    <row r="301" spans="1:20">
      <c r="A301" s="4">
        <v>44364</v>
      </c>
      <c r="B301">
        <v>2021</v>
      </c>
      <c r="C301">
        <v>6</v>
      </c>
      <c r="D301" s="5" t="s">
        <v>35</v>
      </c>
      <c r="E301" s="5" t="s">
        <v>76</v>
      </c>
      <c r="F301" s="5" t="s">
        <v>77</v>
      </c>
      <c r="G301" s="5" t="s">
        <v>78</v>
      </c>
      <c r="H301" s="5" t="s">
        <v>85</v>
      </c>
      <c r="I301" s="5" t="s">
        <v>58</v>
      </c>
      <c r="J301" s="5" t="s">
        <v>49</v>
      </c>
      <c r="K301">
        <v>24</v>
      </c>
      <c r="L301">
        <v>996292</v>
      </c>
      <c r="M301" s="26">
        <v>23911008</v>
      </c>
      <c r="N301">
        <v>29922</v>
      </c>
      <c r="O301" s="26">
        <v>3744127.14</v>
      </c>
      <c r="P301" s="5" t="s">
        <v>50</v>
      </c>
      <c r="Q301" s="5" t="s">
        <v>51</v>
      </c>
      <c r="R301">
        <v>3.9</v>
      </c>
      <c r="S301">
        <v>19</v>
      </c>
      <c r="T301">
        <f t="shared" si="4"/>
        <v>0</v>
      </c>
    </row>
    <row r="302" spans="1:20">
      <c r="A302" s="4">
        <v>44399</v>
      </c>
      <c r="B302">
        <v>2021</v>
      </c>
      <c r="C302">
        <v>7</v>
      </c>
      <c r="D302" s="5" t="s">
        <v>35</v>
      </c>
      <c r="E302" s="5" t="s">
        <v>36</v>
      </c>
      <c r="F302" s="5" t="s">
        <v>37</v>
      </c>
      <c r="G302" s="5" t="s">
        <v>38</v>
      </c>
      <c r="H302" s="5" t="s">
        <v>85</v>
      </c>
      <c r="I302" s="5" t="s">
        <v>58</v>
      </c>
      <c r="J302" s="5" t="s">
        <v>49</v>
      </c>
      <c r="K302">
        <v>10</v>
      </c>
      <c r="L302">
        <v>963823</v>
      </c>
      <c r="M302" s="26">
        <v>9638230</v>
      </c>
      <c r="N302">
        <v>36484</v>
      </c>
      <c r="O302" s="26">
        <v>898053.44</v>
      </c>
      <c r="P302" s="5" t="s">
        <v>42</v>
      </c>
      <c r="Q302" s="5" t="s">
        <v>43</v>
      </c>
      <c r="R302">
        <v>3.5</v>
      </c>
      <c r="S302">
        <v>5</v>
      </c>
      <c r="T302">
        <f t="shared" si="4"/>
        <v>1</v>
      </c>
    </row>
    <row r="303" spans="1:20">
      <c r="A303" s="4">
        <v>44404</v>
      </c>
      <c r="B303">
        <v>2021</v>
      </c>
      <c r="C303">
        <v>7</v>
      </c>
      <c r="D303" s="5" t="s">
        <v>54</v>
      </c>
      <c r="E303" s="5" t="s">
        <v>55</v>
      </c>
      <c r="F303" s="5" t="s">
        <v>55</v>
      </c>
      <c r="G303" s="5" t="s">
        <v>56</v>
      </c>
      <c r="H303" s="5" t="s">
        <v>65</v>
      </c>
      <c r="I303" s="5" t="s">
        <v>53</v>
      </c>
      <c r="J303" s="5" t="s">
        <v>49</v>
      </c>
      <c r="K303">
        <v>42</v>
      </c>
      <c r="L303">
        <v>1248186</v>
      </c>
      <c r="M303" s="26">
        <v>52423812</v>
      </c>
      <c r="N303">
        <v>36121</v>
      </c>
      <c r="O303" s="26">
        <v>8202063.5999999996</v>
      </c>
      <c r="P303" s="5" t="s">
        <v>50</v>
      </c>
      <c r="Q303" s="5" t="s">
        <v>51</v>
      </c>
      <c r="R303">
        <v>4.2</v>
      </c>
      <c r="S303">
        <v>5</v>
      </c>
      <c r="T303">
        <f t="shared" si="4"/>
        <v>0</v>
      </c>
    </row>
    <row r="304" spans="1:20">
      <c r="A304" s="4">
        <v>44393</v>
      </c>
      <c r="B304">
        <v>2021</v>
      </c>
      <c r="C304">
        <v>7</v>
      </c>
      <c r="D304" s="5" t="s">
        <v>66</v>
      </c>
      <c r="E304" s="5" t="s">
        <v>67</v>
      </c>
      <c r="F304" s="5" t="s">
        <v>68</v>
      </c>
      <c r="G304" s="5" t="s">
        <v>69</v>
      </c>
      <c r="H304" s="5" t="s">
        <v>85</v>
      </c>
      <c r="I304" s="5" t="s">
        <v>58</v>
      </c>
      <c r="J304" s="5" t="s">
        <v>49</v>
      </c>
      <c r="K304">
        <v>9</v>
      </c>
      <c r="L304">
        <v>958329</v>
      </c>
      <c r="M304" s="26">
        <v>8624961</v>
      </c>
      <c r="N304">
        <v>27144</v>
      </c>
      <c r="O304" s="26">
        <v>1039199.08</v>
      </c>
      <c r="P304" s="5" t="s">
        <v>42</v>
      </c>
      <c r="Q304" s="5" t="s">
        <v>43</v>
      </c>
      <c r="R304">
        <v>4.7</v>
      </c>
      <c r="S304">
        <v>20</v>
      </c>
      <c r="T304">
        <f t="shared" si="4"/>
        <v>1</v>
      </c>
    </row>
    <row r="305" spans="1:20">
      <c r="A305" s="4">
        <v>44403</v>
      </c>
      <c r="B305">
        <v>2021</v>
      </c>
      <c r="C305">
        <v>7</v>
      </c>
      <c r="D305" s="5" t="s">
        <v>35</v>
      </c>
      <c r="E305" s="5" t="s">
        <v>76</v>
      </c>
      <c r="F305" s="5" t="s">
        <v>77</v>
      </c>
      <c r="G305" s="5" t="s">
        <v>78</v>
      </c>
      <c r="H305" s="5" t="s">
        <v>48</v>
      </c>
      <c r="I305" s="5" t="s">
        <v>40</v>
      </c>
      <c r="J305" s="5" t="s">
        <v>49</v>
      </c>
      <c r="K305">
        <v>21</v>
      </c>
      <c r="L305">
        <v>446481</v>
      </c>
      <c r="M305" s="26">
        <v>9376101</v>
      </c>
      <c r="N305">
        <v>28321</v>
      </c>
      <c r="O305" s="26">
        <v>1039822.47</v>
      </c>
      <c r="P305" s="5" t="s">
        <v>50</v>
      </c>
      <c r="Q305" s="5" t="s">
        <v>43</v>
      </c>
      <c r="R305">
        <v>4.9000000000000004</v>
      </c>
      <c r="S305">
        <v>5</v>
      </c>
      <c r="T305">
        <f t="shared" si="4"/>
        <v>0</v>
      </c>
    </row>
    <row r="306" spans="1:20">
      <c r="A306" s="4">
        <v>44380</v>
      </c>
      <c r="B306">
        <v>2021</v>
      </c>
      <c r="C306">
        <v>7</v>
      </c>
      <c r="D306" s="5" t="s">
        <v>35</v>
      </c>
      <c r="E306" s="5" t="s">
        <v>36</v>
      </c>
      <c r="F306" s="5" t="s">
        <v>37</v>
      </c>
      <c r="G306" s="5" t="s">
        <v>38</v>
      </c>
      <c r="H306" s="5" t="s">
        <v>80</v>
      </c>
      <c r="I306" s="5" t="s">
        <v>81</v>
      </c>
      <c r="J306" s="5" t="s">
        <v>41</v>
      </c>
      <c r="K306">
        <v>60</v>
      </c>
      <c r="L306">
        <v>559311</v>
      </c>
      <c r="M306" s="26">
        <v>33558660</v>
      </c>
      <c r="N306">
        <v>46288</v>
      </c>
      <c r="O306" s="26">
        <v>4846382.75</v>
      </c>
      <c r="P306" s="5" t="s">
        <v>50</v>
      </c>
      <c r="Q306" s="5" t="s">
        <v>43</v>
      </c>
      <c r="R306">
        <v>4.8</v>
      </c>
      <c r="S306">
        <v>17</v>
      </c>
      <c r="T306">
        <f t="shared" si="4"/>
        <v>0</v>
      </c>
    </row>
    <row r="307" spans="1:20">
      <c r="A307" s="4">
        <v>44385</v>
      </c>
      <c r="B307">
        <v>2021</v>
      </c>
      <c r="C307">
        <v>7</v>
      </c>
      <c r="D307" s="5" t="s">
        <v>54</v>
      </c>
      <c r="E307" s="5" t="s">
        <v>55</v>
      </c>
      <c r="F307" s="5" t="s">
        <v>55</v>
      </c>
      <c r="G307" s="5" t="s">
        <v>56</v>
      </c>
      <c r="H307" s="5" t="s">
        <v>48</v>
      </c>
      <c r="I307" s="5" t="s">
        <v>40</v>
      </c>
      <c r="J307" s="5" t="s">
        <v>49</v>
      </c>
      <c r="K307">
        <v>12</v>
      </c>
      <c r="L307">
        <v>461005</v>
      </c>
      <c r="M307" s="26">
        <v>5532060</v>
      </c>
      <c r="N307">
        <v>47467</v>
      </c>
      <c r="O307" s="26">
        <v>780755.67</v>
      </c>
      <c r="P307" s="5" t="s">
        <v>42</v>
      </c>
      <c r="Q307" s="5" t="s">
        <v>43</v>
      </c>
      <c r="R307">
        <v>4.3</v>
      </c>
      <c r="S307">
        <v>12</v>
      </c>
      <c r="T307">
        <f t="shared" si="4"/>
        <v>1</v>
      </c>
    </row>
    <row r="308" spans="1:20">
      <c r="A308" s="4">
        <v>44405</v>
      </c>
      <c r="B308">
        <v>2021</v>
      </c>
      <c r="C308">
        <v>7</v>
      </c>
      <c r="D308" s="5" t="s">
        <v>54</v>
      </c>
      <c r="E308" s="5" t="s">
        <v>55</v>
      </c>
      <c r="F308" s="5" t="s">
        <v>55</v>
      </c>
      <c r="G308" s="5" t="s">
        <v>56</v>
      </c>
      <c r="H308" s="5" t="s">
        <v>63</v>
      </c>
      <c r="I308" s="5" t="s">
        <v>64</v>
      </c>
      <c r="J308" s="5" t="s">
        <v>41</v>
      </c>
      <c r="K308">
        <v>58</v>
      </c>
      <c r="L308">
        <v>768627</v>
      </c>
      <c r="M308" s="26">
        <v>44580366</v>
      </c>
      <c r="N308">
        <v>39339</v>
      </c>
      <c r="O308" s="26">
        <v>6303291.2999999998</v>
      </c>
      <c r="P308" s="5" t="s">
        <v>42</v>
      </c>
      <c r="Q308" s="5" t="s">
        <v>75</v>
      </c>
      <c r="R308">
        <v>4.4000000000000004</v>
      </c>
      <c r="S308">
        <v>15</v>
      </c>
      <c r="T308">
        <f t="shared" si="4"/>
        <v>1</v>
      </c>
    </row>
    <row r="309" spans="1:20">
      <c r="A309" s="4">
        <v>44390</v>
      </c>
      <c r="B309">
        <v>2021</v>
      </c>
      <c r="C309">
        <v>7</v>
      </c>
      <c r="D309" s="5" t="s">
        <v>44</v>
      </c>
      <c r="E309" s="5" t="s">
        <v>82</v>
      </c>
      <c r="F309" s="5" t="s">
        <v>83</v>
      </c>
      <c r="G309" s="5" t="s">
        <v>84</v>
      </c>
      <c r="H309" s="5" t="s">
        <v>65</v>
      </c>
      <c r="I309" s="5" t="s">
        <v>53</v>
      </c>
      <c r="J309" s="5" t="s">
        <v>49</v>
      </c>
      <c r="K309">
        <v>33</v>
      </c>
      <c r="L309">
        <v>1267811</v>
      </c>
      <c r="M309" s="26">
        <v>41837763</v>
      </c>
      <c r="N309">
        <v>20946</v>
      </c>
      <c r="O309" s="26">
        <v>4984603.91</v>
      </c>
      <c r="P309" s="5" t="s">
        <v>50</v>
      </c>
      <c r="Q309" s="5" t="s">
        <v>51</v>
      </c>
      <c r="R309">
        <v>3.9</v>
      </c>
      <c r="S309">
        <v>11</v>
      </c>
      <c r="T309">
        <f t="shared" si="4"/>
        <v>0</v>
      </c>
    </row>
    <row r="310" spans="1:20">
      <c r="A310" s="4">
        <v>44399</v>
      </c>
      <c r="B310">
        <v>2021</v>
      </c>
      <c r="C310">
        <v>7</v>
      </c>
      <c r="D310" s="5" t="s">
        <v>44</v>
      </c>
      <c r="E310" s="5" t="s">
        <v>82</v>
      </c>
      <c r="F310" s="5" t="s">
        <v>83</v>
      </c>
      <c r="G310" s="5" t="s">
        <v>84</v>
      </c>
      <c r="H310" s="5" t="s">
        <v>74</v>
      </c>
      <c r="I310" s="5" t="s">
        <v>40</v>
      </c>
      <c r="J310" s="5" t="s">
        <v>49</v>
      </c>
      <c r="K310">
        <v>41</v>
      </c>
      <c r="L310">
        <v>625535</v>
      </c>
      <c r="M310" s="26">
        <v>25646935</v>
      </c>
      <c r="N310">
        <v>26273</v>
      </c>
      <c r="O310" s="26">
        <v>3334647.31</v>
      </c>
      <c r="P310" s="5" t="s">
        <v>50</v>
      </c>
      <c r="Q310" s="5" t="s">
        <v>75</v>
      </c>
      <c r="R310">
        <v>3.9</v>
      </c>
      <c r="S310">
        <v>4</v>
      </c>
      <c r="T310">
        <f t="shared" si="4"/>
        <v>0</v>
      </c>
    </row>
    <row r="311" spans="1:20">
      <c r="A311" s="4">
        <v>44392</v>
      </c>
      <c r="B311">
        <v>2021</v>
      </c>
      <c r="C311">
        <v>7</v>
      </c>
      <c r="D311" s="5" t="s">
        <v>35</v>
      </c>
      <c r="E311" s="5" t="s">
        <v>36</v>
      </c>
      <c r="F311" s="5" t="s">
        <v>37</v>
      </c>
      <c r="G311" s="5" t="s">
        <v>38</v>
      </c>
      <c r="H311" s="5" t="s">
        <v>48</v>
      </c>
      <c r="I311" s="5" t="s">
        <v>40</v>
      </c>
      <c r="J311" s="5" t="s">
        <v>49</v>
      </c>
      <c r="K311">
        <v>28</v>
      </c>
      <c r="L311">
        <v>446140</v>
      </c>
      <c r="M311" s="26">
        <v>12491920</v>
      </c>
      <c r="N311">
        <v>46729</v>
      </c>
      <c r="O311" s="26">
        <v>1812455.8</v>
      </c>
      <c r="P311" s="5" t="s">
        <v>42</v>
      </c>
      <c r="Q311" s="5" t="s">
        <v>51</v>
      </c>
      <c r="R311">
        <v>4.5</v>
      </c>
      <c r="S311">
        <v>5</v>
      </c>
      <c r="T311">
        <f t="shared" si="4"/>
        <v>1</v>
      </c>
    </row>
    <row r="312" spans="1:20">
      <c r="A312" s="4">
        <v>44386</v>
      </c>
      <c r="B312">
        <v>2021</v>
      </c>
      <c r="C312">
        <v>7</v>
      </c>
      <c r="D312" s="5" t="s">
        <v>35</v>
      </c>
      <c r="E312" s="5" t="s">
        <v>60</v>
      </c>
      <c r="F312" s="5" t="s">
        <v>61</v>
      </c>
      <c r="G312" s="5" t="s">
        <v>62</v>
      </c>
      <c r="H312" s="5" t="s">
        <v>39</v>
      </c>
      <c r="I312" s="5" t="s">
        <v>40</v>
      </c>
      <c r="J312" s="5" t="s">
        <v>41</v>
      </c>
      <c r="K312">
        <v>10</v>
      </c>
      <c r="L312">
        <v>593935</v>
      </c>
      <c r="M312" s="26">
        <v>5939350</v>
      </c>
      <c r="N312">
        <v>7229</v>
      </c>
      <c r="O312" s="26">
        <v>503279.8</v>
      </c>
      <c r="P312" s="5" t="s">
        <v>50</v>
      </c>
      <c r="Q312" s="5" t="s">
        <v>43</v>
      </c>
      <c r="R312">
        <v>4</v>
      </c>
      <c r="S312">
        <v>19</v>
      </c>
      <c r="T312">
        <f t="shared" si="4"/>
        <v>0</v>
      </c>
    </row>
    <row r="313" spans="1:20">
      <c r="A313" s="4">
        <v>44405</v>
      </c>
      <c r="B313">
        <v>2021</v>
      </c>
      <c r="C313">
        <v>7</v>
      </c>
      <c r="D313" s="5" t="s">
        <v>35</v>
      </c>
      <c r="E313" s="5" t="s">
        <v>60</v>
      </c>
      <c r="F313" s="5" t="s">
        <v>61</v>
      </c>
      <c r="G313" s="5" t="s">
        <v>62</v>
      </c>
      <c r="H313" s="5" t="s">
        <v>39</v>
      </c>
      <c r="I313" s="5" t="s">
        <v>40</v>
      </c>
      <c r="J313" s="5" t="s">
        <v>41</v>
      </c>
      <c r="K313">
        <v>50</v>
      </c>
      <c r="L313">
        <v>594655</v>
      </c>
      <c r="M313" s="26">
        <v>29732750</v>
      </c>
      <c r="N313">
        <v>27111</v>
      </c>
      <c r="O313" s="26">
        <v>2419149.09</v>
      </c>
      <c r="P313" s="5" t="s">
        <v>42</v>
      </c>
      <c r="Q313" s="5" t="s">
        <v>75</v>
      </c>
      <c r="R313">
        <v>4.8</v>
      </c>
      <c r="S313">
        <v>9</v>
      </c>
      <c r="T313">
        <f t="shared" si="4"/>
        <v>1</v>
      </c>
    </row>
    <row r="314" spans="1:20">
      <c r="A314" s="4">
        <v>44394</v>
      </c>
      <c r="B314">
        <v>2021</v>
      </c>
      <c r="C314">
        <v>7</v>
      </c>
      <c r="D314" s="5" t="s">
        <v>54</v>
      </c>
      <c r="E314" s="5" t="s">
        <v>70</v>
      </c>
      <c r="F314" s="5" t="s">
        <v>71</v>
      </c>
      <c r="G314" s="5" t="s">
        <v>72</v>
      </c>
      <c r="H314" s="5" t="s">
        <v>65</v>
      </c>
      <c r="I314" s="5" t="s">
        <v>53</v>
      </c>
      <c r="J314" s="5" t="s">
        <v>49</v>
      </c>
      <c r="K314">
        <v>59</v>
      </c>
      <c r="L314">
        <v>1266705</v>
      </c>
      <c r="M314" s="26">
        <v>74735595</v>
      </c>
      <c r="N314">
        <v>8792</v>
      </c>
      <c r="O314" s="26">
        <v>6115843.5499999998</v>
      </c>
      <c r="P314" s="5" t="s">
        <v>50</v>
      </c>
      <c r="Q314" s="5" t="s">
        <v>43</v>
      </c>
      <c r="R314">
        <v>3.7</v>
      </c>
      <c r="S314">
        <v>7</v>
      </c>
      <c r="T314">
        <f t="shared" si="4"/>
        <v>0</v>
      </c>
    </row>
    <row r="315" spans="1:20">
      <c r="A315" s="4">
        <v>44392</v>
      </c>
      <c r="B315">
        <v>2021</v>
      </c>
      <c r="C315">
        <v>7</v>
      </c>
      <c r="D315" s="5" t="s">
        <v>35</v>
      </c>
      <c r="E315" s="5" t="s">
        <v>76</v>
      </c>
      <c r="F315" s="5" t="s">
        <v>77</v>
      </c>
      <c r="G315" s="5" t="s">
        <v>78</v>
      </c>
      <c r="H315" s="5" t="s">
        <v>73</v>
      </c>
      <c r="I315" s="5" t="s">
        <v>40</v>
      </c>
      <c r="J315" s="5" t="s">
        <v>49</v>
      </c>
      <c r="K315">
        <v>30</v>
      </c>
      <c r="L315">
        <v>692674</v>
      </c>
      <c r="M315" s="26">
        <v>20780220</v>
      </c>
      <c r="N315">
        <v>16418</v>
      </c>
      <c r="O315" s="26">
        <v>2194840.4700000002</v>
      </c>
      <c r="P315" s="5" t="s">
        <v>50</v>
      </c>
      <c r="Q315" s="5" t="s">
        <v>75</v>
      </c>
      <c r="R315">
        <v>4.8</v>
      </c>
      <c r="S315">
        <v>9</v>
      </c>
      <c r="T315">
        <f t="shared" si="4"/>
        <v>0</v>
      </c>
    </row>
    <row r="316" spans="1:20">
      <c r="A316" s="4">
        <v>44397</v>
      </c>
      <c r="B316">
        <v>2021</v>
      </c>
      <c r="C316">
        <v>7</v>
      </c>
      <c r="D316" s="5" t="s">
        <v>44</v>
      </c>
      <c r="E316" s="5" t="s">
        <v>82</v>
      </c>
      <c r="F316" s="5" t="s">
        <v>83</v>
      </c>
      <c r="G316" s="5" t="s">
        <v>84</v>
      </c>
      <c r="H316" s="5" t="s">
        <v>80</v>
      </c>
      <c r="I316" s="5" t="s">
        <v>81</v>
      </c>
      <c r="J316" s="5" t="s">
        <v>41</v>
      </c>
      <c r="K316">
        <v>38</v>
      </c>
      <c r="L316">
        <v>548697</v>
      </c>
      <c r="M316" s="26">
        <v>20850486</v>
      </c>
      <c r="N316">
        <v>17376</v>
      </c>
      <c r="O316" s="26">
        <v>3066506.1</v>
      </c>
      <c r="P316" s="5" t="s">
        <v>42</v>
      </c>
      <c r="Q316" s="5" t="s">
        <v>43</v>
      </c>
      <c r="R316">
        <v>4.0999999999999996</v>
      </c>
      <c r="S316">
        <v>15</v>
      </c>
      <c r="T316">
        <f t="shared" si="4"/>
        <v>1</v>
      </c>
    </row>
    <row r="317" spans="1:20">
      <c r="A317" s="4">
        <v>44404</v>
      </c>
      <c r="B317">
        <v>2021</v>
      </c>
      <c r="C317">
        <v>7</v>
      </c>
      <c r="D317" s="5" t="s">
        <v>44</v>
      </c>
      <c r="E317" s="5" t="s">
        <v>82</v>
      </c>
      <c r="F317" s="5" t="s">
        <v>83</v>
      </c>
      <c r="G317" s="5" t="s">
        <v>84</v>
      </c>
      <c r="H317" s="5" t="s">
        <v>48</v>
      </c>
      <c r="I317" s="5" t="s">
        <v>40</v>
      </c>
      <c r="J317" s="5" t="s">
        <v>49</v>
      </c>
      <c r="K317">
        <v>26</v>
      </c>
      <c r="L317">
        <v>457012</v>
      </c>
      <c r="M317" s="26">
        <v>11882312</v>
      </c>
      <c r="N317">
        <v>6567</v>
      </c>
      <c r="O317" s="26">
        <v>1025015.07</v>
      </c>
      <c r="P317" s="5" t="s">
        <v>42</v>
      </c>
      <c r="Q317" s="5" t="s">
        <v>75</v>
      </c>
      <c r="R317">
        <v>4.8</v>
      </c>
      <c r="S317">
        <v>7</v>
      </c>
      <c r="T317">
        <f t="shared" si="4"/>
        <v>1</v>
      </c>
    </row>
    <row r="318" spans="1:20">
      <c r="A318" s="4">
        <v>44389</v>
      </c>
      <c r="B318">
        <v>2021</v>
      </c>
      <c r="C318">
        <v>7</v>
      </c>
      <c r="D318" s="5" t="s">
        <v>35</v>
      </c>
      <c r="E318" s="5" t="s">
        <v>36</v>
      </c>
      <c r="F318" s="5" t="s">
        <v>37</v>
      </c>
      <c r="G318" s="5" t="s">
        <v>38</v>
      </c>
      <c r="H318" s="5" t="s">
        <v>63</v>
      </c>
      <c r="I318" s="5" t="s">
        <v>64</v>
      </c>
      <c r="J318" s="5" t="s">
        <v>41</v>
      </c>
      <c r="K318">
        <v>31</v>
      </c>
      <c r="L318">
        <v>779043</v>
      </c>
      <c r="M318" s="26">
        <v>24150333</v>
      </c>
      <c r="N318">
        <v>36543</v>
      </c>
      <c r="O318" s="26">
        <v>2483759.2799999998</v>
      </c>
      <c r="P318" s="5" t="s">
        <v>42</v>
      </c>
      <c r="Q318" s="5" t="s">
        <v>43</v>
      </c>
      <c r="R318">
        <v>4.3</v>
      </c>
      <c r="S318">
        <v>11</v>
      </c>
      <c r="T318">
        <f t="shared" si="4"/>
        <v>1</v>
      </c>
    </row>
    <row r="319" spans="1:20">
      <c r="A319" s="4">
        <v>44378</v>
      </c>
      <c r="B319">
        <v>2021</v>
      </c>
      <c r="C319">
        <v>7</v>
      </c>
      <c r="D319" s="5" t="s">
        <v>35</v>
      </c>
      <c r="E319" s="5" t="s">
        <v>76</v>
      </c>
      <c r="F319" s="5" t="s">
        <v>77</v>
      </c>
      <c r="G319" s="5" t="s">
        <v>78</v>
      </c>
      <c r="H319" s="5" t="s">
        <v>52</v>
      </c>
      <c r="I319" s="5" t="s">
        <v>53</v>
      </c>
      <c r="J319" s="5" t="s">
        <v>41</v>
      </c>
      <c r="K319">
        <v>39</v>
      </c>
      <c r="L319">
        <v>955697</v>
      </c>
      <c r="M319" s="26">
        <v>37272183</v>
      </c>
      <c r="N319">
        <v>39806</v>
      </c>
      <c r="O319" s="26">
        <v>3654295</v>
      </c>
      <c r="P319" s="5" t="s">
        <v>50</v>
      </c>
      <c r="Q319" s="5" t="s">
        <v>43</v>
      </c>
      <c r="R319">
        <v>4.5999999999999996</v>
      </c>
      <c r="S319">
        <v>14</v>
      </c>
      <c r="T319">
        <f t="shared" si="4"/>
        <v>0</v>
      </c>
    </row>
    <row r="320" spans="1:20">
      <c r="A320" s="4">
        <v>44378</v>
      </c>
      <c r="B320">
        <v>2021</v>
      </c>
      <c r="C320">
        <v>7</v>
      </c>
      <c r="D320" s="5" t="s">
        <v>35</v>
      </c>
      <c r="E320" s="5" t="s">
        <v>36</v>
      </c>
      <c r="F320" s="5" t="s">
        <v>37</v>
      </c>
      <c r="G320" s="5" t="s">
        <v>38</v>
      </c>
      <c r="H320" s="5" t="s">
        <v>63</v>
      </c>
      <c r="I320" s="5" t="s">
        <v>64</v>
      </c>
      <c r="J320" s="5" t="s">
        <v>41</v>
      </c>
      <c r="K320">
        <v>54</v>
      </c>
      <c r="L320">
        <v>782478</v>
      </c>
      <c r="M320" s="26">
        <v>42253812</v>
      </c>
      <c r="N320">
        <v>43528</v>
      </c>
      <c r="O320" s="26">
        <v>4233369.8899999997</v>
      </c>
      <c r="P320" s="5" t="s">
        <v>50</v>
      </c>
      <c r="Q320" s="5" t="s">
        <v>43</v>
      </c>
      <c r="R320">
        <v>3.7</v>
      </c>
      <c r="S320">
        <v>6</v>
      </c>
      <c r="T320">
        <f t="shared" si="4"/>
        <v>0</v>
      </c>
    </row>
    <row r="321" spans="1:20">
      <c r="A321" s="4">
        <v>44395</v>
      </c>
      <c r="B321">
        <v>2021</v>
      </c>
      <c r="C321">
        <v>7</v>
      </c>
      <c r="D321" s="5" t="s">
        <v>44</v>
      </c>
      <c r="E321" s="5" t="s">
        <v>45</v>
      </c>
      <c r="F321" s="5" t="s">
        <v>46</v>
      </c>
      <c r="G321" s="5" t="s">
        <v>47</v>
      </c>
      <c r="H321" s="5" t="s">
        <v>79</v>
      </c>
      <c r="I321" s="5" t="s">
        <v>58</v>
      </c>
      <c r="J321" s="5" t="s">
        <v>49</v>
      </c>
      <c r="K321">
        <v>8</v>
      </c>
      <c r="L321">
        <v>881310</v>
      </c>
      <c r="M321" s="26">
        <v>7050480</v>
      </c>
      <c r="N321">
        <v>9467</v>
      </c>
      <c r="O321" s="26">
        <v>617516.21</v>
      </c>
      <c r="P321" s="5" t="s">
        <v>42</v>
      </c>
      <c r="Q321" s="5" t="s">
        <v>75</v>
      </c>
      <c r="R321">
        <v>3.6</v>
      </c>
      <c r="S321">
        <v>3</v>
      </c>
      <c r="T321">
        <f t="shared" si="4"/>
        <v>1</v>
      </c>
    </row>
    <row r="322" spans="1:20">
      <c r="A322" s="4">
        <v>44381</v>
      </c>
      <c r="B322">
        <v>2021</v>
      </c>
      <c r="C322">
        <v>7</v>
      </c>
      <c r="D322" s="5" t="s">
        <v>35</v>
      </c>
      <c r="E322" s="5" t="s">
        <v>60</v>
      </c>
      <c r="F322" s="5" t="s">
        <v>61</v>
      </c>
      <c r="G322" s="5" t="s">
        <v>62</v>
      </c>
      <c r="H322" s="5" t="s">
        <v>65</v>
      </c>
      <c r="I322" s="5" t="s">
        <v>53</v>
      </c>
      <c r="J322" s="5" t="s">
        <v>49</v>
      </c>
      <c r="K322">
        <v>46</v>
      </c>
      <c r="L322">
        <v>1233622</v>
      </c>
      <c r="M322" s="26">
        <v>56746612</v>
      </c>
      <c r="N322">
        <v>28314</v>
      </c>
      <c r="O322" s="26">
        <v>7243108.4100000001</v>
      </c>
      <c r="P322" s="5" t="s">
        <v>42</v>
      </c>
      <c r="Q322" s="5" t="s">
        <v>43</v>
      </c>
      <c r="R322">
        <v>4.8</v>
      </c>
      <c r="S322">
        <v>14</v>
      </c>
      <c r="T322">
        <f t="shared" ref="T322:T385" si="5">IF(AND(OR($B322=Sel_Year,Sel_Year="All"),OR($C322=Sel_Month,Sel_Month="All"),OR($D322=Sel_Region,Sel_Region="All"),OR($E322=Sel_State,Sel_State="All"),OR($F322=Sel_City,Sel_City="All"),OR($G322=Sel_Dealer,Sel_Dealer="All"),OR($H322=Sel_Model,Sel_Model="All"),OR($I322=Sel_Segment,Sel_Segment="All"),OR($J322=Sel_Fuel,Sel_Fuel="All"),OR($P322=Sel_CustType,Sel_CustType="All"),OR($Q322=Sel_Payment,Sel_Payment="All")),1,0)</f>
        <v>1</v>
      </c>
    </row>
    <row r="323" spans="1:20">
      <c r="A323" s="4">
        <v>44391</v>
      </c>
      <c r="B323">
        <v>2021</v>
      </c>
      <c r="C323">
        <v>7</v>
      </c>
      <c r="D323" s="5" t="s">
        <v>44</v>
      </c>
      <c r="E323" s="5" t="s">
        <v>82</v>
      </c>
      <c r="F323" s="5" t="s">
        <v>83</v>
      </c>
      <c r="G323" s="5" t="s">
        <v>84</v>
      </c>
      <c r="H323" s="5" t="s">
        <v>73</v>
      </c>
      <c r="I323" s="5" t="s">
        <v>40</v>
      </c>
      <c r="J323" s="5" t="s">
        <v>49</v>
      </c>
      <c r="K323">
        <v>19</v>
      </c>
      <c r="L323">
        <v>743577</v>
      </c>
      <c r="M323" s="26">
        <v>14127963</v>
      </c>
      <c r="N323">
        <v>33926</v>
      </c>
      <c r="O323" s="26">
        <v>1764329.68</v>
      </c>
      <c r="P323" s="5" t="s">
        <v>42</v>
      </c>
      <c r="Q323" s="5" t="s">
        <v>51</v>
      </c>
      <c r="R323">
        <v>4.9000000000000004</v>
      </c>
      <c r="S323">
        <v>15</v>
      </c>
      <c r="T323">
        <f t="shared" si="5"/>
        <v>1</v>
      </c>
    </row>
    <row r="324" spans="1:20">
      <c r="A324" s="4">
        <v>44389</v>
      </c>
      <c r="B324">
        <v>2021</v>
      </c>
      <c r="C324">
        <v>7</v>
      </c>
      <c r="D324" s="5" t="s">
        <v>44</v>
      </c>
      <c r="E324" s="5" t="s">
        <v>82</v>
      </c>
      <c r="F324" s="5" t="s">
        <v>83</v>
      </c>
      <c r="G324" s="5" t="s">
        <v>84</v>
      </c>
      <c r="H324" s="5" t="s">
        <v>86</v>
      </c>
      <c r="I324" s="5" t="s">
        <v>40</v>
      </c>
      <c r="J324" s="5" t="s">
        <v>41</v>
      </c>
      <c r="K324">
        <v>14</v>
      </c>
      <c r="L324">
        <v>626164</v>
      </c>
      <c r="M324" s="26">
        <v>8766296</v>
      </c>
      <c r="N324">
        <v>8463</v>
      </c>
      <c r="O324" s="26">
        <v>932970.42</v>
      </c>
      <c r="P324" s="5" t="s">
        <v>42</v>
      </c>
      <c r="Q324" s="5" t="s">
        <v>75</v>
      </c>
      <c r="R324">
        <v>4.4000000000000004</v>
      </c>
      <c r="S324">
        <v>12</v>
      </c>
      <c r="T324">
        <f t="shared" si="5"/>
        <v>1</v>
      </c>
    </row>
    <row r="325" spans="1:20">
      <c r="A325" s="4">
        <v>44384</v>
      </c>
      <c r="B325">
        <v>2021</v>
      </c>
      <c r="C325">
        <v>7</v>
      </c>
      <c r="D325" s="5" t="s">
        <v>35</v>
      </c>
      <c r="E325" s="5" t="s">
        <v>36</v>
      </c>
      <c r="F325" s="5" t="s">
        <v>37</v>
      </c>
      <c r="G325" s="5" t="s">
        <v>38</v>
      </c>
      <c r="H325" s="5" t="s">
        <v>86</v>
      </c>
      <c r="I325" s="5" t="s">
        <v>40</v>
      </c>
      <c r="J325" s="5" t="s">
        <v>41</v>
      </c>
      <c r="K325">
        <v>53</v>
      </c>
      <c r="L325">
        <v>617142</v>
      </c>
      <c r="M325" s="26">
        <v>32708526</v>
      </c>
      <c r="N325">
        <v>45970</v>
      </c>
      <c r="O325" s="26">
        <v>2916523.84</v>
      </c>
      <c r="P325" s="5" t="s">
        <v>42</v>
      </c>
      <c r="Q325" s="5" t="s">
        <v>51</v>
      </c>
      <c r="R325">
        <v>3.8</v>
      </c>
      <c r="S325">
        <v>21</v>
      </c>
      <c r="T325">
        <f t="shared" si="5"/>
        <v>1</v>
      </c>
    </row>
    <row r="326" spans="1:20">
      <c r="A326" s="4">
        <v>44391</v>
      </c>
      <c r="B326">
        <v>2021</v>
      </c>
      <c r="C326">
        <v>7</v>
      </c>
      <c r="D326" s="5" t="s">
        <v>35</v>
      </c>
      <c r="E326" s="5" t="s">
        <v>36</v>
      </c>
      <c r="F326" s="5" t="s">
        <v>37</v>
      </c>
      <c r="G326" s="5" t="s">
        <v>38</v>
      </c>
      <c r="H326" s="5" t="s">
        <v>85</v>
      </c>
      <c r="I326" s="5" t="s">
        <v>58</v>
      </c>
      <c r="J326" s="5" t="s">
        <v>49</v>
      </c>
      <c r="K326">
        <v>24</v>
      </c>
      <c r="L326">
        <v>961252</v>
      </c>
      <c r="M326" s="26">
        <v>23070048</v>
      </c>
      <c r="N326">
        <v>14063</v>
      </c>
      <c r="O326" s="26">
        <v>3039230.04</v>
      </c>
      <c r="P326" s="5" t="s">
        <v>42</v>
      </c>
      <c r="Q326" s="5" t="s">
        <v>43</v>
      </c>
      <c r="R326">
        <v>4.5999999999999996</v>
      </c>
      <c r="S326">
        <v>3</v>
      </c>
      <c r="T326">
        <f t="shared" si="5"/>
        <v>1</v>
      </c>
    </row>
    <row r="327" spans="1:20">
      <c r="A327" s="4">
        <v>44390</v>
      </c>
      <c r="B327">
        <v>2021</v>
      </c>
      <c r="C327">
        <v>7</v>
      </c>
      <c r="D327" s="5" t="s">
        <v>44</v>
      </c>
      <c r="E327" s="5" t="s">
        <v>45</v>
      </c>
      <c r="F327" s="5" t="s">
        <v>46</v>
      </c>
      <c r="G327" s="5" t="s">
        <v>47</v>
      </c>
      <c r="H327" s="5" t="s">
        <v>74</v>
      </c>
      <c r="I327" s="5" t="s">
        <v>40</v>
      </c>
      <c r="J327" s="5" t="s">
        <v>49</v>
      </c>
      <c r="K327">
        <v>28</v>
      </c>
      <c r="L327">
        <v>636304</v>
      </c>
      <c r="M327" s="26">
        <v>17816512</v>
      </c>
      <c r="N327">
        <v>15200</v>
      </c>
      <c r="O327" s="26">
        <v>1729592.83</v>
      </c>
      <c r="P327" s="5" t="s">
        <v>42</v>
      </c>
      <c r="Q327" s="5" t="s">
        <v>51</v>
      </c>
      <c r="R327">
        <v>4.4000000000000004</v>
      </c>
      <c r="S327">
        <v>15</v>
      </c>
      <c r="T327">
        <f t="shared" si="5"/>
        <v>1</v>
      </c>
    </row>
    <row r="328" spans="1:20">
      <c r="A328" s="4">
        <v>44402</v>
      </c>
      <c r="B328">
        <v>2021</v>
      </c>
      <c r="C328">
        <v>7</v>
      </c>
      <c r="D328" s="5" t="s">
        <v>54</v>
      </c>
      <c r="E328" s="5" t="s">
        <v>70</v>
      </c>
      <c r="F328" s="5" t="s">
        <v>71</v>
      </c>
      <c r="G328" s="5" t="s">
        <v>72</v>
      </c>
      <c r="H328" s="5" t="s">
        <v>48</v>
      </c>
      <c r="I328" s="5" t="s">
        <v>40</v>
      </c>
      <c r="J328" s="5" t="s">
        <v>49</v>
      </c>
      <c r="K328">
        <v>26</v>
      </c>
      <c r="L328">
        <v>425316</v>
      </c>
      <c r="M328" s="26">
        <v>11058216</v>
      </c>
      <c r="N328">
        <v>43810</v>
      </c>
      <c r="O328" s="26">
        <v>1425091.22</v>
      </c>
      <c r="P328" s="5" t="s">
        <v>50</v>
      </c>
      <c r="Q328" s="5" t="s">
        <v>51</v>
      </c>
      <c r="R328">
        <v>4.5999999999999996</v>
      </c>
      <c r="S328">
        <v>7</v>
      </c>
      <c r="T328">
        <f t="shared" si="5"/>
        <v>0</v>
      </c>
    </row>
    <row r="329" spans="1:20">
      <c r="A329" s="4">
        <v>44401</v>
      </c>
      <c r="B329">
        <v>2021</v>
      </c>
      <c r="C329">
        <v>7</v>
      </c>
      <c r="D329" s="5" t="s">
        <v>44</v>
      </c>
      <c r="E329" s="5" t="s">
        <v>45</v>
      </c>
      <c r="F329" s="5" t="s">
        <v>46</v>
      </c>
      <c r="G329" s="5" t="s">
        <v>47</v>
      </c>
      <c r="H329" s="5" t="s">
        <v>74</v>
      </c>
      <c r="I329" s="5" t="s">
        <v>40</v>
      </c>
      <c r="J329" s="5" t="s">
        <v>49</v>
      </c>
      <c r="K329">
        <v>9</v>
      </c>
      <c r="L329">
        <v>621578</v>
      </c>
      <c r="M329" s="26">
        <v>5594202</v>
      </c>
      <c r="N329">
        <v>17016</v>
      </c>
      <c r="O329" s="26">
        <v>572207.89</v>
      </c>
      <c r="P329" s="5" t="s">
        <v>42</v>
      </c>
      <c r="Q329" s="5" t="s">
        <v>43</v>
      </c>
      <c r="R329">
        <v>4.5999999999999996</v>
      </c>
      <c r="S329">
        <v>18</v>
      </c>
      <c r="T329">
        <f t="shared" si="5"/>
        <v>1</v>
      </c>
    </row>
    <row r="330" spans="1:20">
      <c r="A330" s="4">
        <v>44405</v>
      </c>
      <c r="B330">
        <v>2021</v>
      </c>
      <c r="C330">
        <v>7</v>
      </c>
      <c r="D330" s="5" t="s">
        <v>44</v>
      </c>
      <c r="E330" s="5" t="s">
        <v>82</v>
      </c>
      <c r="F330" s="5" t="s">
        <v>83</v>
      </c>
      <c r="G330" s="5" t="s">
        <v>84</v>
      </c>
      <c r="H330" s="5" t="s">
        <v>65</v>
      </c>
      <c r="I330" s="5" t="s">
        <v>53</v>
      </c>
      <c r="J330" s="5" t="s">
        <v>49</v>
      </c>
      <c r="K330">
        <v>60</v>
      </c>
      <c r="L330">
        <v>1264651</v>
      </c>
      <c r="M330" s="26">
        <v>75879060</v>
      </c>
      <c r="N330">
        <v>22302</v>
      </c>
      <c r="O330" s="26">
        <v>9450281.3499999996</v>
      </c>
      <c r="P330" s="5" t="s">
        <v>50</v>
      </c>
      <c r="Q330" s="5" t="s">
        <v>51</v>
      </c>
      <c r="R330">
        <v>4.0999999999999996</v>
      </c>
      <c r="S330">
        <v>9</v>
      </c>
      <c r="T330">
        <f t="shared" si="5"/>
        <v>0</v>
      </c>
    </row>
    <row r="331" spans="1:20">
      <c r="A331" s="4">
        <v>44378</v>
      </c>
      <c r="B331">
        <v>2021</v>
      </c>
      <c r="C331">
        <v>7</v>
      </c>
      <c r="D331" s="5" t="s">
        <v>44</v>
      </c>
      <c r="E331" s="5" t="s">
        <v>45</v>
      </c>
      <c r="F331" s="5" t="s">
        <v>46</v>
      </c>
      <c r="G331" s="5" t="s">
        <v>47</v>
      </c>
      <c r="H331" s="5" t="s">
        <v>65</v>
      </c>
      <c r="I331" s="5" t="s">
        <v>53</v>
      </c>
      <c r="J331" s="5" t="s">
        <v>49</v>
      </c>
      <c r="K331">
        <v>51</v>
      </c>
      <c r="L331">
        <v>1240493</v>
      </c>
      <c r="M331" s="26">
        <v>63265143</v>
      </c>
      <c r="N331">
        <v>13808</v>
      </c>
      <c r="O331" s="26">
        <v>8532630.4900000002</v>
      </c>
      <c r="P331" s="5" t="s">
        <v>42</v>
      </c>
      <c r="Q331" s="5" t="s">
        <v>51</v>
      </c>
      <c r="R331">
        <v>3.6</v>
      </c>
      <c r="S331">
        <v>13</v>
      </c>
      <c r="T331">
        <f t="shared" si="5"/>
        <v>1</v>
      </c>
    </row>
    <row r="332" spans="1:20">
      <c r="A332" s="4">
        <v>44402</v>
      </c>
      <c r="B332">
        <v>2021</v>
      </c>
      <c r="C332">
        <v>7</v>
      </c>
      <c r="D332" s="5" t="s">
        <v>54</v>
      </c>
      <c r="E332" s="5" t="s">
        <v>55</v>
      </c>
      <c r="F332" s="5" t="s">
        <v>55</v>
      </c>
      <c r="G332" s="5" t="s">
        <v>56</v>
      </c>
      <c r="H332" s="5" t="s">
        <v>65</v>
      </c>
      <c r="I332" s="5" t="s">
        <v>53</v>
      </c>
      <c r="J332" s="5" t="s">
        <v>49</v>
      </c>
      <c r="K332">
        <v>44</v>
      </c>
      <c r="L332">
        <v>1248777</v>
      </c>
      <c r="M332" s="26">
        <v>54946188</v>
      </c>
      <c r="N332">
        <v>25788</v>
      </c>
      <c r="O332" s="26">
        <v>6966356.21</v>
      </c>
      <c r="P332" s="5" t="s">
        <v>42</v>
      </c>
      <c r="Q332" s="5" t="s">
        <v>51</v>
      </c>
      <c r="R332">
        <v>4.7</v>
      </c>
      <c r="S332">
        <v>3</v>
      </c>
      <c r="T332">
        <f t="shared" si="5"/>
        <v>1</v>
      </c>
    </row>
    <row r="333" spans="1:20">
      <c r="A333" s="4">
        <v>44401</v>
      </c>
      <c r="B333">
        <v>2021</v>
      </c>
      <c r="C333">
        <v>7</v>
      </c>
      <c r="D333" s="5" t="s">
        <v>35</v>
      </c>
      <c r="E333" s="5" t="s">
        <v>60</v>
      </c>
      <c r="F333" s="5" t="s">
        <v>61</v>
      </c>
      <c r="G333" s="5" t="s">
        <v>62</v>
      </c>
      <c r="H333" s="5" t="s">
        <v>80</v>
      </c>
      <c r="I333" s="5" t="s">
        <v>81</v>
      </c>
      <c r="J333" s="5" t="s">
        <v>41</v>
      </c>
      <c r="K333">
        <v>49</v>
      </c>
      <c r="L333">
        <v>562644</v>
      </c>
      <c r="M333" s="26">
        <v>27569556</v>
      </c>
      <c r="N333">
        <v>11379</v>
      </c>
      <c r="O333" s="26">
        <v>3139700.06</v>
      </c>
      <c r="P333" s="5" t="s">
        <v>50</v>
      </c>
      <c r="Q333" s="5" t="s">
        <v>51</v>
      </c>
      <c r="R333">
        <v>5</v>
      </c>
      <c r="S333">
        <v>2</v>
      </c>
      <c r="T333">
        <f t="shared" si="5"/>
        <v>0</v>
      </c>
    </row>
    <row r="334" spans="1:20">
      <c r="A334" s="4">
        <v>44401</v>
      </c>
      <c r="B334">
        <v>2021</v>
      </c>
      <c r="C334">
        <v>7</v>
      </c>
      <c r="D334" s="5" t="s">
        <v>54</v>
      </c>
      <c r="E334" s="5" t="s">
        <v>55</v>
      </c>
      <c r="F334" s="5" t="s">
        <v>55</v>
      </c>
      <c r="G334" s="5" t="s">
        <v>56</v>
      </c>
      <c r="H334" s="5" t="s">
        <v>57</v>
      </c>
      <c r="I334" s="5" t="s">
        <v>58</v>
      </c>
      <c r="J334" s="5" t="s">
        <v>59</v>
      </c>
      <c r="K334">
        <v>43</v>
      </c>
      <c r="L334">
        <v>1396768</v>
      </c>
      <c r="M334" s="26">
        <v>60061024</v>
      </c>
      <c r="N334">
        <v>27822</v>
      </c>
      <c r="O334" s="26">
        <v>5648514.9900000002</v>
      </c>
      <c r="P334" s="5" t="s">
        <v>50</v>
      </c>
      <c r="Q334" s="5" t="s">
        <v>75</v>
      </c>
      <c r="R334">
        <v>4.9000000000000004</v>
      </c>
      <c r="S334">
        <v>11</v>
      </c>
      <c r="T334">
        <f t="shared" si="5"/>
        <v>0</v>
      </c>
    </row>
    <row r="335" spans="1:20">
      <c r="A335" s="4">
        <v>44387</v>
      </c>
      <c r="B335">
        <v>2021</v>
      </c>
      <c r="C335">
        <v>7</v>
      </c>
      <c r="D335" s="5" t="s">
        <v>66</v>
      </c>
      <c r="E335" s="5" t="s">
        <v>67</v>
      </c>
      <c r="F335" s="5" t="s">
        <v>68</v>
      </c>
      <c r="G335" s="5" t="s">
        <v>69</v>
      </c>
      <c r="H335" s="5" t="s">
        <v>80</v>
      </c>
      <c r="I335" s="5" t="s">
        <v>81</v>
      </c>
      <c r="J335" s="5" t="s">
        <v>41</v>
      </c>
      <c r="K335">
        <v>15</v>
      </c>
      <c r="L335">
        <v>571678</v>
      </c>
      <c r="M335" s="26">
        <v>8575170</v>
      </c>
      <c r="N335">
        <v>42373</v>
      </c>
      <c r="O335" s="26">
        <v>1007865.68</v>
      </c>
      <c r="P335" s="5" t="s">
        <v>42</v>
      </c>
      <c r="Q335" s="5" t="s">
        <v>51</v>
      </c>
      <c r="R335">
        <v>4.5</v>
      </c>
      <c r="S335">
        <v>14</v>
      </c>
      <c r="T335">
        <f t="shared" si="5"/>
        <v>1</v>
      </c>
    </row>
    <row r="336" spans="1:20">
      <c r="A336" s="4">
        <v>44395</v>
      </c>
      <c r="B336">
        <v>2021</v>
      </c>
      <c r="C336">
        <v>7</v>
      </c>
      <c r="D336" s="5" t="s">
        <v>66</v>
      </c>
      <c r="E336" s="5" t="s">
        <v>67</v>
      </c>
      <c r="F336" s="5" t="s">
        <v>68</v>
      </c>
      <c r="G336" s="5" t="s">
        <v>69</v>
      </c>
      <c r="H336" s="5" t="s">
        <v>86</v>
      </c>
      <c r="I336" s="5" t="s">
        <v>40</v>
      </c>
      <c r="J336" s="5" t="s">
        <v>41</v>
      </c>
      <c r="K336">
        <v>25</v>
      </c>
      <c r="L336">
        <v>581166</v>
      </c>
      <c r="M336" s="26">
        <v>14529150</v>
      </c>
      <c r="N336">
        <v>34703</v>
      </c>
      <c r="O336" s="26">
        <v>1619269.92</v>
      </c>
      <c r="P336" s="5" t="s">
        <v>50</v>
      </c>
      <c r="Q336" s="5" t="s">
        <v>51</v>
      </c>
      <c r="R336">
        <v>4.8</v>
      </c>
      <c r="S336">
        <v>4</v>
      </c>
      <c r="T336">
        <f t="shared" si="5"/>
        <v>0</v>
      </c>
    </row>
    <row r="337" spans="1:20">
      <c r="A337" s="4">
        <v>44401</v>
      </c>
      <c r="B337">
        <v>2021</v>
      </c>
      <c r="C337">
        <v>7</v>
      </c>
      <c r="D337" s="5" t="s">
        <v>66</v>
      </c>
      <c r="E337" s="5" t="s">
        <v>67</v>
      </c>
      <c r="F337" s="5" t="s">
        <v>68</v>
      </c>
      <c r="G337" s="5" t="s">
        <v>69</v>
      </c>
      <c r="H337" s="5" t="s">
        <v>63</v>
      </c>
      <c r="I337" s="5" t="s">
        <v>64</v>
      </c>
      <c r="J337" s="5" t="s">
        <v>41</v>
      </c>
      <c r="K337">
        <v>30</v>
      </c>
      <c r="L337">
        <v>762058</v>
      </c>
      <c r="M337" s="26">
        <v>22861740</v>
      </c>
      <c r="N337">
        <v>7196</v>
      </c>
      <c r="O337" s="26">
        <v>3299002.6</v>
      </c>
      <c r="P337" s="5" t="s">
        <v>42</v>
      </c>
      <c r="Q337" s="5" t="s">
        <v>75</v>
      </c>
      <c r="R337">
        <v>4.8</v>
      </c>
      <c r="S337">
        <v>10</v>
      </c>
      <c r="T337">
        <f t="shared" si="5"/>
        <v>1</v>
      </c>
    </row>
    <row r="338" spans="1:20">
      <c r="A338" s="4">
        <v>44404</v>
      </c>
      <c r="B338">
        <v>2021</v>
      </c>
      <c r="C338">
        <v>7</v>
      </c>
      <c r="D338" s="5" t="s">
        <v>66</v>
      </c>
      <c r="E338" s="5" t="s">
        <v>67</v>
      </c>
      <c r="F338" s="5" t="s">
        <v>68</v>
      </c>
      <c r="G338" s="5" t="s">
        <v>69</v>
      </c>
      <c r="H338" s="5" t="s">
        <v>63</v>
      </c>
      <c r="I338" s="5" t="s">
        <v>64</v>
      </c>
      <c r="J338" s="5" t="s">
        <v>41</v>
      </c>
      <c r="K338">
        <v>12</v>
      </c>
      <c r="L338">
        <v>746741</v>
      </c>
      <c r="M338" s="26">
        <v>8960892</v>
      </c>
      <c r="N338">
        <v>5578</v>
      </c>
      <c r="O338" s="26">
        <v>1412424</v>
      </c>
      <c r="P338" s="5" t="s">
        <v>50</v>
      </c>
      <c r="Q338" s="5" t="s">
        <v>43</v>
      </c>
      <c r="R338">
        <v>4.9000000000000004</v>
      </c>
      <c r="S338">
        <v>16</v>
      </c>
      <c r="T338">
        <f t="shared" si="5"/>
        <v>0</v>
      </c>
    </row>
    <row r="339" spans="1:20">
      <c r="A339" s="4">
        <v>44381</v>
      </c>
      <c r="B339">
        <v>2021</v>
      </c>
      <c r="C339">
        <v>7</v>
      </c>
      <c r="D339" s="5" t="s">
        <v>35</v>
      </c>
      <c r="E339" s="5" t="s">
        <v>76</v>
      </c>
      <c r="F339" s="5" t="s">
        <v>77</v>
      </c>
      <c r="G339" s="5" t="s">
        <v>78</v>
      </c>
      <c r="H339" s="5" t="s">
        <v>85</v>
      </c>
      <c r="I339" s="5" t="s">
        <v>58</v>
      </c>
      <c r="J339" s="5" t="s">
        <v>49</v>
      </c>
      <c r="K339">
        <v>7</v>
      </c>
      <c r="L339">
        <v>964734</v>
      </c>
      <c r="M339" s="26">
        <v>6753138</v>
      </c>
      <c r="N339">
        <v>10238</v>
      </c>
      <c r="O339" s="26">
        <v>598750.76</v>
      </c>
      <c r="P339" s="5" t="s">
        <v>50</v>
      </c>
      <c r="Q339" s="5" t="s">
        <v>51</v>
      </c>
      <c r="R339">
        <v>4.5</v>
      </c>
      <c r="S339">
        <v>3</v>
      </c>
      <c r="T339">
        <f t="shared" si="5"/>
        <v>0</v>
      </c>
    </row>
    <row r="340" spans="1:20">
      <c r="A340" s="4">
        <v>44404</v>
      </c>
      <c r="B340">
        <v>2021</v>
      </c>
      <c r="C340">
        <v>7</v>
      </c>
      <c r="D340" s="5" t="s">
        <v>44</v>
      </c>
      <c r="E340" s="5" t="s">
        <v>82</v>
      </c>
      <c r="F340" s="5" t="s">
        <v>83</v>
      </c>
      <c r="G340" s="5" t="s">
        <v>84</v>
      </c>
      <c r="H340" s="5" t="s">
        <v>79</v>
      </c>
      <c r="I340" s="5" t="s">
        <v>58</v>
      </c>
      <c r="J340" s="5" t="s">
        <v>49</v>
      </c>
      <c r="K340">
        <v>14</v>
      </c>
      <c r="L340">
        <v>923421</v>
      </c>
      <c r="M340" s="26">
        <v>12927894</v>
      </c>
      <c r="N340">
        <v>27728</v>
      </c>
      <c r="O340" s="26">
        <v>1152179.92</v>
      </c>
      <c r="P340" s="5" t="s">
        <v>42</v>
      </c>
      <c r="Q340" s="5" t="s">
        <v>51</v>
      </c>
      <c r="R340">
        <v>4.4000000000000004</v>
      </c>
      <c r="S340">
        <v>9</v>
      </c>
      <c r="T340">
        <f t="shared" si="5"/>
        <v>1</v>
      </c>
    </row>
    <row r="341" spans="1:20">
      <c r="A341" s="4">
        <v>44397</v>
      </c>
      <c r="B341">
        <v>2021</v>
      </c>
      <c r="C341">
        <v>7</v>
      </c>
      <c r="D341" s="5" t="s">
        <v>35</v>
      </c>
      <c r="E341" s="5" t="s">
        <v>36</v>
      </c>
      <c r="F341" s="5" t="s">
        <v>37</v>
      </c>
      <c r="G341" s="5" t="s">
        <v>38</v>
      </c>
      <c r="H341" s="5" t="s">
        <v>57</v>
      </c>
      <c r="I341" s="5" t="s">
        <v>58</v>
      </c>
      <c r="J341" s="5" t="s">
        <v>59</v>
      </c>
      <c r="K341">
        <v>41</v>
      </c>
      <c r="L341">
        <v>1402069</v>
      </c>
      <c r="M341" s="26">
        <v>57484829</v>
      </c>
      <c r="N341">
        <v>16245</v>
      </c>
      <c r="O341" s="26">
        <v>6218824.0300000003</v>
      </c>
      <c r="P341" s="5" t="s">
        <v>42</v>
      </c>
      <c r="Q341" s="5" t="s">
        <v>51</v>
      </c>
      <c r="R341">
        <v>4.7</v>
      </c>
      <c r="S341">
        <v>20</v>
      </c>
      <c r="T341">
        <f t="shared" si="5"/>
        <v>1</v>
      </c>
    </row>
    <row r="342" spans="1:20">
      <c r="A342" s="4">
        <v>44403</v>
      </c>
      <c r="B342">
        <v>2021</v>
      </c>
      <c r="C342">
        <v>7</v>
      </c>
      <c r="D342" s="5" t="s">
        <v>35</v>
      </c>
      <c r="E342" s="5" t="s">
        <v>36</v>
      </c>
      <c r="F342" s="5" t="s">
        <v>37</v>
      </c>
      <c r="G342" s="5" t="s">
        <v>38</v>
      </c>
      <c r="H342" s="5" t="s">
        <v>52</v>
      </c>
      <c r="I342" s="5" t="s">
        <v>53</v>
      </c>
      <c r="J342" s="5" t="s">
        <v>41</v>
      </c>
      <c r="K342">
        <v>38</v>
      </c>
      <c r="L342">
        <v>976096</v>
      </c>
      <c r="M342" s="26">
        <v>37091648</v>
      </c>
      <c r="N342">
        <v>9617</v>
      </c>
      <c r="O342" s="26">
        <v>5729238.6600000001</v>
      </c>
      <c r="P342" s="5" t="s">
        <v>50</v>
      </c>
      <c r="Q342" s="5" t="s">
        <v>75</v>
      </c>
      <c r="R342">
        <v>4.7</v>
      </c>
      <c r="S342">
        <v>11</v>
      </c>
      <c r="T342">
        <f t="shared" si="5"/>
        <v>0</v>
      </c>
    </row>
    <row r="343" spans="1:20">
      <c r="A343" s="4">
        <v>44386</v>
      </c>
      <c r="B343">
        <v>2021</v>
      </c>
      <c r="C343">
        <v>7</v>
      </c>
      <c r="D343" s="5" t="s">
        <v>44</v>
      </c>
      <c r="E343" s="5" t="s">
        <v>45</v>
      </c>
      <c r="F343" s="5" t="s">
        <v>46</v>
      </c>
      <c r="G343" s="5" t="s">
        <v>47</v>
      </c>
      <c r="H343" s="5" t="s">
        <v>48</v>
      </c>
      <c r="I343" s="5" t="s">
        <v>40</v>
      </c>
      <c r="J343" s="5" t="s">
        <v>49</v>
      </c>
      <c r="K343">
        <v>10</v>
      </c>
      <c r="L343">
        <v>420043</v>
      </c>
      <c r="M343" s="26">
        <v>4200430</v>
      </c>
      <c r="N343">
        <v>48433</v>
      </c>
      <c r="O343" s="26">
        <v>352020.87</v>
      </c>
      <c r="P343" s="5" t="s">
        <v>42</v>
      </c>
      <c r="Q343" s="5" t="s">
        <v>51</v>
      </c>
      <c r="R343">
        <v>4.9000000000000004</v>
      </c>
      <c r="S343">
        <v>10</v>
      </c>
      <c r="T343">
        <f t="shared" si="5"/>
        <v>1</v>
      </c>
    </row>
    <row r="344" spans="1:20">
      <c r="A344" s="4">
        <v>44398</v>
      </c>
      <c r="B344">
        <v>2021</v>
      </c>
      <c r="C344">
        <v>7</v>
      </c>
      <c r="D344" s="5" t="s">
        <v>35</v>
      </c>
      <c r="E344" s="5" t="s">
        <v>60</v>
      </c>
      <c r="F344" s="5" t="s">
        <v>61</v>
      </c>
      <c r="G344" s="5" t="s">
        <v>62</v>
      </c>
      <c r="H344" s="5" t="s">
        <v>79</v>
      </c>
      <c r="I344" s="5" t="s">
        <v>58</v>
      </c>
      <c r="J344" s="5" t="s">
        <v>49</v>
      </c>
      <c r="K344">
        <v>12</v>
      </c>
      <c r="L344">
        <v>923241</v>
      </c>
      <c r="M344" s="26">
        <v>11078892</v>
      </c>
      <c r="N344">
        <v>47269</v>
      </c>
      <c r="O344" s="26">
        <v>1084375.6399999999</v>
      </c>
      <c r="P344" s="5" t="s">
        <v>50</v>
      </c>
      <c r="Q344" s="5" t="s">
        <v>51</v>
      </c>
      <c r="R344">
        <v>4.3</v>
      </c>
      <c r="S344">
        <v>2</v>
      </c>
      <c r="T344">
        <f t="shared" si="5"/>
        <v>0</v>
      </c>
    </row>
    <row r="345" spans="1:20">
      <c r="A345" s="4">
        <v>44382</v>
      </c>
      <c r="B345">
        <v>2021</v>
      </c>
      <c r="C345">
        <v>7</v>
      </c>
      <c r="D345" s="5" t="s">
        <v>54</v>
      </c>
      <c r="E345" s="5" t="s">
        <v>70</v>
      </c>
      <c r="F345" s="5" t="s">
        <v>71</v>
      </c>
      <c r="G345" s="5" t="s">
        <v>72</v>
      </c>
      <c r="H345" s="5" t="s">
        <v>65</v>
      </c>
      <c r="I345" s="5" t="s">
        <v>53</v>
      </c>
      <c r="J345" s="5" t="s">
        <v>49</v>
      </c>
      <c r="K345">
        <v>33</v>
      </c>
      <c r="L345">
        <v>1226186</v>
      </c>
      <c r="M345" s="26">
        <v>40464138</v>
      </c>
      <c r="N345">
        <v>33240</v>
      </c>
      <c r="O345" s="26">
        <v>5864335.6399999997</v>
      </c>
      <c r="P345" s="5" t="s">
        <v>42</v>
      </c>
      <c r="Q345" s="5" t="s">
        <v>75</v>
      </c>
      <c r="R345">
        <v>4.0999999999999996</v>
      </c>
      <c r="S345">
        <v>8</v>
      </c>
      <c r="T345">
        <f t="shared" si="5"/>
        <v>1</v>
      </c>
    </row>
    <row r="346" spans="1:20">
      <c r="A346" s="4">
        <v>44378</v>
      </c>
      <c r="B346">
        <v>2021</v>
      </c>
      <c r="C346">
        <v>7</v>
      </c>
      <c r="D346" s="5" t="s">
        <v>54</v>
      </c>
      <c r="E346" s="5" t="s">
        <v>70</v>
      </c>
      <c r="F346" s="5" t="s">
        <v>71</v>
      </c>
      <c r="G346" s="5" t="s">
        <v>72</v>
      </c>
      <c r="H346" s="5" t="s">
        <v>39</v>
      </c>
      <c r="I346" s="5" t="s">
        <v>40</v>
      </c>
      <c r="J346" s="5" t="s">
        <v>41</v>
      </c>
      <c r="K346">
        <v>14</v>
      </c>
      <c r="L346">
        <v>586582</v>
      </c>
      <c r="M346" s="26">
        <v>8212148</v>
      </c>
      <c r="N346">
        <v>19612</v>
      </c>
      <c r="O346" s="26">
        <v>1274639.74</v>
      </c>
      <c r="P346" s="5" t="s">
        <v>50</v>
      </c>
      <c r="Q346" s="5" t="s">
        <v>51</v>
      </c>
      <c r="R346">
        <v>4.8</v>
      </c>
      <c r="S346">
        <v>13</v>
      </c>
      <c r="T346">
        <f t="shared" si="5"/>
        <v>0</v>
      </c>
    </row>
    <row r="347" spans="1:20">
      <c r="A347" s="4">
        <v>44392</v>
      </c>
      <c r="B347">
        <v>2021</v>
      </c>
      <c r="C347">
        <v>7</v>
      </c>
      <c r="D347" s="5" t="s">
        <v>35</v>
      </c>
      <c r="E347" s="5" t="s">
        <v>36</v>
      </c>
      <c r="F347" s="5" t="s">
        <v>37</v>
      </c>
      <c r="G347" s="5" t="s">
        <v>38</v>
      </c>
      <c r="H347" s="5" t="s">
        <v>79</v>
      </c>
      <c r="I347" s="5" t="s">
        <v>58</v>
      </c>
      <c r="J347" s="5" t="s">
        <v>49</v>
      </c>
      <c r="K347">
        <v>47</v>
      </c>
      <c r="L347">
        <v>892477</v>
      </c>
      <c r="M347" s="26">
        <v>41946419</v>
      </c>
      <c r="N347">
        <v>33012</v>
      </c>
      <c r="O347" s="26">
        <v>6375987.3300000001</v>
      </c>
      <c r="P347" s="5" t="s">
        <v>50</v>
      </c>
      <c r="Q347" s="5" t="s">
        <v>43</v>
      </c>
      <c r="R347">
        <v>3.6</v>
      </c>
      <c r="S347">
        <v>11</v>
      </c>
      <c r="T347">
        <f t="shared" si="5"/>
        <v>0</v>
      </c>
    </row>
    <row r="348" spans="1:20">
      <c r="A348" s="4">
        <v>44386</v>
      </c>
      <c r="B348">
        <v>2021</v>
      </c>
      <c r="C348">
        <v>7</v>
      </c>
      <c r="D348" s="5" t="s">
        <v>54</v>
      </c>
      <c r="E348" s="5" t="s">
        <v>70</v>
      </c>
      <c r="F348" s="5" t="s">
        <v>71</v>
      </c>
      <c r="G348" s="5" t="s">
        <v>72</v>
      </c>
      <c r="H348" s="5" t="s">
        <v>85</v>
      </c>
      <c r="I348" s="5" t="s">
        <v>58</v>
      </c>
      <c r="J348" s="5" t="s">
        <v>49</v>
      </c>
      <c r="K348">
        <v>18</v>
      </c>
      <c r="L348">
        <v>965033</v>
      </c>
      <c r="M348" s="26">
        <v>17370594</v>
      </c>
      <c r="N348">
        <v>20862</v>
      </c>
      <c r="O348" s="26">
        <v>1912358.17</v>
      </c>
      <c r="P348" s="5" t="s">
        <v>50</v>
      </c>
      <c r="Q348" s="5" t="s">
        <v>43</v>
      </c>
      <c r="R348">
        <v>4.7</v>
      </c>
      <c r="S348">
        <v>6</v>
      </c>
      <c r="T348">
        <f t="shared" si="5"/>
        <v>0</v>
      </c>
    </row>
    <row r="349" spans="1:20">
      <c r="A349" s="4">
        <v>44381</v>
      </c>
      <c r="B349">
        <v>2021</v>
      </c>
      <c r="C349">
        <v>7</v>
      </c>
      <c r="D349" s="5" t="s">
        <v>66</v>
      </c>
      <c r="E349" s="5" t="s">
        <v>67</v>
      </c>
      <c r="F349" s="5" t="s">
        <v>68</v>
      </c>
      <c r="G349" s="5" t="s">
        <v>69</v>
      </c>
      <c r="H349" s="5" t="s">
        <v>48</v>
      </c>
      <c r="I349" s="5" t="s">
        <v>40</v>
      </c>
      <c r="J349" s="5" t="s">
        <v>49</v>
      </c>
      <c r="K349">
        <v>10</v>
      </c>
      <c r="L349">
        <v>453846</v>
      </c>
      <c r="M349" s="26">
        <v>4538460</v>
      </c>
      <c r="N349">
        <v>23088</v>
      </c>
      <c r="O349" s="26">
        <v>399367.71</v>
      </c>
      <c r="P349" s="5" t="s">
        <v>42</v>
      </c>
      <c r="Q349" s="5" t="s">
        <v>43</v>
      </c>
      <c r="R349">
        <v>3.7</v>
      </c>
      <c r="S349">
        <v>16</v>
      </c>
      <c r="T349">
        <f t="shared" si="5"/>
        <v>1</v>
      </c>
    </row>
    <row r="350" spans="1:20">
      <c r="A350" s="4">
        <v>44388</v>
      </c>
      <c r="B350">
        <v>2021</v>
      </c>
      <c r="C350">
        <v>7</v>
      </c>
      <c r="D350" s="5" t="s">
        <v>35</v>
      </c>
      <c r="E350" s="5" t="s">
        <v>76</v>
      </c>
      <c r="F350" s="5" t="s">
        <v>77</v>
      </c>
      <c r="G350" s="5" t="s">
        <v>78</v>
      </c>
      <c r="H350" s="5" t="s">
        <v>86</v>
      </c>
      <c r="I350" s="5" t="s">
        <v>40</v>
      </c>
      <c r="J350" s="5" t="s">
        <v>41</v>
      </c>
      <c r="K350">
        <v>18</v>
      </c>
      <c r="L350">
        <v>587861</v>
      </c>
      <c r="M350" s="26">
        <v>10581498</v>
      </c>
      <c r="N350">
        <v>28966</v>
      </c>
      <c r="O350" s="26">
        <v>1555393.87</v>
      </c>
      <c r="P350" s="5" t="s">
        <v>42</v>
      </c>
      <c r="Q350" s="5" t="s">
        <v>51</v>
      </c>
      <c r="R350">
        <v>3.9</v>
      </c>
      <c r="S350">
        <v>6</v>
      </c>
      <c r="T350">
        <f t="shared" si="5"/>
        <v>1</v>
      </c>
    </row>
    <row r="351" spans="1:20">
      <c r="A351" s="4">
        <v>44388</v>
      </c>
      <c r="B351">
        <v>2021</v>
      </c>
      <c r="C351">
        <v>7</v>
      </c>
      <c r="D351" s="5" t="s">
        <v>54</v>
      </c>
      <c r="E351" s="5" t="s">
        <v>55</v>
      </c>
      <c r="F351" s="5" t="s">
        <v>55</v>
      </c>
      <c r="G351" s="5" t="s">
        <v>56</v>
      </c>
      <c r="H351" s="5" t="s">
        <v>85</v>
      </c>
      <c r="I351" s="5" t="s">
        <v>58</v>
      </c>
      <c r="J351" s="5" t="s">
        <v>49</v>
      </c>
      <c r="K351">
        <v>21</v>
      </c>
      <c r="L351">
        <v>981598</v>
      </c>
      <c r="M351" s="26">
        <v>20613558</v>
      </c>
      <c r="N351">
        <v>44056</v>
      </c>
      <c r="O351" s="26">
        <v>2532965.0699999998</v>
      </c>
      <c r="P351" s="5" t="s">
        <v>50</v>
      </c>
      <c r="Q351" s="5" t="s">
        <v>75</v>
      </c>
      <c r="R351">
        <v>4.5</v>
      </c>
      <c r="S351">
        <v>10</v>
      </c>
      <c r="T351">
        <f t="shared" si="5"/>
        <v>0</v>
      </c>
    </row>
    <row r="352" spans="1:20">
      <c r="A352" s="4">
        <v>44420</v>
      </c>
      <c r="B352">
        <v>2021</v>
      </c>
      <c r="C352">
        <v>8</v>
      </c>
      <c r="D352" s="5" t="s">
        <v>35</v>
      </c>
      <c r="E352" s="5" t="s">
        <v>76</v>
      </c>
      <c r="F352" s="5" t="s">
        <v>77</v>
      </c>
      <c r="G352" s="5" t="s">
        <v>78</v>
      </c>
      <c r="H352" s="5" t="s">
        <v>73</v>
      </c>
      <c r="I352" s="5" t="s">
        <v>40</v>
      </c>
      <c r="J352" s="5" t="s">
        <v>49</v>
      </c>
      <c r="K352">
        <v>32</v>
      </c>
      <c r="L352">
        <v>735090</v>
      </c>
      <c r="M352" s="26">
        <v>23522880</v>
      </c>
      <c r="N352">
        <v>29185</v>
      </c>
      <c r="O352" s="26">
        <v>3176892.88</v>
      </c>
      <c r="P352" s="5" t="s">
        <v>50</v>
      </c>
      <c r="Q352" s="5" t="s">
        <v>75</v>
      </c>
      <c r="R352">
        <v>4.9000000000000004</v>
      </c>
      <c r="S352">
        <v>14</v>
      </c>
      <c r="T352">
        <f t="shared" si="5"/>
        <v>0</v>
      </c>
    </row>
    <row r="353" spans="1:20">
      <c r="A353" s="4">
        <v>44427</v>
      </c>
      <c r="B353">
        <v>2021</v>
      </c>
      <c r="C353">
        <v>8</v>
      </c>
      <c r="D353" s="5" t="s">
        <v>54</v>
      </c>
      <c r="E353" s="5" t="s">
        <v>70</v>
      </c>
      <c r="F353" s="5" t="s">
        <v>71</v>
      </c>
      <c r="G353" s="5" t="s">
        <v>72</v>
      </c>
      <c r="H353" s="5" t="s">
        <v>39</v>
      </c>
      <c r="I353" s="5" t="s">
        <v>40</v>
      </c>
      <c r="J353" s="5" t="s">
        <v>41</v>
      </c>
      <c r="K353">
        <v>26</v>
      </c>
      <c r="L353">
        <v>594844</v>
      </c>
      <c r="M353" s="26">
        <v>15465944</v>
      </c>
      <c r="N353">
        <v>31894</v>
      </c>
      <c r="O353" s="26">
        <v>1661732.47</v>
      </c>
      <c r="P353" s="5" t="s">
        <v>42</v>
      </c>
      <c r="Q353" s="5" t="s">
        <v>43</v>
      </c>
      <c r="R353">
        <v>4.5999999999999996</v>
      </c>
      <c r="S353">
        <v>10</v>
      </c>
      <c r="T353">
        <f t="shared" si="5"/>
        <v>1</v>
      </c>
    </row>
    <row r="354" spans="1:20">
      <c r="A354" s="4">
        <v>44424</v>
      </c>
      <c r="B354">
        <v>2021</v>
      </c>
      <c r="C354">
        <v>8</v>
      </c>
      <c r="D354" s="5" t="s">
        <v>54</v>
      </c>
      <c r="E354" s="5" t="s">
        <v>70</v>
      </c>
      <c r="F354" s="5" t="s">
        <v>71</v>
      </c>
      <c r="G354" s="5" t="s">
        <v>72</v>
      </c>
      <c r="H354" s="5" t="s">
        <v>39</v>
      </c>
      <c r="I354" s="5" t="s">
        <v>40</v>
      </c>
      <c r="J354" s="5" t="s">
        <v>41</v>
      </c>
      <c r="K354">
        <v>9</v>
      </c>
      <c r="L354">
        <v>602712</v>
      </c>
      <c r="M354" s="26">
        <v>5424408</v>
      </c>
      <c r="N354">
        <v>33657</v>
      </c>
      <c r="O354" s="26">
        <v>530739.75</v>
      </c>
      <c r="P354" s="5" t="s">
        <v>42</v>
      </c>
      <c r="Q354" s="5" t="s">
        <v>43</v>
      </c>
      <c r="R354">
        <v>4.5999999999999996</v>
      </c>
      <c r="S354">
        <v>5</v>
      </c>
      <c r="T354">
        <f t="shared" si="5"/>
        <v>1</v>
      </c>
    </row>
    <row r="355" spans="1:20">
      <c r="A355" s="4">
        <v>44426</v>
      </c>
      <c r="B355">
        <v>2021</v>
      </c>
      <c r="C355">
        <v>8</v>
      </c>
      <c r="D355" s="5" t="s">
        <v>54</v>
      </c>
      <c r="E355" s="5" t="s">
        <v>55</v>
      </c>
      <c r="F355" s="5" t="s">
        <v>55</v>
      </c>
      <c r="G355" s="5" t="s">
        <v>56</v>
      </c>
      <c r="H355" s="5" t="s">
        <v>86</v>
      </c>
      <c r="I355" s="5" t="s">
        <v>40</v>
      </c>
      <c r="J355" s="5" t="s">
        <v>41</v>
      </c>
      <c r="K355">
        <v>44</v>
      </c>
      <c r="L355">
        <v>619426</v>
      </c>
      <c r="M355" s="26">
        <v>27254744</v>
      </c>
      <c r="N355">
        <v>19766</v>
      </c>
      <c r="O355" s="26">
        <v>3865856.02</v>
      </c>
      <c r="P355" s="5" t="s">
        <v>42</v>
      </c>
      <c r="Q355" s="5" t="s">
        <v>43</v>
      </c>
      <c r="R355">
        <v>4.0999999999999996</v>
      </c>
      <c r="S355">
        <v>21</v>
      </c>
      <c r="T355">
        <f t="shared" si="5"/>
        <v>1</v>
      </c>
    </row>
    <row r="356" spans="1:20">
      <c r="A356" s="4">
        <v>44424</v>
      </c>
      <c r="B356">
        <v>2021</v>
      </c>
      <c r="C356">
        <v>8</v>
      </c>
      <c r="D356" s="5" t="s">
        <v>54</v>
      </c>
      <c r="E356" s="5" t="s">
        <v>55</v>
      </c>
      <c r="F356" s="5" t="s">
        <v>55</v>
      </c>
      <c r="G356" s="5" t="s">
        <v>56</v>
      </c>
      <c r="H356" s="5" t="s">
        <v>73</v>
      </c>
      <c r="I356" s="5" t="s">
        <v>40</v>
      </c>
      <c r="J356" s="5" t="s">
        <v>49</v>
      </c>
      <c r="K356">
        <v>30</v>
      </c>
      <c r="L356">
        <v>700008</v>
      </c>
      <c r="M356" s="26">
        <v>21000240</v>
      </c>
      <c r="N356">
        <v>43471</v>
      </c>
      <c r="O356" s="26">
        <v>2028870.03</v>
      </c>
      <c r="P356" s="5" t="s">
        <v>42</v>
      </c>
      <c r="Q356" s="5" t="s">
        <v>43</v>
      </c>
      <c r="R356">
        <v>3.6</v>
      </c>
      <c r="S356">
        <v>7</v>
      </c>
      <c r="T356">
        <f t="shared" si="5"/>
        <v>1</v>
      </c>
    </row>
    <row r="357" spans="1:20">
      <c r="A357" s="4">
        <v>44436</v>
      </c>
      <c r="B357">
        <v>2021</v>
      </c>
      <c r="C357">
        <v>8</v>
      </c>
      <c r="D357" s="5" t="s">
        <v>35</v>
      </c>
      <c r="E357" s="5" t="s">
        <v>60</v>
      </c>
      <c r="F357" s="5" t="s">
        <v>61</v>
      </c>
      <c r="G357" s="5" t="s">
        <v>62</v>
      </c>
      <c r="H357" s="5" t="s">
        <v>85</v>
      </c>
      <c r="I357" s="5" t="s">
        <v>58</v>
      </c>
      <c r="J357" s="5" t="s">
        <v>49</v>
      </c>
      <c r="K357">
        <v>46</v>
      </c>
      <c r="L357">
        <v>970237</v>
      </c>
      <c r="M357" s="26">
        <v>44630902</v>
      </c>
      <c r="N357">
        <v>41537</v>
      </c>
      <c r="O357" s="26">
        <v>6350653.0599999996</v>
      </c>
      <c r="P357" s="5" t="s">
        <v>42</v>
      </c>
      <c r="Q357" s="5" t="s">
        <v>43</v>
      </c>
      <c r="R357">
        <v>4.7</v>
      </c>
      <c r="S357">
        <v>10</v>
      </c>
      <c r="T357">
        <f t="shared" si="5"/>
        <v>1</v>
      </c>
    </row>
    <row r="358" spans="1:20">
      <c r="A358" s="4">
        <v>44415</v>
      </c>
      <c r="B358">
        <v>2021</v>
      </c>
      <c r="C358">
        <v>8</v>
      </c>
      <c r="D358" s="5" t="s">
        <v>44</v>
      </c>
      <c r="E358" s="5" t="s">
        <v>82</v>
      </c>
      <c r="F358" s="5" t="s">
        <v>83</v>
      </c>
      <c r="G358" s="5" t="s">
        <v>84</v>
      </c>
      <c r="H358" s="5" t="s">
        <v>48</v>
      </c>
      <c r="I358" s="5" t="s">
        <v>40</v>
      </c>
      <c r="J358" s="5" t="s">
        <v>49</v>
      </c>
      <c r="K358">
        <v>13</v>
      </c>
      <c r="L358">
        <v>448600</v>
      </c>
      <c r="M358" s="26">
        <v>5831800</v>
      </c>
      <c r="N358">
        <v>26853</v>
      </c>
      <c r="O358" s="26">
        <v>709793.32</v>
      </c>
      <c r="P358" s="5" t="s">
        <v>42</v>
      </c>
      <c r="Q358" s="5" t="s">
        <v>75</v>
      </c>
      <c r="R358">
        <v>4</v>
      </c>
      <c r="S358">
        <v>20</v>
      </c>
      <c r="T358">
        <f t="shared" si="5"/>
        <v>1</v>
      </c>
    </row>
    <row r="359" spans="1:20">
      <c r="A359" s="4">
        <v>44434</v>
      </c>
      <c r="B359">
        <v>2021</v>
      </c>
      <c r="C359">
        <v>8</v>
      </c>
      <c r="D359" s="5" t="s">
        <v>44</v>
      </c>
      <c r="E359" s="5" t="s">
        <v>82</v>
      </c>
      <c r="F359" s="5" t="s">
        <v>83</v>
      </c>
      <c r="G359" s="5" t="s">
        <v>84</v>
      </c>
      <c r="H359" s="5" t="s">
        <v>48</v>
      </c>
      <c r="I359" s="5" t="s">
        <v>40</v>
      </c>
      <c r="J359" s="5" t="s">
        <v>49</v>
      </c>
      <c r="K359">
        <v>24</v>
      </c>
      <c r="L359">
        <v>437313</v>
      </c>
      <c r="M359" s="26">
        <v>10495512</v>
      </c>
      <c r="N359">
        <v>15464</v>
      </c>
      <c r="O359" s="26">
        <v>1082953.68</v>
      </c>
      <c r="P359" s="5" t="s">
        <v>42</v>
      </c>
      <c r="Q359" s="5" t="s">
        <v>75</v>
      </c>
      <c r="R359">
        <v>3.9</v>
      </c>
      <c r="S359">
        <v>16</v>
      </c>
      <c r="T359">
        <f t="shared" si="5"/>
        <v>1</v>
      </c>
    </row>
    <row r="360" spans="1:20">
      <c r="A360" s="4">
        <v>44427</v>
      </c>
      <c r="B360">
        <v>2021</v>
      </c>
      <c r="C360">
        <v>8</v>
      </c>
      <c r="D360" s="5" t="s">
        <v>35</v>
      </c>
      <c r="E360" s="5" t="s">
        <v>60</v>
      </c>
      <c r="F360" s="5" t="s">
        <v>61</v>
      </c>
      <c r="G360" s="5" t="s">
        <v>62</v>
      </c>
      <c r="H360" s="5" t="s">
        <v>65</v>
      </c>
      <c r="I360" s="5" t="s">
        <v>53</v>
      </c>
      <c r="J360" s="5" t="s">
        <v>49</v>
      </c>
      <c r="K360">
        <v>15</v>
      </c>
      <c r="L360">
        <v>1278650</v>
      </c>
      <c r="M360" s="26">
        <v>19179750</v>
      </c>
      <c r="N360">
        <v>30138</v>
      </c>
      <c r="O360" s="26">
        <v>1595092.04</v>
      </c>
      <c r="P360" s="5" t="s">
        <v>50</v>
      </c>
      <c r="Q360" s="5" t="s">
        <v>43</v>
      </c>
      <c r="R360">
        <v>3.6</v>
      </c>
      <c r="S360">
        <v>11</v>
      </c>
      <c r="T360">
        <f t="shared" si="5"/>
        <v>0</v>
      </c>
    </row>
    <row r="361" spans="1:20">
      <c r="A361" s="4">
        <v>44419</v>
      </c>
      <c r="B361">
        <v>2021</v>
      </c>
      <c r="C361">
        <v>8</v>
      </c>
      <c r="D361" s="5" t="s">
        <v>54</v>
      </c>
      <c r="E361" s="5" t="s">
        <v>55</v>
      </c>
      <c r="F361" s="5" t="s">
        <v>55</v>
      </c>
      <c r="G361" s="5" t="s">
        <v>56</v>
      </c>
      <c r="H361" s="5" t="s">
        <v>79</v>
      </c>
      <c r="I361" s="5" t="s">
        <v>58</v>
      </c>
      <c r="J361" s="5" t="s">
        <v>49</v>
      </c>
      <c r="K361">
        <v>55</v>
      </c>
      <c r="L361">
        <v>877130</v>
      </c>
      <c r="M361" s="26">
        <v>48242150</v>
      </c>
      <c r="N361">
        <v>45474</v>
      </c>
      <c r="O361" s="26">
        <v>6275918.1900000004</v>
      </c>
      <c r="P361" s="5" t="s">
        <v>50</v>
      </c>
      <c r="Q361" s="5" t="s">
        <v>75</v>
      </c>
      <c r="R361">
        <v>4</v>
      </c>
      <c r="S361">
        <v>21</v>
      </c>
      <c r="T361">
        <f t="shared" si="5"/>
        <v>0</v>
      </c>
    </row>
    <row r="362" spans="1:20">
      <c r="A362" s="4">
        <v>44410</v>
      </c>
      <c r="B362">
        <v>2021</v>
      </c>
      <c r="C362">
        <v>8</v>
      </c>
      <c r="D362" s="5" t="s">
        <v>54</v>
      </c>
      <c r="E362" s="5" t="s">
        <v>70</v>
      </c>
      <c r="F362" s="5" t="s">
        <v>71</v>
      </c>
      <c r="G362" s="5" t="s">
        <v>72</v>
      </c>
      <c r="H362" s="5" t="s">
        <v>57</v>
      </c>
      <c r="I362" s="5" t="s">
        <v>58</v>
      </c>
      <c r="J362" s="5" t="s">
        <v>59</v>
      </c>
      <c r="K362">
        <v>32</v>
      </c>
      <c r="L362">
        <v>1416685</v>
      </c>
      <c r="M362" s="26">
        <v>45333920</v>
      </c>
      <c r="N362">
        <v>20783</v>
      </c>
      <c r="O362" s="26">
        <v>5513762.54</v>
      </c>
      <c r="P362" s="5" t="s">
        <v>42</v>
      </c>
      <c r="Q362" s="5" t="s">
        <v>75</v>
      </c>
      <c r="R362">
        <v>4.5</v>
      </c>
      <c r="S362">
        <v>2</v>
      </c>
      <c r="T362">
        <f t="shared" si="5"/>
        <v>1</v>
      </c>
    </row>
    <row r="363" spans="1:20">
      <c r="A363" s="4">
        <v>44415</v>
      </c>
      <c r="B363">
        <v>2021</v>
      </c>
      <c r="C363">
        <v>8</v>
      </c>
      <c r="D363" s="5" t="s">
        <v>35</v>
      </c>
      <c r="E363" s="5" t="s">
        <v>36</v>
      </c>
      <c r="F363" s="5" t="s">
        <v>37</v>
      </c>
      <c r="G363" s="5" t="s">
        <v>38</v>
      </c>
      <c r="H363" s="5" t="s">
        <v>65</v>
      </c>
      <c r="I363" s="5" t="s">
        <v>53</v>
      </c>
      <c r="J363" s="5" t="s">
        <v>49</v>
      </c>
      <c r="K363">
        <v>22</v>
      </c>
      <c r="L363">
        <v>1272701</v>
      </c>
      <c r="M363" s="26">
        <v>27999422</v>
      </c>
      <c r="N363">
        <v>48923</v>
      </c>
      <c r="O363" s="26">
        <v>3621680.46</v>
      </c>
      <c r="P363" s="5" t="s">
        <v>42</v>
      </c>
      <c r="Q363" s="5" t="s">
        <v>43</v>
      </c>
      <c r="R363">
        <v>4.4000000000000004</v>
      </c>
      <c r="S363">
        <v>3</v>
      </c>
      <c r="T363">
        <f t="shared" si="5"/>
        <v>1</v>
      </c>
    </row>
    <row r="364" spans="1:20">
      <c r="A364" s="4">
        <v>44430</v>
      </c>
      <c r="B364">
        <v>2021</v>
      </c>
      <c r="C364">
        <v>8</v>
      </c>
      <c r="D364" s="5" t="s">
        <v>54</v>
      </c>
      <c r="E364" s="5" t="s">
        <v>55</v>
      </c>
      <c r="F364" s="5" t="s">
        <v>55</v>
      </c>
      <c r="G364" s="5" t="s">
        <v>56</v>
      </c>
      <c r="H364" s="5" t="s">
        <v>48</v>
      </c>
      <c r="I364" s="5" t="s">
        <v>40</v>
      </c>
      <c r="J364" s="5" t="s">
        <v>49</v>
      </c>
      <c r="K364">
        <v>29</v>
      </c>
      <c r="L364">
        <v>477054</v>
      </c>
      <c r="M364" s="26">
        <v>13834566</v>
      </c>
      <c r="N364">
        <v>40483</v>
      </c>
      <c r="O364" s="26">
        <v>1863986</v>
      </c>
      <c r="P364" s="5" t="s">
        <v>50</v>
      </c>
      <c r="Q364" s="5" t="s">
        <v>43</v>
      </c>
      <c r="R364">
        <v>3.9</v>
      </c>
      <c r="S364">
        <v>3</v>
      </c>
      <c r="T364">
        <f t="shared" si="5"/>
        <v>0</v>
      </c>
    </row>
    <row r="365" spans="1:20">
      <c r="A365" s="4">
        <v>44415</v>
      </c>
      <c r="B365">
        <v>2021</v>
      </c>
      <c r="C365">
        <v>8</v>
      </c>
      <c r="D365" s="5" t="s">
        <v>35</v>
      </c>
      <c r="E365" s="5" t="s">
        <v>76</v>
      </c>
      <c r="F365" s="5" t="s">
        <v>77</v>
      </c>
      <c r="G365" s="5" t="s">
        <v>78</v>
      </c>
      <c r="H365" s="5" t="s">
        <v>52</v>
      </c>
      <c r="I365" s="5" t="s">
        <v>53</v>
      </c>
      <c r="J365" s="5" t="s">
        <v>41</v>
      </c>
      <c r="K365">
        <v>31</v>
      </c>
      <c r="L365">
        <v>958526</v>
      </c>
      <c r="M365" s="26">
        <v>29714306</v>
      </c>
      <c r="N365">
        <v>42735</v>
      </c>
      <c r="O365" s="26">
        <v>3534634.77</v>
      </c>
      <c r="P365" s="5" t="s">
        <v>50</v>
      </c>
      <c r="Q365" s="5" t="s">
        <v>43</v>
      </c>
      <c r="R365">
        <v>4.7</v>
      </c>
      <c r="S365">
        <v>14</v>
      </c>
      <c r="T365">
        <f t="shared" si="5"/>
        <v>0</v>
      </c>
    </row>
    <row r="366" spans="1:20">
      <c r="A366" s="4">
        <v>44434</v>
      </c>
      <c r="B366">
        <v>2021</v>
      </c>
      <c r="C366">
        <v>8</v>
      </c>
      <c r="D366" s="5" t="s">
        <v>35</v>
      </c>
      <c r="E366" s="5" t="s">
        <v>36</v>
      </c>
      <c r="F366" s="5" t="s">
        <v>37</v>
      </c>
      <c r="G366" s="5" t="s">
        <v>38</v>
      </c>
      <c r="H366" s="5" t="s">
        <v>85</v>
      </c>
      <c r="I366" s="5" t="s">
        <v>58</v>
      </c>
      <c r="J366" s="5" t="s">
        <v>49</v>
      </c>
      <c r="K366">
        <v>38</v>
      </c>
      <c r="L366">
        <v>1004713</v>
      </c>
      <c r="M366" s="26">
        <v>38179094</v>
      </c>
      <c r="N366">
        <v>36806</v>
      </c>
      <c r="O366" s="26">
        <v>5702227.4199999999</v>
      </c>
      <c r="P366" s="5" t="s">
        <v>42</v>
      </c>
      <c r="Q366" s="5" t="s">
        <v>51</v>
      </c>
      <c r="R366">
        <v>4.0999999999999996</v>
      </c>
      <c r="S366">
        <v>10</v>
      </c>
      <c r="T366">
        <f t="shared" si="5"/>
        <v>1</v>
      </c>
    </row>
    <row r="367" spans="1:20">
      <c r="A367" s="4">
        <v>44417</v>
      </c>
      <c r="B367">
        <v>2021</v>
      </c>
      <c r="C367">
        <v>8</v>
      </c>
      <c r="D367" s="5" t="s">
        <v>54</v>
      </c>
      <c r="E367" s="5" t="s">
        <v>55</v>
      </c>
      <c r="F367" s="5" t="s">
        <v>55</v>
      </c>
      <c r="G367" s="5" t="s">
        <v>56</v>
      </c>
      <c r="H367" s="5" t="s">
        <v>63</v>
      </c>
      <c r="I367" s="5" t="s">
        <v>64</v>
      </c>
      <c r="J367" s="5" t="s">
        <v>41</v>
      </c>
      <c r="K367">
        <v>7</v>
      </c>
      <c r="L367">
        <v>747043</v>
      </c>
      <c r="M367" s="26">
        <v>5229301</v>
      </c>
      <c r="N367">
        <v>10590</v>
      </c>
      <c r="O367" s="26">
        <v>493547</v>
      </c>
      <c r="P367" s="5" t="s">
        <v>42</v>
      </c>
      <c r="Q367" s="5" t="s">
        <v>51</v>
      </c>
      <c r="R367">
        <v>4.2</v>
      </c>
      <c r="S367">
        <v>5</v>
      </c>
      <c r="T367">
        <f t="shared" si="5"/>
        <v>1</v>
      </c>
    </row>
    <row r="368" spans="1:20">
      <c r="A368" s="4">
        <v>44413</v>
      </c>
      <c r="B368">
        <v>2021</v>
      </c>
      <c r="C368">
        <v>8</v>
      </c>
      <c r="D368" s="5" t="s">
        <v>44</v>
      </c>
      <c r="E368" s="5" t="s">
        <v>82</v>
      </c>
      <c r="F368" s="5" t="s">
        <v>83</v>
      </c>
      <c r="G368" s="5" t="s">
        <v>84</v>
      </c>
      <c r="H368" s="5" t="s">
        <v>74</v>
      </c>
      <c r="I368" s="5" t="s">
        <v>40</v>
      </c>
      <c r="J368" s="5" t="s">
        <v>49</v>
      </c>
      <c r="K368">
        <v>35</v>
      </c>
      <c r="L368">
        <v>631504</v>
      </c>
      <c r="M368" s="26">
        <v>22102640</v>
      </c>
      <c r="N368">
        <v>21673</v>
      </c>
      <c r="O368" s="26">
        <v>2738618.63</v>
      </c>
      <c r="P368" s="5" t="s">
        <v>50</v>
      </c>
      <c r="Q368" s="5" t="s">
        <v>51</v>
      </c>
      <c r="R368">
        <v>4.0999999999999996</v>
      </c>
      <c r="S368">
        <v>2</v>
      </c>
      <c r="T368">
        <f t="shared" si="5"/>
        <v>0</v>
      </c>
    </row>
    <row r="369" spans="1:20">
      <c r="A369" s="4">
        <v>44414</v>
      </c>
      <c r="B369">
        <v>2021</v>
      </c>
      <c r="C369">
        <v>8</v>
      </c>
      <c r="D369" s="5" t="s">
        <v>44</v>
      </c>
      <c r="E369" s="5" t="s">
        <v>82</v>
      </c>
      <c r="F369" s="5" t="s">
        <v>83</v>
      </c>
      <c r="G369" s="5" t="s">
        <v>84</v>
      </c>
      <c r="H369" s="5" t="s">
        <v>74</v>
      </c>
      <c r="I369" s="5" t="s">
        <v>40</v>
      </c>
      <c r="J369" s="5" t="s">
        <v>49</v>
      </c>
      <c r="K369">
        <v>51</v>
      </c>
      <c r="L369">
        <v>645012</v>
      </c>
      <c r="M369" s="26">
        <v>32895612</v>
      </c>
      <c r="N369">
        <v>27274</v>
      </c>
      <c r="O369" s="26">
        <v>2886415.15</v>
      </c>
      <c r="P369" s="5" t="s">
        <v>50</v>
      </c>
      <c r="Q369" s="5" t="s">
        <v>75</v>
      </c>
      <c r="R369">
        <v>3.8</v>
      </c>
      <c r="S369">
        <v>20</v>
      </c>
      <c r="T369">
        <f t="shared" si="5"/>
        <v>0</v>
      </c>
    </row>
    <row r="370" spans="1:20">
      <c r="A370" s="4">
        <v>44421</v>
      </c>
      <c r="B370">
        <v>2021</v>
      </c>
      <c r="C370">
        <v>8</v>
      </c>
      <c r="D370" s="5" t="s">
        <v>66</v>
      </c>
      <c r="E370" s="5" t="s">
        <v>67</v>
      </c>
      <c r="F370" s="5" t="s">
        <v>68</v>
      </c>
      <c r="G370" s="5" t="s">
        <v>69</v>
      </c>
      <c r="H370" s="5" t="s">
        <v>57</v>
      </c>
      <c r="I370" s="5" t="s">
        <v>58</v>
      </c>
      <c r="J370" s="5" t="s">
        <v>59</v>
      </c>
      <c r="K370">
        <v>41</v>
      </c>
      <c r="L370">
        <v>1417328</v>
      </c>
      <c r="M370" s="26">
        <v>58110448</v>
      </c>
      <c r="N370">
        <v>6524</v>
      </c>
      <c r="O370" s="26">
        <v>5673037.3899999997</v>
      </c>
      <c r="P370" s="5" t="s">
        <v>50</v>
      </c>
      <c r="Q370" s="5" t="s">
        <v>51</v>
      </c>
      <c r="R370">
        <v>3.5</v>
      </c>
      <c r="S370">
        <v>15</v>
      </c>
      <c r="T370">
        <f t="shared" si="5"/>
        <v>0</v>
      </c>
    </row>
    <row r="371" spans="1:20">
      <c r="A371" s="4">
        <v>44415</v>
      </c>
      <c r="B371">
        <v>2021</v>
      </c>
      <c r="C371">
        <v>8</v>
      </c>
      <c r="D371" s="5" t="s">
        <v>35</v>
      </c>
      <c r="E371" s="5" t="s">
        <v>36</v>
      </c>
      <c r="F371" s="5" t="s">
        <v>37</v>
      </c>
      <c r="G371" s="5" t="s">
        <v>38</v>
      </c>
      <c r="H371" s="5" t="s">
        <v>74</v>
      </c>
      <c r="I371" s="5" t="s">
        <v>40</v>
      </c>
      <c r="J371" s="5" t="s">
        <v>49</v>
      </c>
      <c r="K371">
        <v>52</v>
      </c>
      <c r="L371">
        <v>671095</v>
      </c>
      <c r="M371" s="26">
        <v>34896940</v>
      </c>
      <c r="N371">
        <v>30939</v>
      </c>
      <c r="O371" s="26">
        <v>4615161.95</v>
      </c>
      <c r="P371" s="5" t="s">
        <v>50</v>
      </c>
      <c r="Q371" s="5" t="s">
        <v>75</v>
      </c>
      <c r="R371">
        <v>3.6</v>
      </c>
      <c r="S371">
        <v>16</v>
      </c>
      <c r="T371">
        <f t="shared" si="5"/>
        <v>0</v>
      </c>
    </row>
    <row r="372" spans="1:20">
      <c r="A372" s="4">
        <v>44417</v>
      </c>
      <c r="B372">
        <v>2021</v>
      </c>
      <c r="C372">
        <v>8</v>
      </c>
      <c r="D372" s="5" t="s">
        <v>54</v>
      </c>
      <c r="E372" s="5" t="s">
        <v>70</v>
      </c>
      <c r="F372" s="5" t="s">
        <v>71</v>
      </c>
      <c r="G372" s="5" t="s">
        <v>72</v>
      </c>
      <c r="H372" s="5" t="s">
        <v>80</v>
      </c>
      <c r="I372" s="5" t="s">
        <v>81</v>
      </c>
      <c r="J372" s="5" t="s">
        <v>41</v>
      </c>
      <c r="K372">
        <v>47</v>
      </c>
      <c r="L372">
        <v>536393</v>
      </c>
      <c r="M372" s="26">
        <v>25210471</v>
      </c>
      <c r="N372">
        <v>17570</v>
      </c>
      <c r="O372" s="26">
        <v>3039368.44</v>
      </c>
      <c r="P372" s="5" t="s">
        <v>42</v>
      </c>
      <c r="Q372" s="5" t="s">
        <v>75</v>
      </c>
      <c r="R372">
        <v>4.5</v>
      </c>
      <c r="S372">
        <v>21</v>
      </c>
      <c r="T372">
        <f t="shared" si="5"/>
        <v>1</v>
      </c>
    </row>
    <row r="373" spans="1:20">
      <c r="A373" s="4">
        <v>44427</v>
      </c>
      <c r="B373">
        <v>2021</v>
      </c>
      <c r="C373">
        <v>8</v>
      </c>
      <c r="D373" s="5" t="s">
        <v>44</v>
      </c>
      <c r="E373" s="5" t="s">
        <v>82</v>
      </c>
      <c r="F373" s="5" t="s">
        <v>83</v>
      </c>
      <c r="G373" s="5" t="s">
        <v>84</v>
      </c>
      <c r="H373" s="5" t="s">
        <v>65</v>
      </c>
      <c r="I373" s="5" t="s">
        <v>53</v>
      </c>
      <c r="J373" s="5" t="s">
        <v>49</v>
      </c>
      <c r="K373">
        <v>14</v>
      </c>
      <c r="L373">
        <v>1266673</v>
      </c>
      <c r="M373" s="26">
        <v>17733422</v>
      </c>
      <c r="N373">
        <v>46448</v>
      </c>
      <c r="O373" s="26">
        <v>1795998.99</v>
      </c>
      <c r="P373" s="5" t="s">
        <v>42</v>
      </c>
      <c r="Q373" s="5" t="s">
        <v>51</v>
      </c>
      <c r="R373">
        <v>4.5</v>
      </c>
      <c r="S373">
        <v>8</v>
      </c>
      <c r="T373">
        <f t="shared" si="5"/>
        <v>1</v>
      </c>
    </row>
    <row r="374" spans="1:20">
      <c r="A374" s="4">
        <v>44416</v>
      </c>
      <c r="B374">
        <v>2021</v>
      </c>
      <c r="C374">
        <v>8</v>
      </c>
      <c r="D374" s="5" t="s">
        <v>54</v>
      </c>
      <c r="E374" s="5" t="s">
        <v>55</v>
      </c>
      <c r="F374" s="5" t="s">
        <v>55</v>
      </c>
      <c r="G374" s="5" t="s">
        <v>56</v>
      </c>
      <c r="H374" s="5" t="s">
        <v>73</v>
      </c>
      <c r="I374" s="5" t="s">
        <v>40</v>
      </c>
      <c r="J374" s="5" t="s">
        <v>49</v>
      </c>
      <c r="K374">
        <v>18</v>
      </c>
      <c r="L374">
        <v>708066</v>
      </c>
      <c r="M374" s="26">
        <v>12745188</v>
      </c>
      <c r="N374">
        <v>16057</v>
      </c>
      <c r="O374" s="26">
        <v>1772299.29</v>
      </c>
      <c r="P374" s="5" t="s">
        <v>50</v>
      </c>
      <c r="Q374" s="5" t="s">
        <v>51</v>
      </c>
      <c r="R374">
        <v>4.5</v>
      </c>
      <c r="S374">
        <v>21</v>
      </c>
      <c r="T374">
        <f t="shared" si="5"/>
        <v>0</v>
      </c>
    </row>
    <row r="375" spans="1:20">
      <c r="A375" s="4">
        <v>44421</v>
      </c>
      <c r="B375">
        <v>2021</v>
      </c>
      <c r="C375">
        <v>8</v>
      </c>
      <c r="D375" s="5" t="s">
        <v>35</v>
      </c>
      <c r="E375" s="5" t="s">
        <v>76</v>
      </c>
      <c r="F375" s="5" t="s">
        <v>77</v>
      </c>
      <c r="G375" s="5" t="s">
        <v>78</v>
      </c>
      <c r="H375" s="5" t="s">
        <v>79</v>
      </c>
      <c r="I375" s="5" t="s">
        <v>58</v>
      </c>
      <c r="J375" s="5" t="s">
        <v>49</v>
      </c>
      <c r="K375">
        <v>21</v>
      </c>
      <c r="L375">
        <v>886876</v>
      </c>
      <c r="M375" s="26">
        <v>18624396</v>
      </c>
      <c r="N375">
        <v>18911</v>
      </c>
      <c r="O375" s="26">
        <v>2436396.88</v>
      </c>
      <c r="P375" s="5" t="s">
        <v>50</v>
      </c>
      <c r="Q375" s="5" t="s">
        <v>75</v>
      </c>
      <c r="R375">
        <v>4.8</v>
      </c>
      <c r="S375">
        <v>17</v>
      </c>
      <c r="T375">
        <f t="shared" si="5"/>
        <v>0</v>
      </c>
    </row>
    <row r="376" spans="1:20">
      <c r="A376" s="4">
        <v>44420</v>
      </c>
      <c r="B376">
        <v>2021</v>
      </c>
      <c r="C376">
        <v>8</v>
      </c>
      <c r="D376" s="5" t="s">
        <v>66</v>
      </c>
      <c r="E376" s="5" t="s">
        <v>67</v>
      </c>
      <c r="F376" s="5" t="s">
        <v>68</v>
      </c>
      <c r="G376" s="5" t="s">
        <v>69</v>
      </c>
      <c r="H376" s="5" t="s">
        <v>63</v>
      </c>
      <c r="I376" s="5" t="s">
        <v>64</v>
      </c>
      <c r="J376" s="5" t="s">
        <v>41</v>
      </c>
      <c r="K376">
        <v>59</v>
      </c>
      <c r="L376">
        <v>754022</v>
      </c>
      <c r="M376" s="26">
        <v>44487298</v>
      </c>
      <c r="N376">
        <v>31587</v>
      </c>
      <c r="O376" s="26">
        <v>6330602.8399999999</v>
      </c>
      <c r="P376" s="5" t="s">
        <v>50</v>
      </c>
      <c r="Q376" s="5" t="s">
        <v>43</v>
      </c>
      <c r="R376">
        <v>4.9000000000000004</v>
      </c>
      <c r="S376">
        <v>10</v>
      </c>
      <c r="T376">
        <f t="shared" si="5"/>
        <v>0</v>
      </c>
    </row>
    <row r="377" spans="1:20">
      <c r="A377" s="4">
        <v>44421</v>
      </c>
      <c r="B377">
        <v>2021</v>
      </c>
      <c r="C377">
        <v>8</v>
      </c>
      <c r="D377" s="5" t="s">
        <v>35</v>
      </c>
      <c r="E377" s="5" t="s">
        <v>60</v>
      </c>
      <c r="F377" s="5" t="s">
        <v>61</v>
      </c>
      <c r="G377" s="5" t="s">
        <v>62</v>
      </c>
      <c r="H377" s="5" t="s">
        <v>39</v>
      </c>
      <c r="I377" s="5" t="s">
        <v>40</v>
      </c>
      <c r="J377" s="5" t="s">
        <v>41</v>
      </c>
      <c r="K377">
        <v>14</v>
      </c>
      <c r="L377">
        <v>601455</v>
      </c>
      <c r="M377" s="26">
        <v>8420370</v>
      </c>
      <c r="N377">
        <v>43017</v>
      </c>
      <c r="O377" s="26">
        <v>913836.79</v>
      </c>
      <c r="P377" s="5" t="s">
        <v>50</v>
      </c>
      <c r="Q377" s="5" t="s">
        <v>75</v>
      </c>
      <c r="R377">
        <v>3.9</v>
      </c>
      <c r="S377">
        <v>17</v>
      </c>
      <c r="T377">
        <f t="shared" si="5"/>
        <v>0</v>
      </c>
    </row>
    <row r="378" spans="1:20">
      <c r="A378" s="4">
        <v>44435</v>
      </c>
      <c r="B378">
        <v>2021</v>
      </c>
      <c r="C378">
        <v>8</v>
      </c>
      <c r="D378" s="5" t="s">
        <v>35</v>
      </c>
      <c r="E378" s="5" t="s">
        <v>76</v>
      </c>
      <c r="F378" s="5" t="s">
        <v>77</v>
      </c>
      <c r="G378" s="5" t="s">
        <v>78</v>
      </c>
      <c r="H378" s="5" t="s">
        <v>48</v>
      </c>
      <c r="I378" s="5" t="s">
        <v>40</v>
      </c>
      <c r="J378" s="5" t="s">
        <v>49</v>
      </c>
      <c r="K378">
        <v>60</v>
      </c>
      <c r="L378">
        <v>440153</v>
      </c>
      <c r="M378" s="26">
        <v>26409180</v>
      </c>
      <c r="N378">
        <v>7638</v>
      </c>
      <c r="O378" s="26">
        <v>2680808.92</v>
      </c>
      <c r="P378" s="5" t="s">
        <v>50</v>
      </c>
      <c r="Q378" s="5" t="s">
        <v>51</v>
      </c>
      <c r="R378">
        <v>4.5</v>
      </c>
      <c r="S378">
        <v>17</v>
      </c>
      <c r="T378">
        <f t="shared" si="5"/>
        <v>0</v>
      </c>
    </row>
    <row r="379" spans="1:20">
      <c r="A379" s="4">
        <v>44432</v>
      </c>
      <c r="B379">
        <v>2021</v>
      </c>
      <c r="C379">
        <v>8</v>
      </c>
      <c r="D379" s="5" t="s">
        <v>66</v>
      </c>
      <c r="E379" s="5" t="s">
        <v>67</v>
      </c>
      <c r="F379" s="5" t="s">
        <v>68</v>
      </c>
      <c r="G379" s="5" t="s">
        <v>69</v>
      </c>
      <c r="H379" s="5" t="s">
        <v>79</v>
      </c>
      <c r="I379" s="5" t="s">
        <v>58</v>
      </c>
      <c r="J379" s="5" t="s">
        <v>49</v>
      </c>
      <c r="K379">
        <v>32</v>
      </c>
      <c r="L379">
        <v>919429</v>
      </c>
      <c r="M379" s="26">
        <v>29421728</v>
      </c>
      <c r="N379">
        <v>29027</v>
      </c>
      <c r="O379" s="26">
        <v>4549201.1900000004</v>
      </c>
      <c r="P379" s="5" t="s">
        <v>42</v>
      </c>
      <c r="Q379" s="5" t="s">
        <v>75</v>
      </c>
      <c r="R379">
        <v>4.5999999999999996</v>
      </c>
      <c r="S379">
        <v>14</v>
      </c>
      <c r="T379">
        <f t="shared" si="5"/>
        <v>1</v>
      </c>
    </row>
    <row r="380" spans="1:20">
      <c r="A380" s="4">
        <v>44420</v>
      </c>
      <c r="B380">
        <v>2021</v>
      </c>
      <c r="C380">
        <v>8</v>
      </c>
      <c r="D380" s="5" t="s">
        <v>44</v>
      </c>
      <c r="E380" s="5" t="s">
        <v>82</v>
      </c>
      <c r="F380" s="5" t="s">
        <v>83</v>
      </c>
      <c r="G380" s="5" t="s">
        <v>84</v>
      </c>
      <c r="H380" s="5" t="s">
        <v>73</v>
      </c>
      <c r="I380" s="5" t="s">
        <v>40</v>
      </c>
      <c r="J380" s="5" t="s">
        <v>49</v>
      </c>
      <c r="K380">
        <v>10</v>
      </c>
      <c r="L380">
        <v>737633</v>
      </c>
      <c r="M380" s="26">
        <v>7376330</v>
      </c>
      <c r="N380">
        <v>15556</v>
      </c>
      <c r="O380" s="26">
        <v>1006718.65</v>
      </c>
      <c r="P380" s="5" t="s">
        <v>42</v>
      </c>
      <c r="Q380" s="5" t="s">
        <v>51</v>
      </c>
      <c r="R380">
        <v>4.0999999999999996</v>
      </c>
      <c r="S380">
        <v>14</v>
      </c>
      <c r="T380">
        <f t="shared" si="5"/>
        <v>1</v>
      </c>
    </row>
    <row r="381" spans="1:20">
      <c r="A381" s="4">
        <v>44436</v>
      </c>
      <c r="B381">
        <v>2021</v>
      </c>
      <c r="C381">
        <v>8</v>
      </c>
      <c r="D381" s="5" t="s">
        <v>54</v>
      </c>
      <c r="E381" s="5" t="s">
        <v>55</v>
      </c>
      <c r="F381" s="5" t="s">
        <v>55</v>
      </c>
      <c r="G381" s="5" t="s">
        <v>56</v>
      </c>
      <c r="H381" s="5" t="s">
        <v>79</v>
      </c>
      <c r="I381" s="5" t="s">
        <v>58</v>
      </c>
      <c r="J381" s="5" t="s">
        <v>49</v>
      </c>
      <c r="K381">
        <v>43</v>
      </c>
      <c r="L381">
        <v>883177</v>
      </c>
      <c r="M381" s="26">
        <v>37976611</v>
      </c>
      <c r="N381">
        <v>12384</v>
      </c>
      <c r="O381" s="26">
        <v>6071531.5</v>
      </c>
      <c r="P381" s="5" t="s">
        <v>42</v>
      </c>
      <c r="Q381" s="5" t="s">
        <v>43</v>
      </c>
      <c r="R381">
        <v>3.8</v>
      </c>
      <c r="S381">
        <v>6</v>
      </c>
      <c r="T381">
        <f t="shared" si="5"/>
        <v>1</v>
      </c>
    </row>
    <row r="382" spans="1:20">
      <c r="A382" s="4">
        <v>44423</v>
      </c>
      <c r="B382">
        <v>2021</v>
      </c>
      <c r="C382">
        <v>8</v>
      </c>
      <c r="D382" s="5" t="s">
        <v>35</v>
      </c>
      <c r="E382" s="5" t="s">
        <v>76</v>
      </c>
      <c r="F382" s="5" t="s">
        <v>77</v>
      </c>
      <c r="G382" s="5" t="s">
        <v>78</v>
      </c>
      <c r="H382" s="5" t="s">
        <v>39</v>
      </c>
      <c r="I382" s="5" t="s">
        <v>40</v>
      </c>
      <c r="J382" s="5" t="s">
        <v>41</v>
      </c>
      <c r="K382">
        <v>11</v>
      </c>
      <c r="L382">
        <v>595391</v>
      </c>
      <c r="M382" s="26">
        <v>6549301</v>
      </c>
      <c r="N382">
        <v>27732</v>
      </c>
      <c r="O382" s="26">
        <v>693255.43</v>
      </c>
      <c r="P382" s="5" t="s">
        <v>50</v>
      </c>
      <c r="Q382" s="5" t="s">
        <v>43</v>
      </c>
      <c r="R382">
        <v>4.4000000000000004</v>
      </c>
      <c r="S382">
        <v>17</v>
      </c>
      <c r="T382">
        <f t="shared" si="5"/>
        <v>0</v>
      </c>
    </row>
    <row r="383" spans="1:20">
      <c r="A383" s="4">
        <v>44413</v>
      </c>
      <c r="B383">
        <v>2021</v>
      </c>
      <c r="C383">
        <v>8</v>
      </c>
      <c r="D383" s="5" t="s">
        <v>35</v>
      </c>
      <c r="E383" s="5" t="s">
        <v>36</v>
      </c>
      <c r="F383" s="5" t="s">
        <v>37</v>
      </c>
      <c r="G383" s="5" t="s">
        <v>38</v>
      </c>
      <c r="H383" s="5" t="s">
        <v>74</v>
      </c>
      <c r="I383" s="5" t="s">
        <v>40</v>
      </c>
      <c r="J383" s="5" t="s">
        <v>49</v>
      </c>
      <c r="K383">
        <v>37</v>
      </c>
      <c r="L383">
        <v>633004</v>
      </c>
      <c r="M383" s="26">
        <v>23421148</v>
      </c>
      <c r="N383">
        <v>49555</v>
      </c>
      <c r="O383" s="26">
        <v>2342079.04</v>
      </c>
      <c r="P383" s="5" t="s">
        <v>50</v>
      </c>
      <c r="Q383" s="5" t="s">
        <v>43</v>
      </c>
      <c r="R383">
        <v>5</v>
      </c>
      <c r="S383">
        <v>19</v>
      </c>
      <c r="T383">
        <f t="shared" si="5"/>
        <v>0</v>
      </c>
    </row>
    <row r="384" spans="1:20">
      <c r="A384" s="4">
        <v>44418</v>
      </c>
      <c r="B384">
        <v>2021</v>
      </c>
      <c r="C384">
        <v>8</v>
      </c>
      <c r="D384" s="5" t="s">
        <v>54</v>
      </c>
      <c r="E384" s="5" t="s">
        <v>55</v>
      </c>
      <c r="F384" s="5" t="s">
        <v>55</v>
      </c>
      <c r="G384" s="5" t="s">
        <v>56</v>
      </c>
      <c r="H384" s="5" t="s">
        <v>74</v>
      </c>
      <c r="I384" s="5" t="s">
        <v>40</v>
      </c>
      <c r="J384" s="5" t="s">
        <v>49</v>
      </c>
      <c r="K384">
        <v>28</v>
      </c>
      <c r="L384">
        <v>638708</v>
      </c>
      <c r="M384" s="26">
        <v>17883824</v>
      </c>
      <c r="N384">
        <v>19064</v>
      </c>
      <c r="O384" s="26">
        <v>1508561.85</v>
      </c>
      <c r="P384" s="5" t="s">
        <v>50</v>
      </c>
      <c r="Q384" s="5" t="s">
        <v>75</v>
      </c>
      <c r="R384">
        <v>3.6</v>
      </c>
      <c r="S384">
        <v>7</v>
      </c>
      <c r="T384">
        <f t="shared" si="5"/>
        <v>0</v>
      </c>
    </row>
    <row r="385" spans="1:20">
      <c r="A385" s="4">
        <v>44415</v>
      </c>
      <c r="B385">
        <v>2021</v>
      </c>
      <c r="C385">
        <v>8</v>
      </c>
      <c r="D385" s="5" t="s">
        <v>66</v>
      </c>
      <c r="E385" s="5" t="s">
        <v>67</v>
      </c>
      <c r="F385" s="5" t="s">
        <v>68</v>
      </c>
      <c r="G385" s="5" t="s">
        <v>69</v>
      </c>
      <c r="H385" s="5" t="s">
        <v>63</v>
      </c>
      <c r="I385" s="5" t="s">
        <v>64</v>
      </c>
      <c r="J385" s="5" t="s">
        <v>41</v>
      </c>
      <c r="K385">
        <v>53</v>
      </c>
      <c r="L385">
        <v>783107</v>
      </c>
      <c r="M385" s="26">
        <v>41504671</v>
      </c>
      <c r="N385">
        <v>13567</v>
      </c>
      <c r="O385" s="26">
        <v>3562602.06</v>
      </c>
      <c r="P385" s="5" t="s">
        <v>50</v>
      </c>
      <c r="Q385" s="5" t="s">
        <v>51</v>
      </c>
      <c r="R385">
        <v>4.0999999999999996</v>
      </c>
      <c r="S385">
        <v>14</v>
      </c>
      <c r="T385">
        <f t="shared" si="5"/>
        <v>0</v>
      </c>
    </row>
    <row r="386" spans="1:20">
      <c r="A386" s="4">
        <v>44411</v>
      </c>
      <c r="B386">
        <v>2021</v>
      </c>
      <c r="C386">
        <v>8</v>
      </c>
      <c r="D386" s="5" t="s">
        <v>35</v>
      </c>
      <c r="E386" s="5" t="s">
        <v>60</v>
      </c>
      <c r="F386" s="5" t="s">
        <v>61</v>
      </c>
      <c r="G386" s="5" t="s">
        <v>62</v>
      </c>
      <c r="H386" s="5" t="s">
        <v>86</v>
      </c>
      <c r="I386" s="5" t="s">
        <v>40</v>
      </c>
      <c r="J386" s="5" t="s">
        <v>41</v>
      </c>
      <c r="K386">
        <v>43</v>
      </c>
      <c r="L386">
        <v>574223</v>
      </c>
      <c r="M386" s="26">
        <v>24691589</v>
      </c>
      <c r="N386">
        <v>37670</v>
      </c>
      <c r="O386" s="26">
        <v>2454895</v>
      </c>
      <c r="P386" s="5" t="s">
        <v>50</v>
      </c>
      <c r="Q386" s="5" t="s">
        <v>75</v>
      </c>
      <c r="R386">
        <v>4.8</v>
      </c>
      <c r="S386">
        <v>21</v>
      </c>
      <c r="T386">
        <f t="shared" ref="T386:T449" si="6">IF(AND(OR($B386=Sel_Year,Sel_Year="All"),OR($C386=Sel_Month,Sel_Month="All"),OR($D386=Sel_Region,Sel_Region="All"),OR($E386=Sel_State,Sel_State="All"),OR($F386=Sel_City,Sel_City="All"),OR($G386=Sel_Dealer,Sel_Dealer="All"),OR($H386=Sel_Model,Sel_Model="All"),OR($I386=Sel_Segment,Sel_Segment="All"),OR($J386=Sel_Fuel,Sel_Fuel="All"),OR($P386=Sel_CustType,Sel_CustType="All"),OR($Q386=Sel_Payment,Sel_Payment="All")),1,0)</f>
        <v>0</v>
      </c>
    </row>
    <row r="387" spans="1:20">
      <c r="A387" s="4">
        <v>44411</v>
      </c>
      <c r="B387">
        <v>2021</v>
      </c>
      <c r="C387">
        <v>8</v>
      </c>
      <c r="D387" s="5" t="s">
        <v>35</v>
      </c>
      <c r="E387" s="5" t="s">
        <v>36</v>
      </c>
      <c r="F387" s="5" t="s">
        <v>37</v>
      </c>
      <c r="G387" s="5" t="s">
        <v>38</v>
      </c>
      <c r="H387" s="5" t="s">
        <v>57</v>
      </c>
      <c r="I387" s="5" t="s">
        <v>58</v>
      </c>
      <c r="J387" s="5" t="s">
        <v>59</v>
      </c>
      <c r="K387">
        <v>21</v>
      </c>
      <c r="L387">
        <v>1374277</v>
      </c>
      <c r="M387" s="26">
        <v>28859817</v>
      </c>
      <c r="N387">
        <v>42622</v>
      </c>
      <c r="O387" s="26">
        <v>4426279.68</v>
      </c>
      <c r="P387" s="5" t="s">
        <v>42</v>
      </c>
      <c r="Q387" s="5" t="s">
        <v>51</v>
      </c>
      <c r="R387">
        <v>3.9</v>
      </c>
      <c r="S387">
        <v>20</v>
      </c>
      <c r="T387">
        <f t="shared" si="6"/>
        <v>1</v>
      </c>
    </row>
    <row r="388" spans="1:20">
      <c r="A388" s="4">
        <v>44416</v>
      </c>
      <c r="B388">
        <v>2021</v>
      </c>
      <c r="C388">
        <v>8</v>
      </c>
      <c r="D388" s="5" t="s">
        <v>35</v>
      </c>
      <c r="E388" s="5" t="s">
        <v>60</v>
      </c>
      <c r="F388" s="5" t="s">
        <v>61</v>
      </c>
      <c r="G388" s="5" t="s">
        <v>62</v>
      </c>
      <c r="H388" s="5" t="s">
        <v>79</v>
      </c>
      <c r="I388" s="5" t="s">
        <v>58</v>
      </c>
      <c r="J388" s="5" t="s">
        <v>49</v>
      </c>
      <c r="K388">
        <v>55</v>
      </c>
      <c r="L388">
        <v>906491</v>
      </c>
      <c r="M388" s="26">
        <v>49857005</v>
      </c>
      <c r="N388">
        <v>42729</v>
      </c>
      <c r="O388" s="26">
        <v>6821513.9400000004</v>
      </c>
      <c r="P388" s="5" t="s">
        <v>50</v>
      </c>
      <c r="Q388" s="5" t="s">
        <v>51</v>
      </c>
      <c r="R388">
        <v>4.4000000000000004</v>
      </c>
      <c r="S388">
        <v>15</v>
      </c>
      <c r="T388">
        <f t="shared" si="6"/>
        <v>0</v>
      </c>
    </row>
    <row r="389" spans="1:20">
      <c r="A389" s="4">
        <v>44421</v>
      </c>
      <c r="B389">
        <v>2021</v>
      </c>
      <c r="C389">
        <v>8</v>
      </c>
      <c r="D389" s="5" t="s">
        <v>66</v>
      </c>
      <c r="E389" s="5" t="s">
        <v>67</v>
      </c>
      <c r="F389" s="5" t="s">
        <v>68</v>
      </c>
      <c r="G389" s="5" t="s">
        <v>69</v>
      </c>
      <c r="H389" s="5" t="s">
        <v>52</v>
      </c>
      <c r="I389" s="5" t="s">
        <v>53</v>
      </c>
      <c r="J389" s="5" t="s">
        <v>41</v>
      </c>
      <c r="K389">
        <v>19</v>
      </c>
      <c r="L389">
        <v>949082</v>
      </c>
      <c r="M389" s="26">
        <v>18032558</v>
      </c>
      <c r="N389">
        <v>49254</v>
      </c>
      <c r="O389" s="26">
        <v>2253695.61</v>
      </c>
      <c r="P389" s="5" t="s">
        <v>42</v>
      </c>
      <c r="Q389" s="5" t="s">
        <v>51</v>
      </c>
      <c r="R389">
        <v>4.4000000000000004</v>
      </c>
      <c r="S389">
        <v>7</v>
      </c>
      <c r="T389">
        <f t="shared" si="6"/>
        <v>1</v>
      </c>
    </row>
    <row r="390" spans="1:20">
      <c r="A390" s="4">
        <v>44430</v>
      </c>
      <c r="B390">
        <v>2021</v>
      </c>
      <c r="C390">
        <v>8</v>
      </c>
      <c r="D390" s="5" t="s">
        <v>54</v>
      </c>
      <c r="E390" s="5" t="s">
        <v>55</v>
      </c>
      <c r="F390" s="5" t="s">
        <v>55</v>
      </c>
      <c r="G390" s="5" t="s">
        <v>56</v>
      </c>
      <c r="H390" s="5" t="s">
        <v>74</v>
      </c>
      <c r="I390" s="5" t="s">
        <v>40</v>
      </c>
      <c r="J390" s="5" t="s">
        <v>49</v>
      </c>
      <c r="K390">
        <v>28</v>
      </c>
      <c r="L390">
        <v>676556</v>
      </c>
      <c r="M390" s="26">
        <v>18943568</v>
      </c>
      <c r="N390">
        <v>45569</v>
      </c>
      <c r="O390" s="26">
        <v>2217711.21</v>
      </c>
      <c r="P390" s="5" t="s">
        <v>42</v>
      </c>
      <c r="Q390" s="5" t="s">
        <v>51</v>
      </c>
      <c r="R390">
        <v>4.0999999999999996</v>
      </c>
      <c r="S390">
        <v>6</v>
      </c>
      <c r="T390">
        <f t="shared" si="6"/>
        <v>1</v>
      </c>
    </row>
    <row r="391" spans="1:20">
      <c r="A391" s="4">
        <v>44415</v>
      </c>
      <c r="B391">
        <v>2021</v>
      </c>
      <c r="C391">
        <v>8</v>
      </c>
      <c r="D391" s="5" t="s">
        <v>35</v>
      </c>
      <c r="E391" s="5" t="s">
        <v>60</v>
      </c>
      <c r="F391" s="5" t="s">
        <v>61</v>
      </c>
      <c r="G391" s="5" t="s">
        <v>62</v>
      </c>
      <c r="H391" s="5" t="s">
        <v>85</v>
      </c>
      <c r="I391" s="5" t="s">
        <v>58</v>
      </c>
      <c r="J391" s="5" t="s">
        <v>49</v>
      </c>
      <c r="K391">
        <v>39</v>
      </c>
      <c r="L391">
        <v>981276</v>
      </c>
      <c r="M391" s="26">
        <v>38269764</v>
      </c>
      <c r="N391">
        <v>40124</v>
      </c>
      <c r="O391" s="26">
        <v>3925461.11</v>
      </c>
      <c r="P391" s="5" t="s">
        <v>50</v>
      </c>
      <c r="Q391" s="5" t="s">
        <v>51</v>
      </c>
      <c r="R391">
        <v>3.8</v>
      </c>
      <c r="S391">
        <v>5</v>
      </c>
      <c r="T391">
        <f t="shared" si="6"/>
        <v>0</v>
      </c>
    </row>
    <row r="392" spans="1:20">
      <c r="A392" s="4">
        <v>44430</v>
      </c>
      <c r="B392">
        <v>2021</v>
      </c>
      <c r="C392">
        <v>8</v>
      </c>
      <c r="D392" s="5" t="s">
        <v>44</v>
      </c>
      <c r="E392" s="5" t="s">
        <v>45</v>
      </c>
      <c r="F392" s="5" t="s">
        <v>46</v>
      </c>
      <c r="G392" s="5" t="s">
        <v>47</v>
      </c>
      <c r="H392" s="5" t="s">
        <v>80</v>
      </c>
      <c r="I392" s="5" t="s">
        <v>81</v>
      </c>
      <c r="J392" s="5" t="s">
        <v>41</v>
      </c>
      <c r="K392">
        <v>19</v>
      </c>
      <c r="L392">
        <v>575471</v>
      </c>
      <c r="M392" s="26">
        <v>10933949</v>
      </c>
      <c r="N392">
        <v>32814</v>
      </c>
      <c r="O392" s="26">
        <v>1322616.47</v>
      </c>
      <c r="P392" s="5" t="s">
        <v>42</v>
      </c>
      <c r="Q392" s="5" t="s">
        <v>43</v>
      </c>
      <c r="R392">
        <v>4.5999999999999996</v>
      </c>
      <c r="S392">
        <v>14</v>
      </c>
      <c r="T392">
        <f t="shared" si="6"/>
        <v>1</v>
      </c>
    </row>
    <row r="393" spans="1:20">
      <c r="A393" s="4">
        <v>44428</v>
      </c>
      <c r="B393">
        <v>2021</v>
      </c>
      <c r="C393">
        <v>8</v>
      </c>
      <c r="D393" s="5" t="s">
        <v>35</v>
      </c>
      <c r="E393" s="5" t="s">
        <v>76</v>
      </c>
      <c r="F393" s="5" t="s">
        <v>77</v>
      </c>
      <c r="G393" s="5" t="s">
        <v>78</v>
      </c>
      <c r="H393" s="5" t="s">
        <v>80</v>
      </c>
      <c r="I393" s="5" t="s">
        <v>81</v>
      </c>
      <c r="J393" s="5" t="s">
        <v>41</v>
      </c>
      <c r="K393">
        <v>49</v>
      </c>
      <c r="L393">
        <v>523501</v>
      </c>
      <c r="M393" s="26">
        <v>25651549</v>
      </c>
      <c r="N393">
        <v>25249</v>
      </c>
      <c r="O393" s="26">
        <v>3584954.2</v>
      </c>
      <c r="P393" s="5" t="s">
        <v>50</v>
      </c>
      <c r="Q393" s="5" t="s">
        <v>43</v>
      </c>
      <c r="R393">
        <v>3.5</v>
      </c>
      <c r="S393">
        <v>16</v>
      </c>
      <c r="T393">
        <f t="shared" si="6"/>
        <v>0</v>
      </c>
    </row>
    <row r="394" spans="1:20">
      <c r="A394" s="4">
        <v>44410</v>
      </c>
      <c r="B394">
        <v>2021</v>
      </c>
      <c r="C394">
        <v>8</v>
      </c>
      <c r="D394" s="5" t="s">
        <v>54</v>
      </c>
      <c r="E394" s="5" t="s">
        <v>70</v>
      </c>
      <c r="F394" s="5" t="s">
        <v>71</v>
      </c>
      <c r="G394" s="5" t="s">
        <v>72</v>
      </c>
      <c r="H394" s="5" t="s">
        <v>79</v>
      </c>
      <c r="I394" s="5" t="s">
        <v>58</v>
      </c>
      <c r="J394" s="5" t="s">
        <v>49</v>
      </c>
      <c r="K394">
        <v>20</v>
      </c>
      <c r="L394">
        <v>912434</v>
      </c>
      <c r="M394" s="26">
        <v>18248680</v>
      </c>
      <c r="N394">
        <v>11898</v>
      </c>
      <c r="O394" s="26">
        <v>1706066.38</v>
      </c>
      <c r="P394" s="5" t="s">
        <v>42</v>
      </c>
      <c r="Q394" s="5" t="s">
        <v>75</v>
      </c>
      <c r="R394">
        <v>4.9000000000000004</v>
      </c>
      <c r="S394">
        <v>2</v>
      </c>
      <c r="T394">
        <f t="shared" si="6"/>
        <v>1</v>
      </c>
    </row>
    <row r="395" spans="1:20">
      <c r="A395" s="4">
        <v>44429</v>
      </c>
      <c r="B395">
        <v>2021</v>
      </c>
      <c r="C395">
        <v>8</v>
      </c>
      <c r="D395" s="5" t="s">
        <v>35</v>
      </c>
      <c r="E395" s="5" t="s">
        <v>60</v>
      </c>
      <c r="F395" s="5" t="s">
        <v>61</v>
      </c>
      <c r="G395" s="5" t="s">
        <v>62</v>
      </c>
      <c r="H395" s="5" t="s">
        <v>48</v>
      </c>
      <c r="I395" s="5" t="s">
        <v>40</v>
      </c>
      <c r="J395" s="5" t="s">
        <v>49</v>
      </c>
      <c r="K395">
        <v>28</v>
      </c>
      <c r="L395">
        <v>455994</v>
      </c>
      <c r="M395" s="26">
        <v>12767832</v>
      </c>
      <c r="N395">
        <v>32952</v>
      </c>
      <c r="O395" s="26">
        <v>1050812.68</v>
      </c>
      <c r="P395" s="5" t="s">
        <v>42</v>
      </c>
      <c r="Q395" s="5" t="s">
        <v>43</v>
      </c>
      <c r="R395">
        <v>4.9000000000000004</v>
      </c>
      <c r="S395">
        <v>18</v>
      </c>
      <c r="T395">
        <f t="shared" si="6"/>
        <v>1</v>
      </c>
    </row>
    <row r="396" spans="1:20">
      <c r="A396" s="4">
        <v>44429</v>
      </c>
      <c r="B396">
        <v>2021</v>
      </c>
      <c r="C396">
        <v>8</v>
      </c>
      <c r="D396" s="5" t="s">
        <v>54</v>
      </c>
      <c r="E396" s="5" t="s">
        <v>55</v>
      </c>
      <c r="F396" s="5" t="s">
        <v>55</v>
      </c>
      <c r="G396" s="5" t="s">
        <v>56</v>
      </c>
      <c r="H396" s="5" t="s">
        <v>57</v>
      </c>
      <c r="I396" s="5" t="s">
        <v>58</v>
      </c>
      <c r="J396" s="5" t="s">
        <v>59</v>
      </c>
      <c r="K396">
        <v>45</v>
      </c>
      <c r="L396">
        <v>1372830</v>
      </c>
      <c r="M396" s="26">
        <v>61777350</v>
      </c>
      <c r="N396">
        <v>47804</v>
      </c>
      <c r="O396" s="26">
        <v>9309725.8699999992</v>
      </c>
      <c r="P396" s="5" t="s">
        <v>42</v>
      </c>
      <c r="Q396" s="5" t="s">
        <v>75</v>
      </c>
      <c r="R396">
        <v>5</v>
      </c>
      <c r="S396">
        <v>6</v>
      </c>
      <c r="T396">
        <f t="shared" si="6"/>
        <v>1</v>
      </c>
    </row>
    <row r="397" spans="1:20">
      <c r="A397" s="4">
        <v>44425</v>
      </c>
      <c r="B397">
        <v>2021</v>
      </c>
      <c r="C397">
        <v>8</v>
      </c>
      <c r="D397" s="5" t="s">
        <v>35</v>
      </c>
      <c r="E397" s="5" t="s">
        <v>60</v>
      </c>
      <c r="F397" s="5" t="s">
        <v>61</v>
      </c>
      <c r="G397" s="5" t="s">
        <v>62</v>
      </c>
      <c r="H397" s="5" t="s">
        <v>65</v>
      </c>
      <c r="I397" s="5" t="s">
        <v>53</v>
      </c>
      <c r="J397" s="5" t="s">
        <v>49</v>
      </c>
      <c r="K397">
        <v>16</v>
      </c>
      <c r="L397">
        <v>1249627</v>
      </c>
      <c r="M397" s="26">
        <v>19994032</v>
      </c>
      <c r="N397">
        <v>14592</v>
      </c>
      <c r="O397" s="26">
        <v>1829157.39</v>
      </c>
      <c r="P397" s="5" t="s">
        <v>42</v>
      </c>
      <c r="Q397" s="5" t="s">
        <v>51</v>
      </c>
      <c r="R397">
        <v>3.6</v>
      </c>
      <c r="S397">
        <v>5</v>
      </c>
      <c r="T397">
        <f t="shared" si="6"/>
        <v>1</v>
      </c>
    </row>
    <row r="398" spans="1:20">
      <c r="A398" s="4">
        <v>44410</v>
      </c>
      <c r="B398">
        <v>2021</v>
      </c>
      <c r="C398">
        <v>8</v>
      </c>
      <c r="D398" s="5" t="s">
        <v>44</v>
      </c>
      <c r="E398" s="5" t="s">
        <v>45</v>
      </c>
      <c r="F398" s="5" t="s">
        <v>46</v>
      </c>
      <c r="G398" s="5" t="s">
        <v>47</v>
      </c>
      <c r="H398" s="5" t="s">
        <v>65</v>
      </c>
      <c r="I398" s="5" t="s">
        <v>53</v>
      </c>
      <c r="J398" s="5" t="s">
        <v>49</v>
      </c>
      <c r="K398">
        <v>29</v>
      </c>
      <c r="L398">
        <v>1274956</v>
      </c>
      <c r="M398" s="26">
        <v>36973724</v>
      </c>
      <c r="N398">
        <v>36715</v>
      </c>
      <c r="O398" s="26">
        <v>4042336.53</v>
      </c>
      <c r="P398" s="5" t="s">
        <v>42</v>
      </c>
      <c r="Q398" s="5" t="s">
        <v>75</v>
      </c>
      <c r="R398">
        <v>4.9000000000000004</v>
      </c>
      <c r="S398">
        <v>8</v>
      </c>
      <c r="T398">
        <f t="shared" si="6"/>
        <v>1</v>
      </c>
    </row>
    <row r="399" spans="1:20">
      <c r="A399" s="4">
        <v>44431</v>
      </c>
      <c r="B399">
        <v>2021</v>
      </c>
      <c r="C399">
        <v>8</v>
      </c>
      <c r="D399" s="5" t="s">
        <v>35</v>
      </c>
      <c r="E399" s="5" t="s">
        <v>36</v>
      </c>
      <c r="F399" s="5" t="s">
        <v>37</v>
      </c>
      <c r="G399" s="5" t="s">
        <v>38</v>
      </c>
      <c r="H399" s="5" t="s">
        <v>85</v>
      </c>
      <c r="I399" s="5" t="s">
        <v>58</v>
      </c>
      <c r="J399" s="5" t="s">
        <v>49</v>
      </c>
      <c r="K399">
        <v>17</v>
      </c>
      <c r="L399">
        <v>984742</v>
      </c>
      <c r="M399" s="26">
        <v>16740614</v>
      </c>
      <c r="N399">
        <v>48749</v>
      </c>
      <c r="O399" s="26">
        <v>1792692.02</v>
      </c>
      <c r="P399" s="5" t="s">
        <v>42</v>
      </c>
      <c r="Q399" s="5" t="s">
        <v>43</v>
      </c>
      <c r="R399">
        <v>4.7</v>
      </c>
      <c r="S399">
        <v>21</v>
      </c>
      <c r="T399">
        <f t="shared" si="6"/>
        <v>1</v>
      </c>
    </row>
    <row r="400" spans="1:20">
      <c r="A400" s="4">
        <v>44433</v>
      </c>
      <c r="B400">
        <v>2021</v>
      </c>
      <c r="C400">
        <v>8</v>
      </c>
      <c r="D400" s="5" t="s">
        <v>35</v>
      </c>
      <c r="E400" s="5" t="s">
        <v>76</v>
      </c>
      <c r="F400" s="5" t="s">
        <v>77</v>
      </c>
      <c r="G400" s="5" t="s">
        <v>78</v>
      </c>
      <c r="H400" s="5" t="s">
        <v>85</v>
      </c>
      <c r="I400" s="5" t="s">
        <v>58</v>
      </c>
      <c r="J400" s="5" t="s">
        <v>49</v>
      </c>
      <c r="K400">
        <v>23</v>
      </c>
      <c r="L400">
        <v>958078</v>
      </c>
      <c r="M400" s="26">
        <v>22035794</v>
      </c>
      <c r="N400">
        <v>42349</v>
      </c>
      <c r="O400" s="26">
        <v>3510582.96</v>
      </c>
      <c r="P400" s="5" t="s">
        <v>50</v>
      </c>
      <c r="Q400" s="5" t="s">
        <v>51</v>
      </c>
      <c r="R400">
        <v>4</v>
      </c>
      <c r="S400">
        <v>18</v>
      </c>
      <c r="T400">
        <f t="shared" si="6"/>
        <v>0</v>
      </c>
    </row>
    <row r="401" spans="1:20">
      <c r="A401" s="4">
        <v>44435</v>
      </c>
      <c r="B401">
        <v>2021</v>
      </c>
      <c r="C401">
        <v>8</v>
      </c>
      <c r="D401" s="5" t="s">
        <v>35</v>
      </c>
      <c r="E401" s="5" t="s">
        <v>36</v>
      </c>
      <c r="F401" s="5" t="s">
        <v>37</v>
      </c>
      <c r="G401" s="5" t="s">
        <v>38</v>
      </c>
      <c r="H401" s="5" t="s">
        <v>48</v>
      </c>
      <c r="I401" s="5" t="s">
        <v>40</v>
      </c>
      <c r="J401" s="5" t="s">
        <v>49</v>
      </c>
      <c r="K401">
        <v>39</v>
      </c>
      <c r="L401">
        <v>425272</v>
      </c>
      <c r="M401" s="26">
        <v>16585608</v>
      </c>
      <c r="N401">
        <v>31854</v>
      </c>
      <c r="O401" s="26">
        <v>2283737.12</v>
      </c>
      <c r="P401" s="5" t="s">
        <v>50</v>
      </c>
      <c r="Q401" s="5" t="s">
        <v>51</v>
      </c>
      <c r="R401">
        <v>4.9000000000000004</v>
      </c>
      <c r="S401">
        <v>12</v>
      </c>
      <c r="T401">
        <f t="shared" si="6"/>
        <v>0</v>
      </c>
    </row>
    <row r="402" spans="1:20">
      <c r="A402" s="4">
        <v>44465</v>
      </c>
      <c r="B402">
        <v>2021</v>
      </c>
      <c r="C402">
        <v>9</v>
      </c>
      <c r="D402" s="5" t="s">
        <v>54</v>
      </c>
      <c r="E402" s="5" t="s">
        <v>70</v>
      </c>
      <c r="F402" s="5" t="s">
        <v>71</v>
      </c>
      <c r="G402" s="5" t="s">
        <v>72</v>
      </c>
      <c r="H402" s="5" t="s">
        <v>48</v>
      </c>
      <c r="I402" s="5" t="s">
        <v>40</v>
      </c>
      <c r="J402" s="5" t="s">
        <v>49</v>
      </c>
      <c r="K402">
        <v>52</v>
      </c>
      <c r="L402">
        <v>432484</v>
      </c>
      <c r="M402" s="26">
        <v>22489168</v>
      </c>
      <c r="N402">
        <v>31232</v>
      </c>
      <c r="O402" s="26">
        <v>2633241.19</v>
      </c>
      <c r="P402" s="5" t="s">
        <v>50</v>
      </c>
      <c r="Q402" s="5" t="s">
        <v>43</v>
      </c>
      <c r="R402">
        <v>4</v>
      </c>
      <c r="S402">
        <v>11</v>
      </c>
      <c r="T402">
        <f t="shared" si="6"/>
        <v>0</v>
      </c>
    </row>
    <row r="403" spans="1:20">
      <c r="A403" s="4">
        <v>44454</v>
      </c>
      <c r="B403">
        <v>2021</v>
      </c>
      <c r="C403">
        <v>9</v>
      </c>
      <c r="D403" s="5" t="s">
        <v>35</v>
      </c>
      <c r="E403" s="5" t="s">
        <v>76</v>
      </c>
      <c r="F403" s="5" t="s">
        <v>77</v>
      </c>
      <c r="G403" s="5" t="s">
        <v>78</v>
      </c>
      <c r="H403" s="5" t="s">
        <v>39</v>
      </c>
      <c r="I403" s="5" t="s">
        <v>40</v>
      </c>
      <c r="J403" s="5" t="s">
        <v>41</v>
      </c>
      <c r="K403">
        <v>27</v>
      </c>
      <c r="L403">
        <v>574540</v>
      </c>
      <c r="M403" s="26">
        <v>15512580</v>
      </c>
      <c r="N403">
        <v>45980</v>
      </c>
      <c r="O403" s="26">
        <v>1250286.1000000001</v>
      </c>
      <c r="P403" s="5" t="s">
        <v>42</v>
      </c>
      <c r="Q403" s="5" t="s">
        <v>43</v>
      </c>
      <c r="R403">
        <v>4.5999999999999996</v>
      </c>
      <c r="S403">
        <v>11</v>
      </c>
      <c r="T403">
        <f t="shared" si="6"/>
        <v>1</v>
      </c>
    </row>
    <row r="404" spans="1:20">
      <c r="A404" s="4">
        <v>44441</v>
      </c>
      <c r="B404">
        <v>2021</v>
      </c>
      <c r="C404">
        <v>9</v>
      </c>
      <c r="D404" s="5" t="s">
        <v>35</v>
      </c>
      <c r="E404" s="5" t="s">
        <v>76</v>
      </c>
      <c r="F404" s="5" t="s">
        <v>77</v>
      </c>
      <c r="G404" s="5" t="s">
        <v>78</v>
      </c>
      <c r="H404" s="5" t="s">
        <v>65</v>
      </c>
      <c r="I404" s="5" t="s">
        <v>53</v>
      </c>
      <c r="J404" s="5" t="s">
        <v>49</v>
      </c>
      <c r="K404">
        <v>26</v>
      </c>
      <c r="L404">
        <v>1279760</v>
      </c>
      <c r="M404" s="26">
        <v>33273760</v>
      </c>
      <c r="N404">
        <v>26785</v>
      </c>
      <c r="O404" s="26">
        <v>3225769.02</v>
      </c>
      <c r="P404" s="5" t="s">
        <v>50</v>
      </c>
      <c r="Q404" s="5" t="s">
        <v>75</v>
      </c>
      <c r="R404">
        <v>4.5999999999999996</v>
      </c>
      <c r="S404">
        <v>21</v>
      </c>
      <c r="T404">
        <f t="shared" si="6"/>
        <v>0</v>
      </c>
    </row>
    <row r="405" spans="1:20">
      <c r="A405" s="4">
        <v>44456</v>
      </c>
      <c r="B405">
        <v>2021</v>
      </c>
      <c r="C405">
        <v>9</v>
      </c>
      <c r="D405" s="5" t="s">
        <v>35</v>
      </c>
      <c r="E405" s="5" t="s">
        <v>60</v>
      </c>
      <c r="F405" s="5" t="s">
        <v>61</v>
      </c>
      <c r="G405" s="5" t="s">
        <v>62</v>
      </c>
      <c r="H405" s="5" t="s">
        <v>52</v>
      </c>
      <c r="I405" s="5" t="s">
        <v>53</v>
      </c>
      <c r="J405" s="5" t="s">
        <v>41</v>
      </c>
      <c r="K405">
        <v>50</v>
      </c>
      <c r="L405">
        <v>922407</v>
      </c>
      <c r="M405" s="26">
        <v>46120350</v>
      </c>
      <c r="N405">
        <v>22428</v>
      </c>
      <c r="O405" s="26">
        <v>6632597.1799999997</v>
      </c>
      <c r="P405" s="5" t="s">
        <v>42</v>
      </c>
      <c r="Q405" s="5" t="s">
        <v>75</v>
      </c>
      <c r="R405">
        <v>4.5999999999999996</v>
      </c>
      <c r="S405">
        <v>9</v>
      </c>
      <c r="T405">
        <f t="shared" si="6"/>
        <v>1</v>
      </c>
    </row>
    <row r="406" spans="1:20">
      <c r="A406" s="4">
        <v>44467</v>
      </c>
      <c r="B406">
        <v>2021</v>
      </c>
      <c r="C406">
        <v>9</v>
      </c>
      <c r="D406" s="5" t="s">
        <v>54</v>
      </c>
      <c r="E406" s="5" t="s">
        <v>55</v>
      </c>
      <c r="F406" s="5" t="s">
        <v>55</v>
      </c>
      <c r="G406" s="5" t="s">
        <v>56</v>
      </c>
      <c r="H406" s="5" t="s">
        <v>86</v>
      </c>
      <c r="I406" s="5" t="s">
        <v>40</v>
      </c>
      <c r="J406" s="5" t="s">
        <v>41</v>
      </c>
      <c r="K406">
        <v>53</v>
      </c>
      <c r="L406">
        <v>597086</v>
      </c>
      <c r="M406" s="26">
        <v>31645558</v>
      </c>
      <c r="N406">
        <v>27768</v>
      </c>
      <c r="O406" s="26">
        <v>3215116.49</v>
      </c>
      <c r="P406" s="5" t="s">
        <v>42</v>
      </c>
      <c r="Q406" s="5" t="s">
        <v>75</v>
      </c>
      <c r="R406">
        <v>4.0999999999999996</v>
      </c>
      <c r="S406">
        <v>11</v>
      </c>
      <c r="T406">
        <f t="shared" si="6"/>
        <v>1</v>
      </c>
    </row>
    <row r="407" spans="1:20">
      <c r="A407" s="4">
        <v>44448</v>
      </c>
      <c r="B407">
        <v>2021</v>
      </c>
      <c r="C407">
        <v>9</v>
      </c>
      <c r="D407" s="5" t="s">
        <v>66</v>
      </c>
      <c r="E407" s="5" t="s">
        <v>67</v>
      </c>
      <c r="F407" s="5" t="s">
        <v>68</v>
      </c>
      <c r="G407" s="5" t="s">
        <v>69</v>
      </c>
      <c r="H407" s="5" t="s">
        <v>85</v>
      </c>
      <c r="I407" s="5" t="s">
        <v>58</v>
      </c>
      <c r="J407" s="5" t="s">
        <v>49</v>
      </c>
      <c r="K407">
        <v>19</v>
      </c>
      <c r="L407">
        <v>983943</v>
      </c>
      <c r="M407" s="26">
        <v>18694917</v>
      </c>
      <c r="N407">
        <v>43237</v>
      </c>
      <c r="O407" s="26">
        <v>2147635.46</v>
      </c>
      <c r="P407" s="5" t="s">
        <v>50</v>
      </c>
      <c r="Q407" s="5" t="s">
        <v>75</v>
      </c>
      <c r="R407">
        <v>4.7</v>
      </c>
      <c r="S407">
        <v>17</v>
      </c>
      <c r="T407">
        <f t="shared" si="6"/>
        <v>0</v>
      </c>
    </row>
    <row r="408" spans="1:20">
      <c r="A408" s="4">
        <v>44467</v>
      </c>
      <c r="B408">
        <v>2021</v>
      </c>
      <c r="C408">
        <v>9</v>
      </c>
      <c r="D408" s="5" t="s">
        <v>35</v>
      </c>
      <c r="E408" s="5" t="s">
        <v>36</v>
      </c>
      <c r="F408" s="5" t="s">
        <v>37</v>
      </c>
      <c r="G408" s="5" t="s">
        <v>38</v>
      </c>
      <c r="H408" s="5" t="s">
        <v>52</v>
      </c>
      <c r="I408" s="5" t="s">
        <v>53</v>
      </c>
      <c r="J408" s="5" t="s">
        <v>41</v>
      </c>
      <c r="K408">
        <v>9</v>
      </c>
      <c r="L408">
        <v>959187</v>
      </c>
      <c r="M408" s="26">
        <v>8632683</v>
      </c>
      <c r="N408">
        <v>21219</v>
      </c>
      <c r="O408" s="26">
        <v>1075230.1399999999</v>
      </c>
      <c r="P408" s="5" t="s">
        <v>50</v>
      </c>
      <c r="Q408" s="5" t="s">
        <v>75</v>
      </c>
      <c r="R408">
        <v>4.0999999999999996</v>
      </c>
      <c r="S408">
        <v>21</v>
      </c>
      <c r="T408">
        <f t="shared" si="6"/>
        <v>0</v>
      </c>
    </row>
    <row r="409" spans="1:20">
      <c r="A409" s="4">
        <v>44443</v>
      </c>
      <c r="B409">
        <v>2021</v>
      </c>
      <c r="C409">
        <v>9</v>
      </c>
      <c r="D409" s="5" t="s">
        <v>54</v>
      </c>
      <c r="E409" s="5" t="s">
        <v>70</v>
      </c>
      <c r="F409" s="5" t="s">
        <v>71</v>
      </c>
      <c r="G409" s="5" t="s">
        <v>72</v>
      </c>
      <c r="H409" s="5" t="s">
        <v>85</v>
      </c>
      <c r="I409" s="5" t="s">
        <v>58</v>
      </c>
      <c r="J409" s="5" t="s">
        <v>49</v>
      </c>
      <c r="K409">
        <v>13</v>
      </c>
      <c r="L409">
        <v>958968</v>
      </c>
      <c r="M409" s="26">
        <v>12466584</v>
      </c>
      <c r="N409">
        <v>44844</v>
      </c>
      <c r="O409" s="26">
        <v>1880355.61</v>
      </c>
      <c r="P409" s="5" t="s">
        <v>50</v>
      </c>
      <c r="Q409" s="5" t="s">
        <v>75</v>
      </c>
      <c r="R409">
        <v>4.4000000000000004</v>
      </c>
      <c r="S409">
        <v>10</v>
      </c>
      <c r="T409">
        <f t="shared" si="6"/>
        <v>0</v>
      </c>
    </row>
    <row r="410" spans="1:20">
      <c r="A410" s="4">
        <v>44454</v>
      </c>
      <c r="B410">
        <v>2021</v>
      </c>
      <c r="C410">
        <v>9</v>
      </c>
      <c r="D410" s="5" t="s">
        <v>54</v>
      </c>
      <c r="E410" s="5" t="s">
        <v>70</v>
      </c>
      <c r="F410" s="5" t="s">
        <v>71</v>
      </c>
      <c r="G410" s="5" t="s">
        <v>72</v>
      </c>
      <c r="H410" s="5" t="s">
        <v>74</v>
      </c>
      <c r="I410" s="5" t="s">
        <v>40</v>
      </c>
      <c r="J410" s="5" t="s">
        <v>49</v>
      </c>
      <c r="K410">
        <v>14</v>
      </c>
      <c r="L410">
        <v>665910</v>
      </c>
      <c r="M410" s="26">
        <v>9322740</v>
      </c>
      <c r="N410">
        <v>5568</v>
      </c>
      <c r="O410" s="26">
        <v>793372.17</v>
      </c>
      <c r="P410" s="5" t="s">
        <v>42</v>
      </c>
      <c r="Q410" s="5" t="s">
        <v>51</v>
      </c>
      <c r="R410">
        <v>4.0999999999999996</v>
      </c>
      <c r="S410">
        <v>6</v>
      </c>
      <c r="T410">
        <f t="shared" si="6"/>
        <v>1</v>
      </c>
    </row>
    <row r="411" spans="1:20">
      <c r="A411" s="4">
        <v>44455</v>
      </c>
      <c r="B411">
        <v>2021</v>
      </c>
      <c r="C411">
        <v>9</v>
      </c>
      <c r="D411" s="5" t="s">
        <v>66</v>
      </c>
      <c r="E411" s="5" t="s">
        <v>67</v>
      </c>
      <c r="F411" s="5" t="s">
        <v>68</v>
      </c>
      <c r="G411" s="5" t="s">
        <v>69</v>
      </c>
      <c r="H411" s="5" t="s">
        <v>79</v>
      </c>
      <c r="I411" s="5" t="s">
        <v>58</v>
      </c>
      <c r="J411" s="5" t="s">
        <v>49</v>
      </c>
      <c r="K411">
        <v>53</v>
      </c>
      <c r="L411">
        <v>893593</v>
      </c>
      <c r="M411" s="26">
        <v>47360429</v>
      </c>
      <c r="N411">
        <v>34355</v>
      </c>
      <c r="O411" s="26">
        <v>5114232.76</v>
      </c>
      <c r="P411" s="5" t="s">
        <v>50</v>
      </c>
      <c r="Q411" s="5" t="s">
        <v>43</v>
      </c>
      <c r="R411">
        <v>3.5</v>
      </c>
      <c r="S411">
        <v>9</v>
      </c>
      <c r="T411">
        <f t="shared" si="6"/>
        <v>0</v>
      </c>
    </row>
    <row r="412" spans="1:20">
      <c r="A412" s="4">
        <v>44454</v>
      </c>
      <c r="B412">
        <v>2021</v>
      </c>
      <c r="C412">
        <v>9</v>
      </c>
      <c r="D412" s="5" t="s">
        <v>54</v>
      </c>
      <c r="E412" s="5" t="s">
        <v>55</v>
      </c>
      <c r="F412" s="5" t="s">
        <v>55</v>
      </c>
      <c r="G412" s="5" t="s">
        <v>56</v>
      </c>
      <c r="H412" s="5" t="s">
        <v>48</v>
      </c>
      <c r="I412" s="5" t="s">
        <v>40</v>
      </c>
      <c r="J412" s="5" t="s">
        <v>49</v>
      </c>
      <c r="K412">
        <v>8</v>
      </c>
      <c r="L412">
        <v>471374</v>
      </c>
      <c r="M412" s="26">
        <v>3770992</v>
      </c>
      <c r="N412">
        <v>5493</v>
      </c>
      <c r="O412" s="26">
        <v>325557.76000000001</v>
      </c>
      <c r="P412" s="5" t="s">
        <v>50</v>
      </c>
      <c r="Q412" s="5" t="s">
        <v>51</v>
      </c>
      <c r="R412">
        <v>3.9</v>
      </c>
      <c r="S412">
        <v>14</v>
      </c>
      <c r="T412">
        <f t="shared" si="6"/>
        <v>0</v>
      </c>
    </row>
    <row r="413" spans="1:20">
      <c r="A413" s="4">
        <v>44463</v>
      </c>
      <c r="B413">
        <v>2021</v>
      </c>
      <c r="C413">
        <v>9</v>
      </c>
      <c r="D413" s="5" t="s">
        <v>66</v>
      </c>
      <c r="E413" s="5" t="s">
        <v>67</v>
      </c>
      <c r="F413" s="5" t="s">
        <v>68</v>
      </c>
      <c r="G413" s="5" t="s">
        <v>69</v>
      </c>
      <c r="H413" s="5" t="s">
        <v>85</v>
      </c>
      <c r="I413" s="5" t="s">
        <v>58</v>
      </c>
      <c r="J413" s="5" t="s">
        <v>49</v>
      </c>
      <c r="K413">
        <v>42</v>
      </c>
      <c r="L413">
        <v>1005845</v>
      </c>
      <c r="M413" s="26">
        <v>42245490</v>
      </c>
      <c r="N413">
        <v>45479</v>
      </c>
      <c r="O413" s="26">
        <v>4315107.32</v>
      </c>
      <c r="P413" s="5" t="s">
        <v>50</v>
      </c>
      <c r="Q413" s="5" t="s">
        <v>75</v>
      </c>
      <c r="R413">
        <v>3.6</v>
      </c>
      <c r="S413">
        <v>12</v>
      </c>
      <c r="T413">
        <f t="shared" si="6"/>
        <v>0</v>
      </c>
    </row>
    <row r="414" spans="1:20">
      <c r="A414" s="4">
        <v>44450</v>
      </c>
      <c r="B414">
        <v>2021</v>
      </c>
      <c r="C414">
        <v>9</v>
      </c>
      <c r="D414" s="5" t="s">
        <v>54</v>
      </c>
      <c r="E414" s="5" t="s">
        <v>70</v>
      </c>
      <c r="F414" s="5" t="s">
        <v>71</v>
      </c>
      <c r="G414" s="5" t="s">
        <v>72</v>
      </c>
      <c r="H414" s="5" t="s">
        <v>73</v>
      </c>
      <c r="I414" s="5" t="s">
        <v>40</v>
      </c>
      <c r="J414" s="5" t="s">
        <v>49</v>
      </c>
      <c r="K414">
        <v>12</v>
      </c>
      <c r="L414">
        <v>742631</v>
      </c>
      <c r="M414" s="26">
        <v>8911572</v>
      </c>
      <c r="N414">
        <v>41452</v>
      </c>
      <c r="O414" s="26">
        <v>877445.1</v>
      </c>
      <c r="P414" s="5" t="s">
        <v>42</v>
      </c>
      <c r="Q414" s="5" t="s">
        <v>51</v>
      </c>
      <c r="R414">
        <v>3.6</v>
      </c>
      <c r="S414">
        <v>20</v>
      </c>
      <c r="T414">
        <f t="shared" si="6"/>
        <v>1</v>
      </c>
    </row>
    <row r="415" spans="1:20">
      <c r="A415" s="4">
        <v>44445</v>
      </c>
      <c r="B415">
        <v>2021</v>
      </c>
      <c r="C415">
        <v>9</v>
      </c>
      <c r="D415" s="5" t="s">
        <v>54</v>
      </c>
      <c r="E415" s="5" t="s">
        <v>70</v>
      </c>
      <c r="F415" s="5" t="s">
        <v>71</v>
      </c>
      <c r="G415" s="5" t="s">
        <v>72</v>
      </c>
      <c r="H415" s="5" t="s">
        <v>86</v>
      </c>
      <c r="I415" s="5" t="s">
        <v>40</v>
      </c>
      <c r="J415" s="5" t="s">
        <v>41</v>
      </c>
      <c r="K415">
        <v>16</v>
      </c>
      <c r="L415">
        <v>610500</v>
      </c>
      <c r="M415" s="26">
        <v>9768000</v>
      </c>
      <c r="N415">
        <v>11660</v>
      </c>
      <c r="O415" s="26">
        <v>1058277.82</v>
      </c>
      <c r="P415" s="5" t="s">
        <v>42</v>
      </c>
      <c r="Q415" s="5" t="s">
        <v>51</v>
      </c>
      <c r="R415">
        <v>3.6</v>
      </c>
      <c r="S415">
        <v>16</v>
      </c>
      <c r="T415">
        <f t="shared" si="6"/>
        <v>1</v>
      </c>
    </row>
    <row r="416" spans="1:20">
      <c r="A416" s="4">
        <v>44450</v>
      </c>
      <c r="B416">
        <v>2021</v>
      </c>
      <c r="C416">
        <v>9</v>
      </c>
      <c r="D416" s="5" t="s">
        <v>66</v>
      </c>
      <c r="E416" s="5" t="s">
        <v>67</v>
      </c>
      <c r="F416" s="5" t="s">
        <v>68</v>
      </c>
      <c r="G416" s="5" t="s">
        <v>69</v>
      </c>
      <c r="H416" s="5" t="s">
        <v>85</v>
      </c>
      <c r="I416" s="5" t="s">
        <v>58</v>
      </c>
      <c r="J416" s="5" t="s">
        <v>49</v>
      </c>
      <c r="K416">
        <v>9</v>
      </c>
      <c r="L416">
        <v>954436</v>
      </c>
      <c r="M416" s="26">
        <v>8589924</v>
      </c>
      <c r="N416">
        <v>48644</v>
      </c>
      <c r="O416" s="26">
        <v>1122806.46</v>
      </c>
      <c r="P416" s="5" t="s">
        <v>42</v>
      </c>
      <c r="Q416" s="5" t="s">
        <v>43</v>
      </c>
      <c r="R416">
        <v>4.4000000000000004</v>
      </c>
      <c r="S416">
        <v>15</v>
      </c>
      <c r="T416">
        <f t="shared" si="6"/>
        <v>1</v>
      </c>
    </row>
    <row r="417" spans="1:20">
      <c r="A417" s="4">
        <v>44451</v>
      </c>
      <c r="B417">
        <v>2021</v>
      </c>
      <c r="C417">
        <v>9</v>
      </c>
      <c r="D417" s="5" t="s">
        <v>44</v>
      </c>
      <c r="E417" s="5" t="s">
        <v>45</v>
      </c>
      <c r="F417" s="5" t="s">
        <v>46</v>
      </c>
      <c r="G417" s="5" t="s">
        <v>47</v>
      </c>
      <c r="H417" s="5" t="s">
        <v>85</v>
      </c>
      <c r="I417" s="5" t="s">
        <v>58</v>
      </c>
      <c r="J417" s="5" t="s">
        <v>49</v>
      </c>
      <c r="K417">
        <v>31</v>
      </c>
      <c r="L417">
        <v>972782</v>
      </c>
      <c r="M417" s="26">
        <v>30156242</v>
      </c>
      <c r="N417">
        <v>39520</v>
      </c>
      <c r="O417" s="26">
        <v>4191132.75</v>
      </c>
      <c r="P417" s="5" t="s">
        <v>50</v>
      </c>
      <c r="Q417" s="5" t="s">
        <v>43</v>
      </c>
      <c r="R417">
        <v>4</v>
      </c>
      <c r="S417">
        <v>9</v>
      </c>
      <c r="T417">
        <f t="shared" si="6"/>
        <v>0</v>
      </c>
    </row>
    <row r="418" spans="1:20">
      <c r="A418" s="4">
        <v>44462</v>
      </c>
      <c r="B418">
        <v>2021</v>
      </c>
      <c r="C418">
        <v>9</v>
      </c>
      <c r="D418" s="5" t="s">
        <v>44</v>
      </c>
      <c r="E418" s="5" t="s">
        <v>82</v>
      </c>
      <c r="F418" s="5" t="s">
        <v>83</v>
      </c>
      <c r="G418" s="5" t="s">
        <v>84</v>
      </c>
      <c r="H418" s="5" t="s">
        <v>79</v>
      </c>
      <c r="I418" s="5" t="s">
        <v>58</v>
      </c>
      <c r="J418" s="5" t="s">
        <v>49</v>
      </c>
      <c r="K418">
        <v>47</v>
      </c>
      <c r="L418">
        <v>914467</v>
      </c>
      <c r="M418" s="26">
        <v>42979949</v>
      </c>
      <c r="N418">
        <v>14171</v>
      </c>
      <c r="O418" s="26">
        <v>4096883.61</v>
      </c>
      <c r="P418" s="5" t="s">
        <v>50</v>
      </c>
      <c r="Q418" s="5" t="s">
        <v>75</v>
      </c>
      <c r="R418">
        <v>4.8</v>
      </c>
      <c r="S418">
        <v>11</v>
      </c>
      <c r="T418">
        <f t="shared" si="6"/>
        <v>0</v>
      </c>
    </row>
    <row r="419" spans="1:20">
      <c r="A419" s="4">
        <v>44445</v>
      </c>
      <c r="B419">
        <v>2021</v>
      </c>
      <c r="C419">
        <v>9</v>
      </c>
      <c r="D419" s="5" t="s">
        <v>54</v>
      </c>
      <c r="E419" s="5" t="s">
        <v>55</v>
      </c>
      <c r="F419" s="5" t="s">
        <v>55</v>
      </c>
      <c r="G419" s="5" t="s">
        <v>56</v>
      </c>
      <c r="H419" s="5" t="s">
        <v>80</v>
      </c>
      <c r="I419" s="5" t="s">
        <v>81</v>
      </c>
      <c r="J419" s="5" t="s">
        <v>41</v>
      </c>
      <c r="K419">
        <v>12</v>
      </c>
      <c r="L419">
        <v>537415</v>
      </c>
      <c r="M419" s="26">
        <v>6448980</v>
      </c>
      <c r="N419">
        <v>46816</v>
      </c>
      <c r="O419" s="26">
        <v>819991.28</v>
      </c>
      <c r="P419" s="5" t="s">
        <v>42</v>
      </c>
      <c r="Q419" s="5" t="s">
        <v>51</v>
      </c>
      <c r="R419">
        <v>4.9000000000000004</v>
      </c>
      <c r="S419">
        <v>16</v>
      </c>
      <c r="T419">
        <f t="shared" si="6"/>
        <v>1</v>
      </c>
    </row>
    <row r="420" spans="1:20">
      <c r="A420" s="4">
        <v>44463</v>
      </c>
      <c r="B420">
        <v>2021</v>
      </c>
      <c r="C420">
        <v>9</v>
      </c>
      <c r="D420" s="5" t="s">
        <v>66</v>
      </c>
      <c r="E420" s="5" t="s">
        <v>67</v>
      </c>
      <c r="F420" s="5" t="s">
        <v>68</v>
      </c>
      <c r="G420" s="5" t="s">
        <v>69</v>
      </c>
      <c r="H420" s="5" t="s">
        <v>74</v>
      </c>
      <c r="I420" s="5" t="s">
        <v>40</v>
      </c>
      <c r="J420" s="5" t="s">
        <v>49</v>
      </c>
      <c r="K420">
        <v>14</v>
      </c>
      <c r="L420">
        <v>652299</v>
      </c>
      <c r="M420" s="26">
        <v>9132186</v>
      </c>
      <c r="N420">
        <v>28583</v>
      </c>
      <c r="O420" s="26">
        <v>1098090.54</v>
      </c>
      <c r="P420" s="5" t="s">
        <v>42</v>
      </c>
      <c r="Q420" s="5" t="s">
        <v>75</v>
      </c>
      <c r="R420">
        <v>4.3</v>
      </c>
      <c r="S420">
        <v>6</v>
      </c>
      <c r="T420">
        <f t="shared" si="6"/>
        <v>1</v>
      </c>
    </row>
    <row r="421" spans="1:20">
      <c r="A421" s="4">
        <v>44467</v>
      </c>
      <c r="B421">
        <v>2021</v>
      </c>
      <c r="C421">
        <v>9</v>
      </c>
      <c r="D421" s="5" t="s">
        <v>35</v>
      </c>
      <c r="E421" s="5" t="s">
        <v>76</v>
      </c>
      <c r="F421" s="5" t="s">
        <v>77</v>
      </c>
      <c r="G421" s="5" t="s">
        <v>78</v>
      </c>
      <c r="H421" s="5" t="s">
        <v>79</v>
      </c>
      <c r="I421" s="5" t="s">
        <v>58</v>
      </c>
      <c r="J421" s="5" t="s">
        <v>49</v>
      </c>
      <c r="K421">
        <v>36</v>
      </c>
      <c r="L421">
        <v>874106</v>
      </c>
      <c r="M421" s="26">
        <v>31467816</v>
      </c>
      <c r="N421">
        <v>43713</v>
      </c>
      <c r="O421" s="26">
        <v>4338108.59</v>
      </c>
      <c r="P421" s="5" t="s">
        <v>42</v>
      </c>
      <c r="Q421" s="5" t="s">
        <v>51</v>
      </c>
      <c r="R421">
        <v>4.3</v>
      </c>
      <c r="S421">
        <v>3</v>
      </c>
      <c r="T421">
        <f t="shared" si="6"/>
        <v>1</v>
      </c>
    </row>
    <row r="422" spans="1:20">
      <c r="A422" s="4">
        <v>44456</v>
      </c>
      <c r="B422">
        <v>2021</v>
      </c>
      <c r="C422">
        <v>9</v>
      </c>
      <c r="D422" s="5" t="s">
        <v>35</v>
      </c>
      <c r="E422" s="5" t="s">
        <v>76</v>
      </c>
      <c r="F422" s="5" t="s">
        <v>77</v>
      </c>
      <c r="G422" s="5" t="s">
        <v>78</v>
      </c>
      <c r="H422" s="5" t="s">
        <v>85</v>
      </c>
      <c r="I422" s="5" t="s">
        <v>58</v>
      </c>
      <c r="J422" s="5" t="s">
        <v>49</v>
      </c>
      <c r="K422">
        <v>6</v>
      </c>
      <c r="L422">
        <v>972745</v>
      </c>
      <c r="M422" s="26">
        <v>5836470</v>
      </c>
      <c r="N422">
        <v>20572</v>
      </c>
      <c r="O422" s="26">
        <v>578431.13</v>
      </c>
      <c r="P422" s="5" t="s">
        <v>42</v>
      </c>
      <c r="Q422" s="5" t="s">
        <v>51</v>
      </c>
      <c r="R422">
        <v>4.0999999999999996</v>
      </c>
      <c r="S422">
        <v>9</v>
      </c>
      <c r="T422">
        <f t="shared" si="6"/>
        <v>1</v>
      </c>
    </row>
    <row r="423" spans="1:20">
      <c r="A423" s="4">
        <v>44467</v>
      </c>
      <c r="B423">
        <v>2021</v>
      </c>
      <c r="C423">
        <v>9</v>
      </c>
      <c r="D423" s="5" t="s">
        <v>54</v>
      </c>
      <c r="E423" s="5" t="s">
        <v>55</v>
      </c>
      <c r="F423" s="5" t="s">
        <v>55</v>
      </c>
      <c r="G423" s="5" t="s">
        <v>56</v>
      </c>
      <c r="H423" s="5" t="s">
        <v>85</v>
      </c>
      <c r="I423" s="5" t="s">
        <v>58</v>
      </c>
      <c r="J423" s="5" t="s">
        <v>49</v>
      </c>
      <c r="K423">
        <v>37</v>
      </c>
      <c r="L423">
        <v>984910</v>
      </c>
      <c r="M423" s="26">
        <v>36441670</v>
      </c>
      <c r="N423">
        <v>8719</v>
      </c>
      <c r="O423" s="26">
        <v>4826730.5199999996</v>
      </c>
      <c r="P423" s="5" t="s">
        <v>50</v>
      </c>
      <c r="Q423" s="5" t="s">
        <v>75</v>
      </c>
      <c r="R423">
        <v>3.7</v>
      </c>
      <c r="S423">
        <v>10</v>
      </c>
      <c r="T423">
        <f t="shared" si="6"/>
        <v>0</v>
      </c>
    </row>
    <row r="424" spans="1:20">
      <c r="A424" s="4">
        <v>44453</v>
      </c>
      <c r="B424">
        <v>2021</v>
      </c>
      <c r="C424">
        <v>9</v>
      </c>
      <c r="D424" s="5" t="s">
        <v>35</v>
      </c>
      <c r="E424" s="5" t="s">
        <v>76</v>
      </c>
      <c r="F424" s="5" t="s">
        <v>77</v>
      </c>
      <c r="G424" s="5" t="s">
        <v>78</v>
      </c>
      <c r="H424" s="5" t="s">
        <v>52</v>
      </c>
      <c r="I424" s="5" t="s">
        <v>53</v>
      </c>
      <c r="J424" s="5" t="s">
        <v>41</v>
      </c>
      <c r="K424">
        <v>26</v>
      </c>
      <c r="L424">
        <v>967905</v>
      </c>
      <c r="M424" s="26">
        <v>25165530</v>
      </c>
      <c r="N424">
        <v>14030</v>
      </c>
      <c r="O424" s="26">
        <v>2202021.92</v>
      </c>
      <c r="P424" s="5" t="s">
        <v>42</v>
      </c>
      <c r="Q424" s="5" t="s">
        <v>51</v>
      </c>
      <c r="R424">
        <v>4.8</v>
      </c>
      <c r="S424">
        <v>19</v>
      </c>
      <c r="T424">
        <f t="shared" si="6"/>
        <v>1</v>
      </c>
    </row>
    <row r="425" spans="1:20">
      <c r="A425" s="4">
        <v>44449</v>
      </c>
      <c r="B425">
        <v>2021</v>
      </c>
      <c r="C425">
        <v>9</v>
      </c>
      <c r="D425" s="5" t="s">
        <v>54</v>
      </c>
      <c r="E425" s="5" t="s">
        <v>55</v>
      </c>
      <c r="F425" s="5" t="s">
        <v>55</v>
      </c>
      <c r="G425" s="5" t="s">
        <v>56</v>
      </c>
      <c r="H425" s="5" t="s">
        <v>80</v>
      </c>
      <c r="I425" s="5" t="s">
        <v>81</v>
      </c>
      <c r="J425" s="5" t="s">
        <v>41</v>
      </c>
      <c r="K425">
        <v>34</v>
      </c>
      <c r="L425">
        <v>522478</v>
      </c>
      <c r="M425" s="26">
        <v>17764252</v>
      </c>
      <c r="N425">
        <v>46725</v>
      </c>
      <c r="O425" s="26">
        <v>1868043.24</v>
      </c>
      <c r="P425" s="5" t="s">
        <v>42</v>
      </c>
      <c r="Q425" s="5" t="s">
        <v>43</v>
      </c>
      <c r="R425">
        <v>4.7</v>
      </c>
      <c r="S425">
        <v>17</v>
      </c>
      <c r="T425">
        <f t="shared" si="6"/>
        <v>1</v>
      </c>
    </row>
    <row r="426" spans="1:20">
      <c r="A426" s="4">
        <v>44443</v>
      </c>
      <c r="B426">
        <v>2021</v>
      </c>
      <c r="C426">
        <v>9</v>
      </c>
      <c r="D426" s="5" t="s">
        <v>44</v>
      </c>
      <c r="E426" s="5" t="s">
        <v>82</v>
      </c>
      <c r="F426" s="5" t="s">
        <v>83</v>
      </c>
      <c r="G426" s="5" t="s">
        <v>84</v>
      </c>
      <c r="H426" s="5" t="s">
        <v>80</v>
      </c>
      <c r="I426" s="5" t="s">
        <v>81</v>
      </c>
      <c r="J426" s="5" t="s">
        <v>41</v>
      </c>
      <c r="K426">
        <v>12</v>
      </c>
      <c r="L426">
        <v>558341</v>
      </c>
      <c r="M426" s="26">
        <v>6700092</v>
      </c>
      <c r="N426">
        <v>47654</v>
      </c>
      <c r="O426" s="26">
        <v>542082.29</v>
      </c>
      <c r="P426" s="5" t="s">
        <v>42</v>
      </c>
      <c r="Q426" s="5" t="s">
        <v>75</v>
      </c>
      <c r="R426">
        <v>3.8</v>
      </c>
      <c r="S426">
        <v>2</v>
      </c>
      <c r="T426">
        <f t="shared" si="6"/>
        <v>1</v>
      </c>
    </row>
    <row r="427" spans="1:20">
      <c r="A427" s="4">
        <v>44449</v>
      </c>
      <c r="B427">
        <v>2021</v>
      </c>
      <c r="C427">
        <v>9</v>
      </c>
      <c r="D427" s="5" t="s">
        <v>35</v>
      </c>
      <c r="E427" s="5" t="s">
        <v>76</v>
      </c>
      <c r="F427" s="5" t="s">
        <v>77</v>
      </c>
      <c r="G427" s="5" t="s">
        <v>78</v>
      </c>
      <c r="H427" s="5" t="s">
        <v>48</v>
      </c>
      <c r="I427" s="5" t="s">
        <v>40</v>
      </c>
      <c r="J427" s="5" t="s">
        <v>49</v>
      </c>
      <c r="K427">
        <v>9</v>
      </c>
      <c r="L427">
        <v>433938</v>
      </c>
      <c r="M427" s="26">
        <v>3905442</v>
      </c>
      <c r="N427">
        <v>27337</v>
      </c>
      <c r="O427" s="26">
        <v>379560.06</v>
      </c>
      <c r="P427" s="5" t="s">
        <v>42</v>
      </c>
      <c r="Q427" s="5" t="s">
        <v>43</v>
      </c>
      <c r="R427">
        <v>4.2</v>
      </c>
      <c r="S427">
        <v>19</v>
      </c>
      <c r="T427">
        <f t="shared" si="6"/>
        <v>1</v>
      </c>
    </row>
    <row r="428" spans="1:20">
      <c r="A428" s="4">
        <v>44442</v>
      </c>
      <c r="B428">
        <v>2021</v>
      </c>
      <c r="C428">
        <v>9</v>
      </c>
      <c r="D428" s="5" t="s">
        <v>35</v>
      </c>
      <c r="E428" s="5" t="s">
        <v>76</v>
      </c>
      <c r="F428" s="5" t="s">
        <v>77</v>
      </c>
      <c r="G428" s="5" t="s">
        <v>78</v>
      </c>
      <c r="H428" s="5" t="s">
        <v>65</v>
      </c>
      <c r="I428" s="5" t="s">
        <v>53</v>
      </c>
      <c r="J428" s="5" t="s">
        <v>49</v>
      </c>
      <c r="K428">
        <v>34</v>
      </c>
      <c r="L428">
        <v>1244672</v>
      </c>
      <c r="M428" s="26">
        <v>42318848</v>
      </c>
      <c r="N428">
        <v>10473</v>
      </c>
      <c r="O428" s="26">
        <v>5870114.3499999996</v>
      </c>
      <c r="P428" s="5" t="s">
        <v>42</v>
      </c>
      <c r="Q428" s="5" t="s">
        <v>51</v>
      </c>
      <c r="R428">
        <v>5</v>
      </c>
      <c r="S428">
        <v>16</v>
      </c>
      <c r="T428">
        <f t="shared" si="6"/>
        <v>1</v>
      </c>
    </row>
    <row r="429" spans="1:20">
      <c r="A429" s="4">
        <v>44460</v>
      </c>
      <c r="B429">
        <v>2021</v>
      </c>
      <c r="C429">
        <v>9</v>
      </c>
      <c r="D429" s="5" t="s">
        <v>35</v>
      </c>
      <c r="E429" s="5" t="s">
        <v>76</v>
      </c>
      <c r="F429" s="5" t="s">
        <v>77</v>
      </c>
      <c r="G429" s="5" t="s">
        <v>78</v>
      </c>
      <c r="H429" s="5" t="s">
        <v>65</v>
      </c>
      <c r="I429" s="5" t="s">
        <v>53</v>
      </c>
      <c r="J429" s="5" t="s">
        <v>49</v>
      </c>
      <c r="K429">
        <v>23</v>
      </c>
      <c r="L429">
        <v>1273397</v>
      </c>
      <c r="M429" s="26">
        <v>29288131</v>
      </c>
      <c r="N429">
        <v>32154</v>
      </c>
      <c r="O429" s="26">
        <v>4671791.95</v>
      </c>
      <c r="P429" s="5" t="s">
        <v>42</v>
      </c>
      <c r="Q429" s="5" t="s">
        <v>43</v>
      </c>
      <c r="R429">
        <v>4.8</v>
      </c>
      <c r="S429">
        <v>16</v>
      </c>
      <c r="T429">
        <f t="shared" si="6"/>
        <v>1</v>
      </c>
    </row>
    <row r="430" spans="1:20">
      <c r="A430" s="4">
        <v>44455</v>
      </c>
      <c r="B430">
        <v>2021</v>
      </c>
      <c r="C430">
        <v>9</v>
      </c>
      <c r="D430" s="5" t="s">
        <v>35</v>
      </c>
      <c r="E430" s="5" t="s">
        <v>76</v>
      </c>
      <c r="F430" s="5" t="s">
        <v>77</v>
      </c>
      <c r="G430" s="5" t="s">
        <v>78</v>
      </c>
      <c r="H430" s="5" t="s">
        <v>85</v>
      </c>
      <c r="I430" s="5" t="s">
        <v>58</v>
      </c>
      <c r="J430" s="5" t="s">
        <v>49</v>
      </c>
      <c r="K430">
        <v>36</v>
      </c>
      <c r="L430">
        <v>950923</v>
      </c>
      <c r="M430" s="26">
        <v>34233228</v>
      </c>
      <c r="N430">
        <v>24176</v>
      </c>
      <c r="O430" s="26">
        <v>3473625.46</v>
      </c>
      <c r="P430" s="5" t="s">
        <v>42</v>
      </c>
      <c r="Q430" s="5" t="s">
        <v>75</v>
      </c>
      <c r="R430">
        <v>4.4000000000000004</v>
      </c>
      <c r="S430">
        <v>5</v>
      </c>
      <c r="T430">
        <f t="shared" si="6"/>
        <v>1</v>
      </c>
    </row>
    <row r="431" spans="1:20">
      <c r="A431" s="4">
        <v>44463</v>
      </c>
      <c r="B431">
        <v>2021</v>
      </c>
      <c r="C431">
        <v>9</v>
      </c>
      <c r="D431" s="5" t="s">
        <v>35</v>
      </c>
      <c r="E431" s="5" t="s">
        <v>76</v>
      </c>
      <c r="F431" s="5" t="s">
        <v>77</v>
      </c>
      <c r="G431" s="5" t="s">
        <v>78</v>
      </c>
      <c r="H431" s="5" t="s">
        <v>65</v>
      </c>
      <c r="I431" s="5" t="s">
        <v>53</v>
      </c>
      <c r="J431" s="5" t="s">
        <v>49</v>
      </c>
      <c r="K431">
        <v>33</v>
      </c>
      <c r="L431">
        <v>1245431</v>
      </c>
      <c r="M431" s="26">
        <v>41099223</v>
      </c>
      <c r="N431">
        <v>19090</v>
      </c>
      <c r="O431" s="26">
        <v>4672485.6399999997</v>
      </c>
      <c r="P431" s="5" t="s">
        <v>50</v>
      </c>
      <c r="Q431" s="5" t="s">
        <v>51</v>
      </c>
      <c r="R431">
        <v>4.5</v>
      </c>
      <c r="S431">
        <v>15</v>
      </c>
      <c r="T431">
        <f t="shared" si="6"/>
        <v>0</v>
      </c>
    </row>
    <row r="432" spans="1:20">
      <c r="A432" s="4">
        <v>44462</v>
      </c>
      <c r="B432">
        <v>2021</v>
      </c>
      <c r="C432">
        <v>9</v>
      </c>
      <c r="D432" s="5" t="s">
        <v>54</v>
      </c>
      <c r="E432" s="5" t="s">
        <v>70</v>
      </c>
      <c r="F432" s="5" t="s">
        <v>71</v>
      </c>
      <c r="G432" s="5" t="s">
        <v>72</v>
      </c>
      <c r="H432" s="5" t="s">
        <v>57</v>
      </c>
      <c r="I432" s="5" t="s">
        <v>58</v>
      </c>
      <c r="J432" s="5" t="s">
        <v>59</v>
      </c>
      <c r="K432">
        <v>14</v>
      </c>
      <c r="L432">
        <v>1422416</v>
      </c>
      <c r="M432" s="26">
        <v>19913824</v>
      </c>
      <c r="N432">
        <v>9454</v>
      </c>
      <c r="O432" s="26">
        <v>3019206.34</v>
      </c>
      <c r="P432" s="5" t="s">
        <v>50</v>
      </c>
      <c r="Q432" s="5" t="s">
        <v>75</v>
      </c>
      <c r="R432">
        <v>4.4000000000000004</v>
      </c>
      <c r="S432">
        <v>8</v>
      </c>
      <c r="T432">
        <f t="shared" si="6"/>
        <v>0</v>
      </c>
    </row>
    <row r="433" spans="1:20">
      <c r="A433" s="4">
        <v>44462</v>
      </c>
      <c r="B433">
        <v>2021</v>
      </c>
      <c r="C433">
        <v>9</v>
      </c>
      <c r="D433" s="5" t="s">
        <v>35</v>
      </c>
      <c r="E433" s="5" t="s">
        <v>60</v>
      </c>
      <c r="F433" s="5" t="s">
        <v>61</v>
      </c>
      <c r="G433" s="5" t="s">
        <v>62</v>
      </c>
      <c r="H433" s="5" t="s">
        <v>80</v>
      </c>
      <c r="I433" s="5" t="s">
        <v>81</v>
      </c>
      <c r="J433" s="5" t="s">
        <v>41</v>
      </c>
      <c r="K433">
        <v>24</v>
      </c>
      <c r="L433">
        <v>539723</v>
      </c>
      <c r="M433" s="26">
        <v>12953352</v>
      </c>
      <c r="N433">
        <v>36163</v>
      </c>
      <c r="O433" s="26">
        <v>1175913.69</v>
      </c>
      <c r="P433" s="5" t="s">
        <v>42</v>
      </c>
      <c r="Q433" s="5" t="s">
        <v>43</v>
      </c>
      <c r="R433">
        <v>5</v>
      </c>
      <c r="S433">
        <v>20</v>
      </c>
      <c r="T433">
        <f t="shared" si="6"/>
        <v>1</v>
      </c>
    </row>
    <row r="434" spans="1:20">
      <c r="A434" s="4">
        <v>44448</v>
      </c>
      <c r="B434">
        <v>2021</v>
      </c>
      <c r="C434">
        <v>9</v>
      </c>
      <c r="D434" s="5" t="s">
        <v>54</v>
      </c>
      <c r="E434" s="5" t="s">
        <v>70</v>
      </c>
      <c r="F434" s="5" t="s">
        <v>71</v>
      </c>
      <c r="G434" s="5" t="s">
        <v>72</v>
      </c>
      <c r="H434" s="5" t="s">
        <v>79</v>
      </c>
      <c r="I434" s="5" t="s">
        <v>58</v>
      </c>
      <c r="J434" s="5" t="s">
        <v>49</v>
      </c>
      <c r="K434">
        <v>50</v>
      </c>
      <c r="L434">
        <v>893808</v>
      </c>
      <c r="M434" s="26">
        <v>44690400</v>
      </c>
      <c r="N434">
        <v>19277</v>
      </c>
      <c r="O434" s="26">
        <v>6319721.7400000002</v>
      </c>
      <c r="P434" s="5" t="s">
        <v>50</v>
      </c>
      <c r="Q434" s="5" t="s">
        <v>51</v>
      </c>
      <c r="R434">
        <v>4.2</v>
      </c>
      <c r="S434">
        <v>17</v>
      </c>
      <c r="T434">
        <f t="shared" si="6"/>
        <v>0</v>
      </c>
    </row>
    <row r="435" spans="1:20">
      <c r="A435" s="4">
        <v>44454</v>
      </c>
      <c r="B435">
        <v>2021</v>
      </c>
      <c r="C435">
        <v>9</v>
      </c>
      <c r="D435" s="5" t="s">
        <v>44</v>
      </c>
      <c r="E435" s="5" t="s">
        <v>82</v>
      </c>
      <c r="F435" s="5" t="s">
        <v>83</v>
      </c>
      <c r="G435" s="5" t="s">
        <v>84</v>
      </c>
      <c r="H435" s="5" t="s">
        <v>80</v>
      </c>
      <c r="I435" s="5" t="s">
        <v>81</v>
      </c>
      <c r="J435" s="5" t="s">
        <v>41</v>
      </c>
      <c r="K435">
        <v>44</v>
      </c>
      <c r="L435">
        <v>547224</v>
      </c>
      <c r="M435" s="26">
        <v>24077856</v>
      </c>
      <c r="N435">
        <v>23647</v>
      </c>
      <c r="O435" s="26">
        <v>2459672.04</v>
      </c>
      <c r="P435" s="5" t="s">
        <v>50</v>
      </c>
      <c r="Q435" s="5" t="s">
        <v>75</v>
      </c>
      <c r="R435">
        <v>4.9000000000000004</v>
      </c>
      <c r="S435">
        <v>16</v>
      </c>
      <c r="T435">
        <f t="shared" si="6"/>
        <v>0</v>
      </c>
    </row>
    <row r="436" spans="1:20">
      <c r="A436" s="4">
        <v>44450</v>
      </c>
      <c r="B436">
        <v>2021</v>
      </c>
      <c r="C436">
        <v>9</v>
      </c>
      <c r="D436" s="5" t="s">
        <v>44</v>
      </c>
      <c r="E436" s="5" t="s">
        <v>82</v>
      </c>
      <c r="F436" s="5" t="s">
        <v>83</v>
      </c>
      <c r="G436" s="5" t="s">
        <v>84</v>
      </c>
      <c r="H436" s="5" t="s">
        <v>57</v>
      </c>
      <c r="I436" s="5" t="s">
        <v>58</v>
      </c>
      <c r="J436" s="5" t="s">
        <v>59</v>
      </c>
      <c r="K436">
        <v>57</v>
      </c>
      <c r="L436">
        <v>1428329</v>
      </c>
      <c r="M436" s="26">
        <v>81414753</v>
      </c>
      <c r="N436">
        <v>19870</v>
      </c>
      <c r="O436" s="26">
        <v>9828633.4800000004</v>
      </c>
      <c r="P436" s="5" t="s">
        <v>50</v>
      </c>
      <c r="Q436" s="5" t="s">
        <v>75</v>
      </c>
      <c r="R436">
        <v>3.7</v>
      </c>
      <c r="S436">
        <v>9</v>
      </c>
      <c r="T436">
        <f t="shared" si="6"/>
        <v>0</v>
      </c>
    </row>
    <row r="437" spans="1:20">
      <c r="A437" s="4">
        <v>44442</v>
      </c>
      <c r="B437">
        <v>2021</v>
      </c>
      <c r="C437">
        <v>9</v>
      </c>
      <c r="D437" s="5" t="s">
        <v>66</v>
      </c>
      <c r="E437" s="5" t="s">
        <v>67</v>
      </c>
      <c r="F437" s="5" t="s">
        <v>68</v>
      </c>
      <c r="G437" s="5" t="s">
        <v>69</v>
      </c>
      <c r="H437" s="5" t="s">
        <v>74</v>
      </c>
      <c r="I437" s="5" t="s">
        <v>40</v>
      </c>
      <c r="J437" s="5" t="s">
        <v>49</v>
      </c>
      <c r="K437">
        <v>48</v>
      </c>
      <c r="L437">
        <v>648134</v>
      </c>
      <c r="M437" s="26">
        <v>31110432</v>
      </c>
      <c r="N437">
        <v>31089</v>
      </c>
      <c r="O437" s="26">
        <v>3049710.79</v>
      </c>
      <c r="P437" s="5" t="s">
        <v>50</v>
      </c>
      <c r="Q437" s="5" t="s">
        <v>75</v>
      </c>
      <c r="R437">
        <v>4.2</v>
      </c>
      <c r="S437">
        <v>14</v>
      </c>
      <c r="T437">
        <f t="shared" si="6"/>
        <v>0</v>
      </c>
    </row>
    <row r="438" spans="1:20">
      <c r="A438" s="4">
        <v>44444</v>
      </c>
      <c r="B438">
        <v>2021</v>
      </c>
      <c r="C438">
        <v>9</v>
      </c>
      <c r="D438" s="5" t="s">
        <v>35</v>
      </c>
      <c r="E438" s="5" t="s">
        <v>76</v>
      </c>
      <c r="F438" s="5" t="s">
        <v>77</v>
      </c>
      <c r="G438" s="5" t="s">
        <v>78</v>
      </c>
      <c r="H438" s="5" t="s">
        <v>63</v>
      </c>
      <c r="I438" s="5" t="s">
        <v>64</v>
      </c>
      <c r="J438" s="5" t="s">
        <v>41</v>
      </c>
      <c r="K438">
        <v>43</v>
      </c>
      <c r="L438">
        <v>755640</v>
      </c>
      <c r="M438" s="26">
        <v>32492520</v>
      </c>
      <c r="N438">
        <v>22586</v>
      </c>
      <c r="O438" s="26">
        <v>2620004.5099999998</v>
      </c>
      <c r="P438" s="5" t="s">
        <v>50</v>
      </c>
      <c r="Q438" s="5" t="s">
        <v>51</v>
      </c>
      <c r="R438">
        <v>4.0999999999999996</v>
      </c>
      <c r="S438">
        <v>11</v>
      </c>
      <c r="T438">
        <f t="shared" si="6"/>
        <v>0</v>
      </c>
    </row>
    <row r="439" spans="1:20">
      <c r="A439" s="4">
        <v>44464</v>
      </c>
      <c r="B439">
        <v>2021</v>
      </c>
      <c r="C439">
        <v>9</v>
      </c>
      <c r="D439" s="5" t="s">
        <v>66</v>
      </c>
      <c r="E439" s="5" t="s">
        <v>67</v>
      </c>
      <c r="F439" s="5" t="s">
        <v>68</v>
      </c>
      <c r="G439" s="5" t="s">
        <v>69</v>
      </c>
      <c r="H439" s="5" t="s">
        <v>57</v>
      </c>
      <c r="I439" s="5" t="s">
        <v>58</v>
      </c>
      <c r="J439" s="5" t="s">
        <v>59</v>
      </c>
      <c r="K439">
        <v>8</v>
      </c>
      <c r="L439">
        <v>1413394</v>
      </c>
      <c r="M439" s="26">
        <v>11307152</v>
      </c>
      <c r="N439">
        <v>49688</v>
      </c>
      <c r="O439" s="26">
        <v>1039078.4</v>
      </c>
      <c r="P439" s="5" t="s">
        <v>50</v>
      </c>
      <c r="Q439" s="5" t="s">
        <v>51</v>
      </c>
      <c r="R439">
        <v>4.2</v>
      </c>
      <c r="S439">
        <v>15</v>
      </c>
      <c r="T439">
        <f t="shared" si="6"/>
        <v>0</v>
      </c>
    </row>
    <row r="440" spans="1:20">
      <c r="A440" s="4">
        <v>44449</v>
      </c>
      <c r="B440">
        <v>2021</v>
      </c>
      <c r="C440">
        <v>9</v>
      </c>
      <c r="D440" s="5" t="s">
        <v>44</v>
      </c>
      <c r="E440" s="5" t="s">
        <v>45</v>
      </c>
      <c r="F440" s="5" t="s">
        <v>46</v>
      </c>
      <c r="G440" s="5" t="s">
        <v>47</v>
      </c>
      <c r="H440" s="5" t="s">
        <v>74</v>
      </c>
      <c r="I440" s="5" t="s">
        <v>40</v>
      </c>
      <c r="J440" s="5" t="s">
        <v>49</v>
      </c>
      <c r="K440">
        <v>27</v>
      </c>
      <c r="L440">
        <v>662373</v>
      </c>
      <c r="M440" s="26">
        <v>17884071</v>
      </c>
      <c r="N440">
        <v>25854</v>
      </c>
      <c r="O440" s="26">
        <v>1870312.76</v>
      </c>
      <c r="P440" s="5" t="s">
        <v>42</v>
      </c>
      <c r="Q440" s="5" t="s">
        <v>75</v>
      </c>
      <c r="R440">
        <v>4</v>
      </c>
      <c r="S440">
        <v>19</v>
      </c>
      <c r="T440">
        <f t="shared" si="6"/>
        <v>1</v>
      </c>
    </row>
    <row r="441" spans="1:20">
      <c r="A441" s="4">
        <v>44456</v>
      </c>
      <c r="B441">
        <v>2021</v>
      </c>
      <c r="C441">
        <v>9</v>
      </c>
      <c r="D441" s="5" t="s">
        <v>35</v>
      </c>
      <c r="E441" s="5" t="s">
        <v>76</v>
      </c>
      <c r="F441" s="5" t="s">
        <v>77</v>
      </c>
      <c r="G441" s="5" t="s">
        <v>78</v>
      </c>
      <c r="H441" s="5" t="s">
        <v>63</v>
      </c>
      <c r="I441" s="5" t="s">
        <v>64</v>
      </c>
      <c r="J441" s="5" t="s">
        <v>41</v>
      </c>
      <c r="K441">
        <v>52</v>
      </c>
      <c r="L441">
        <v>747946</v>
      </c>
      <c r="M441" s="26">
        <v>38893192</v>
      </c>
      <c r="N441">
        <v>16058</v>
      </c>
      <c r="O441" s="26">
        <v>5972417.96</v>
      </c>
      <c r="P441" s="5" t="s">
        <v>42</v>
      </c>
      <c r="Q441" s="5" t="s">
        <v>51</v>
      </c>
      <c r="R441">
        <v>4.7</v>
      </c>
      <c r="S441">
        <v>3</v>
      </c>
      <c r="T441">
        <f t="shared" si="6"/>
        <v>1</v>
      </c>
    </row>
    <row r="442" spans="1:20">
      <c r="A442" s="4">
        <v>44455</v>
      </c>
      <c r="B442">
        <v>2021</v>
      </c>
      <c r="C442">
        <v>9</v>
      </c>
      <c r="D442" s="5" t="s">
        <v>35</v>
      </c>
      <c r="E442" s="5" t="s">
        <v>36</v>
      </c>
      <c r="F442" s="5" t="s">
        <v>37</v>
      </c>
      <c r="G442" s="5" t="s">
        <v>38</v>
      </c>
      <c r="H442" s="5" t="s">
        <v>86</v>
      </c>
      <c r="I442" s="5" t="s">
        <v>40</v>
      </c>
      <c r="J442" s="5" t="s">
        <v>41</v>
      </c>
      <c r="K442">
        <v>29</v>
      </c>
      <c r="L442">
        <v>591173</v>
      </c>
      <c r="M442" s="26">
        <v>17144017</v>
      </c>
      <c r="N442">
        <v>27213</v>
      </c>
      <c r="O442" s="26">
        <v>2513432.7599999998</v>
      </c>
      <c r="P442" s="5" t="s">
        <v>50</v>
      </c>
      <c r="Q442" s="5" t="s">
        <v>43</v>
      </c>
      <c r="R442">
        <v>3.5</v>
      </c>
      <c r="S442">
        <v>10</v>
      </c>
      <c r="T442">
        <f t="shared" si="6"/>
        <v>0</v>
      </c>
    </row>
    <row r="443" spans="1:20">
      <c r="A443" s="4">
        <v>44457</v>
      </c>
      <c r="B443">
        <v>2021</v>
      </c>
      <c r="C443">
        <v>9</v>
      </c>
      <c r="D443" s="5" t="s">
        <v>54</v>
      </c>
      <c r="E443" s="5" t="s">
        <v>55</v>
      </c>
      <c r="F443" s="5" t="s">
        <v>55</v>
      </c>
      <c r="G443" s="5" t="s">
        <v>56</v>
      </c>
      <c r="H443" s="5" t="s">
        <v>57</v>
      </c>
      <c r="I443" s="5" t="s">
        <v>58</v>
      </c>
      <c r="J443" s="5" t="s">
        <v>59</v>
      </c>
      <c r="K443">
        <v>45</v>
      </c>
      <c r="L443">
        <v>1410155</v>
      </c>
      <c r="M443" s="26">
        <v>63456975</v>
      </c>
      <c r="N443">
        <v>42283</v>
      </c>
      <c r="O443" s="26">
        <v>5193874.9400000004</v>
      </c>
      <c r="P443" s="5" t="s">
        <v>42</v>
      </c>
      <c r="Q443" s="5" t="s">
        <v>75</v>
      </c>
      <c r="R443">
        <v>4.7</v>
      </c>
      <c r="S443">
        <v>18</v>
      </c>
      <c r="T443">
        <f t="shared" si="6"/>
        <v>1</v>
      </c>
    </row>
    <row r="444" spans="1:20">
      <c r="A444" s="4">
        <v>44465</v>
      </c>
      <c r="B444">
        <v>2021</v>
      </c>
      <c r="C444">
        <v>9</v>
      </c>
      <c r="D444" s="5" t="s">
        <v>66</v>
      </c>
      <c r="E444" s="5" t="s">
        <v>67</v>
      </c>
      <c r="F444" s="5" t="s">
        <v>68</v>
      </c>
      <c r="G444" s="5" t="s">
        <v>69</v>
      </c>
      <c r="H444" s="5" t="s">
        <v>73</v>
      </c>
      <c r="I444" s="5" t="s">
        <v>40</v>
      </c>
      <c r="J444" s="5" t="s">
        <v>49</v>
      </c>
      <c r="K444">
        <v>12</v>
      </c>
      <c r="L444">
        <v>747245</v>
      </c>
      <c r="M444" s="26">
        <v>8966940</v>
      </c>
      <c r="N444">
        <v>42632</v>
      </c>
      <c r="O444" s="26">
        <v>1125889.5</v>
      </c>
      <c r="P444" s="5" t="s">
        <v>42</v>
      </c>
      <c r="Q444" s="5" t="s">
        <v>75</v>
      </c>
      <c r="R444">
        <v>4.2</v>
      </c>
      <c r="S444">
        <v>8</v>
      </c>
      <c r="T444">
        <f t="shared" si="6"/>
        <v>1</v>
      </c>
    </row>
    <row r="445" spans="1:20">
      <c r="A445" s="4">
        <v>44457</v>
      </c>
      <c r="B445">
        <v>2021</v>
      </c>
      <c r="C445">
        <v>9</v>
      </c>
      <c r="D445" s="5" t="s">
        <v>54</v>
      </c>
      <c r="E445" s="5" t="s">
        <v>70</v>
      </c>
      <c r="F445" s="5" t="s">
        <v>71</v>
      </c>
      <c r="G445" s="5" t="s">
        <v>72</v>
      </c>
      <c r="H445" s="5" t="s">
        <v>39</v>
      </c>
      <c r="I445" s="5" t="s">
        <v>40</v>
      </c>
      <c r="J445" s="5" t="s">
        <v>41</v>
      </c>
      <c r="K445">
        <v>7</v>
      </c>
      <c r="L445">
        <v>604243</v>
      </c>
      <c r="M445" s="26">
        <v>4229701</v>
      </c>
      <c r="N445">
        <v>31852</v>
      </c>
      <c r="O445" s="26">
        <v>498105.37</v>
      </c>
      <c r="P445" s="5" t="s">
        <v>42</v>
      </c>
      <c r="Q445" s="5" t="s">
        <v>75</v>
      </c>
      <c r="R445">
        <v>5</v>
      </c>
      <c r="S445">
        <v>6</v>
      </c>
      <c r="T445">
        <f t="shared" si="6"/>
        <v>1</v>
      </c>
    </row>
    <row r="446" spans="1:20">
      <c r="A446" s="4">
        <v>44453</v>
      </c>
      <c r="B446">
        <v>2021</v>
      </c>
      <c r="C446">
        <v>9</v>
      </c>
      <c r="D446" s="5" t="s">
        <v>35</v>
      </c>
      <c r="E446" s="5" t="s">
        <v>60</v>
      </c>
      <c r="F446" s="5" t="s">
        <v>61</v>
      </c>
      <c r="G446" s="5" t="s">
        <v>62</v>
      </c>
      <c r="H446" s="5" t="s">
        <v>48</v>
      </c>
      <c r="I446" s="5" t="s">
        <v>40</v>
      </c>
      <c r="J446" s="5" t="s">
        <v>49</v>
      </c>
      <c r="K446">
        <v>21</v>
      </c>
      <c r="L446">
        <v>448333</v>
      </c>
      <c r="M446" s="26">
        <v>9414993</v>
      </c>
      <c r="N446">
        <v>46372</v>
      </c>
      <c r="O446" s="26">
        <v>1141131.3999999999</v>
      </c>
      <c r="P446" s="5" t="s">
        <v>42</v>
      </c>
      <c r="Q446" s="5" t="s">
        <v>51</v>
      </c>
      <c r="R446">
        <v>4.3</v>
      </c>
      <c r="S446">
        <v>4</v>
      </c>
      <c r="T446">
        <f t="shared" si="6"/>
        <v>1</v>
      </c>
    </row>
    <row r="447" spans="1:20">
      <c r="A447" s="4">
        <v>44466</v>
      </c>
      <c r="B447">
        <v>2021</v>
      </c>
      <c r="C447">
        <v>9</v>
      </c>
      <c r="D447" s="5" t="s">
        <v>54</v>
      </c>
      <c r="E447" s="5" t="s">
        <v>55</v>
      </c>
      <c r="F447" s="5" t="s">
        <v>55</v>
      </c>
      <c r="G447" s="5" t="s">
        <v>56</v>
      </c>
      <c r="H447" s="5" t="s">
        <v>79</v>
      </c>
      <c r="I447" s="5" t="s">
        <v>58</v>
      </c>
      <c r="J447" s="5" t="s">
        <v>49</v>
      </c>
      <c r="K447">
        <v>14</v>
      </c>
      <c r="L447">
        <v>929652</v>
      </c>
      <c r="M447" s="26">
        <v>13015128</v>
      </c>
      <c r="N447">
        <v>27998</v>
      </c>
      <c r="O447" s="26">
        <v>1886453.86</v>
      </c>
      <c r="P447" s="5" t="s">
        <v>50</v>
      </c>
      <c r="Q447" s="5" t="s">
        <v>75</v>
      </c>
      <c r="R447">
        <v>4.2</v>
      </c>
      <c r="S447">
        <v>5</v>
      </c>
      <c r="T447">
        <f t="shared" si="6"/>
        <v>0</v>
      </c>
    </row>
    <row r="448" spans="1:20">
      <c r="A448" s="4">
        <v>44445</v>
      </c>
      <c r="B448">
        <v>2021</v>
      </c>
      <c r="C448">
        <v>9</v>
      </c>
      <c r="D448" s="5" t="s">
        <v>54</v>
      </c>
      <c r="E448" s="5" t="s">
        <v>70</v>
      </c>
      <c r="F448" s="5" t="s">
        <v>71</v>
      </c>
      <c r="G448" s="5" t="s">
        <v>72</v>
      </c>
      <c r="H448" s="5" t="s">
        <v>80</v>
      </c>
      <c r="I448" s="5" t="s">
        <v>81</v>
      </c>
      <c r="J448" s="5" t="s">
        <v>41</v>
      </c>
      <c r="K448">
        <v>11</v>
      </c>
      <c r="L448">
        <v>577036</v>
      </c>
      <c r="M448" s="26">
        <v>6347396</v>
      </c>
      <c r="N448">
        <v>18337</v>
      </c>
      <c r="O448" s="26">
        <v>813647.69</v>
      </c>
      <c r="P448" s="5" t="s">
        <v>50</v>
      </c>
      <c r="Q448" s="5" t="s">
        <v>43</v>
      </c>
      <c r="R448">
        <v>4.7</v>
      </c>
      <c r="S448">
        <v>8</v>
      </c>
      <c r="T448">
        <f t="shared" si="6"/>
        <v>0</v>
      </c>
    </row>
    <row r="449" spans="1:20">
      <c r="A449" s="4">
        <v>44466</v>
      </c>
      <c r="B449">
        <v>2021</v>
      </c>
      <c r="C449">
        <v>9</v>
      </c>
      <c r="D449" s="5" t="s">
        <v>44</v>
      </c>
      <c r="E449" s="5" t="s">
        <v>82</v>
      </c>
      <c r="F449" s="5" t="s">
        <v>83</v>
      </c>
      <c r="G449" s="5" t="s">
        <v>84</v>
      </c>
      <c r="H449" s="5" t="s">
        <v>57</v>
      </c>
      <c r="I449" s="5" t="s">
        <v>58</v>
      </c>
      <c r="J449" s="5" t="s">
        <v>59</v>
      </c>
      <c r="K449">
        <v>42</v>
      </c>
      <c r="L449">
        <v>1374313</v>
      </c>
      <c r="M449" s="26">
        <v>57721146</v>
      </c>
      <c r="N449">
        <v>37157</v>
      </c>
      <c r="O449" s="26">
        <v>7226864.3600000003</v>
      </c>
      <c r="P449" s="5" t="s">
        <v>42</v>
      </c>
      <c r="Q449" s="5" t="s">
        <v>43</v>
      </c>
      <c r="R449">
        <v>4</v>
      </c>
      <c r="S449">
        <v>18</v>
      </c>
      <c r="T449">
        <f t="shared" si="6"/>
        <v>1</v>
      </c>
    </row>
    <row r="450" spans="1:20">
      <c r="A450" s="4">
        <v>44449</v>
      </c>
      <c r="B450">
        <v>2021</v>
      </c>
      <c r="C450">
        <v>9</v>
      </c>
      <c r="D450" s="5" t="s">
        <v>35</v>
      </c>
      <c r="E450" s="5" t="s">
        <v>60</v>
      </c>
      <c r="F450" s="5" t="s">
        <v>61</v>
      </c>
      <c r="G450" s="5" t="s">
        <v>62</v>
      </c>
      <c r="H450" s="5" t="s">
        <v>86</v>
      </c>
      <c r="I450" s="5" t="s">
        <v>40</v>
      </c>
      <c r="J450" s="5" t="s">
        <v>41</v>
      </c>
      <c r="K450">
        <v>58</v>
      </c>
      <c r="L450">
        <v>614488</v>
      </c>
      <c r="M450" s="26">
        <v>35640304</v>
      </c>
      <c r="N450">
        <v>14340</v>
      </c>
      <c r="O450" s="26">
        <v>2852184.14</v>
      </c>
      <c r="P450" s="5" t="s">
        <v>50</v>
      </c>
      <c r="Q450" s="5" t="s">
        <v>51</v>
      </c>
      <c r="R450">
        <v>4.5</v>
      </c>
      <c r="S450">
        <v>8</v>
      </c>
      <c r="T450">
        <f t="shared" ref="T450:T513" si="7">IF(AND(OR($B450=Sel_Year,Sel_Year="All"),OR($C450=Sel_Month,Sel_Month="All"),OR($D450=Sel_Region,Sel_Region="All"),OR($E450=Sel_State,Sel_State="All"),OR($F450=Sel_City,Sel_City="All"),OR($G450=Sel_Dealer,Sel_Dealer="All"),OR($H450=Sel_Model,Sel_Model="All"),OR($I450=Sel_Segment,Sel_Segment="All"),OR($J450=Sel_Fuel,Sel_Fuel="All"),OR($P450=Sel_CustType,Sel_CustType="All"),OR($Q450=Sel_Payment,Sel_Payment="All")),1,0)</f>
        <v>0</v>
      </c>
    </row>
    <row r="451" spans="1:20">
      <c r="A451" s="4">
        <v>44455</v>
      </c>
      <c r="B451">
        <v>2021</v>
      </c>
      <c r="C451">
        <v>9</v>
      </c>
      <c r="D451" s="5" t="s">
        <v>35</v>
      </c>
      <c r="E451" s="5" t="s">
        <v>36</v>
      </c>
      <c r="F451" s="5" t="s">
        <v>37</v>
      </c>
      <c r="G451" s="5" t="s">
        <v>38</v>
      </c>
      <c r="H451" s="5" t="s">
        <v>65</v>
      </c>
      <c r="I451" s="5" t="s">
        <v>53</v>
      </c>
      <c r="J451" s="5" t="s">
        <v>49</v>
      </c>
      <c r="K451">
        <v>20</v>
      </c>
      <c r="L451">
        <v>1249979</v>
      </c>
      <c r="M451" s="26">
        <v>24999580</v>
      </c>
      <c r="N451">
        <v>14046</v>
      </c>
      <c r="O451" s="26">
        <v>2169546.9900000002</v>
      </c>
      <c r="P451" s="5" t="s">
        <v>42</v>
      </c>
      <c r="Q451" s="5" t="s">
        <v>43</v>
      </c>
      <c r="R451">
        <v>4.4000000000000004</v>
      </c>
      <c r="S451">
        <v>15</v>
      </c>
      <c r="T451">
        <f t="shared" si="7"/>
        <v>1</v>
      </c>
    </row>
    <row r="452" spans="1:20">
      <c r="A452" s="4">
        <v>44476</v>
      </c>
      <c r="B452">
        <v>2021</v>
      </c>
      <c r="C452">
        <v>10</v>
      </c>
      <c r="D452" s="5" t="s">
        <v>66</v>
      </c>
      <c r="E452" s="5" t="s">
        <v>67</v>
      </c>
      <c r="F452" s="5" t="s">
        <v>68</v>
      </c>
      <c r="G452" s="5" t="s">
        <v>69</v>
      </c>
      <c r="H452" s="5" t="s">
        <v>48</v>
      </c>
      <c r="I452" s="5" t="s">
        <v>40</v>
      </c>
      <c r="J452" s="5" t="s">
        <v>49</v>
      </c>
      <c r="K452">
        <v>22</v>
      </c>
      <c r="L452">
        <v>451292</v>
      </c>
      <c r="M452" s="26">
        <v>9928424</v>
      </c>
      <c r="N452">
        <v>13217</v>
      </c>
      <c r="O452" s="26">
        <v>1326576.81</v>
      </c>
      <c r="P452" s="5" t="s">
        <v>42</v>
      </c>
      <c r="Q452" s="5" t="s">
        <v>75</v>
      </c>
      <c r="R452">
        <v>4.9000000000000004</v>
      </c>
      <c r="S452">
        <v>10</v>
      </c>
      <c r="T452">
        <f t="shared" si="7"/>
        <v>1</v>
      </c>
    </row>
    <row r="453" spans="1:20">
      <c r="A453" s="4">
        <v>44491</v>
      </c>
      <c r="B453">
        <v>2021</v>
      </c>
      <c r="C453">
        <v>10</v>
      </c>
      <c r="D453" s="5" t="s">
        <v>35</v>
      </c>
      <c r="E453" s="5" t="s">
        <v>36</v>
      </c>
      <c r="F453" s="5" t="s">
        <v>37</v>
      </c>
      <c r="G453" s="5" t="s">
        <v>38</v>
      </c>
      <c r="H453" s="5" t="s">
        <v>48</v>
      </c>
      <c r="I453" s="5" t="s">
        <v>40</v>
      </c>
      <c r="J453" s="5" t="s">
        <v>49</v>
      </c>
      <c r="K453">
        <v>18</v>
      </c>
      <c r="L453">
        <v>430166</v>
      </c>
      <c r="M453" s="26">
        <v>7742988</v>
      </c>
      <c r="N453">
        <v>30579</v>
      </c>
      <c r="O453" s="26">
        <v>893430.02</v>
      </c>
      <c r="P453" s="5" t="s">
        <v>50</v>
      </c>
      <c r="Q453" s="5" t="s">
        <v>43</v>
      </c>
      <c r="R453">
        <v>4.5999999999999996</v>
      </c>
      <c r="S453">
        <v>6</v>
      </c>
      <c r="T453">
        <f t="shared" si="7"/>
        <v>0</v>
      </c>
    </row>
    <row r="454" spans="1:20">
      <c r="A454" s="4">
        <v>44485</v>
      </c>
      <c r="B454">
        <v>2021</v>
      </c>
      <c r="C454">
        <v>10</v>
      </c>
      <c r="D454" s="5" t="s">
        <v>44</v>
      </c>
      <c r="E454" s="5" t="s">
        <v>82</v>
      </c>
      <c r="F454" s="5" t="s">
        <v>83</v>
      </c>
      <c r="G454" s="5" t="s">
        <v>84</v>
      </c>
      <c r="H454" s="5" t="s">
        <v>39</v>
      </c>
      <c r="I454" s="5" t="s">
        <v>40</v>
      </c>
      <c r="J454" s="5" t="s">
        <v>41</v>
      </c>
      <c r="K454">
        <v>54</v>
      </c>
      <c r="L454">
        <v>594554</v>
      </c>
      <c r="M454" s="26">
        <v>32105916</v>
      </c>
      <c r="N454">
        <v>42280</v>
      </c>
      <c r="O454" s="26">
        <v>4882816.24</v>
      </c>
      <c r="P454" s="5" t="s">
        <v>42</v>
      </c>
      <c r="Q454" s="5" t="s">
        <v>75</v>
      </c>
      <c r="R454">
        <v>4.7</v>
      </c>
      <c r="S454">
        <v>4</v>
      </c>
      <c r="T454">
        <f t="shared" si="7"/>
        <v>1</v>
      </c>
    </row>
    <row r="455" spans="1:20">
      <c r="A455" s="4">
        <v>44470</v>
      </c>
      <c r="B455">
        <v>2021</v>
      </c>
      <c r="C455">
        <v>10</v>
      </c>
      <c r="D455" s="5" t="s">
        <v>66</v>
      </c>
      <c r="E455" s="5" t="s">
        <v>67</v>
      </c>
      <c r="F455" s="5" t="s">
        <v>68</v>
      </c>
      <c r="G455" s="5" t="s">
        <v>69</v>
      </c>
      <c r="H455" s="5" t="s">
        <v>80</v>
      </c>
      <c r="I455" s="5" t="s">
        <v>81</v>
      </c>
      <c r="J455" s="5" t="s">
        <v>41</v>
      </c>
      <c r="K455">
        <v>58</v>
      </c>
      <c r="L455">
        <v>524792</v>
      </c>
      <c r="M455" s="26">
        <v>30437936</v>
      </c>
      <c r="N455">
        <v>9860</v>
      </c>
      <c r="O455" s="26">
        <v>2435574.7400000002</v>
      </c>
      <c r="P455" s="5" t="s">
        <v>50</v>
      </c>
      <c r="Q455" s="5" t="s">
        <v>75</v>
      </c>
      <c r="R455">
        <v>4.8</v>
      </c>
      <c r="S455">
        <v>6</v>
      </c>
      <c r="T455">
        <f t="shared" si="7"/>
        <v>0</v>
      </c>
    </row>
    <row r="456" spans="1:20">
      <c r="A456" s="4">
        <v>44478</v>
      </c>
      <c r="B456">
        <v>2021</v>
      </c>
      <c r="C456">
        <v>10</v>
      </c>
      <c r="D456" s="5" t="s">
        <v>44</v>
      </c>
      <c r="E456" s="5" t="s">
        <v>82</v>
      </c>
      <c r="F456" s="5" t="s">
        <v>83</v>
      </c>
      <c r="G456" s="5" t="s">
        <v>84</v>
      </c>
      <c r="H456" s="5" t="s">
        <v>74</v>
      </c>
      <c r="I456" s="5" t="s">
        <v>40</v>
      </c>
      <c r="J456" s="5" t="s">
        <v>49</v>
      </c>
      <c r="K456">
        <v>18</v>
      </c>
      <c r="L456">
        <v>676206</v>
      </c>
      <c r="M456" s="26">
        <v>12171708</v>
      </c>
      <c r="N456">
        <v>33228</v>
      </c>
      <c r="O456" s="26">
        <v>1302584.54</v>
      </c>
      <c r="P456" s="5" t="s">
        <v>42</v>
      </c>
      <c r="Q456" s="5" t="s">
        <v>75</v>
      </c>
      <c r="R456">
        <v>4.7</v>
      </c>
      <c r="S456">
        <v>7</v>
      </c>
      <c r="T456">
        <f t="shared" si="7"/>
        <v>1</v>
      </c>
    </row>
    <row r="457" spans="1:20">
      <c r="A457" s="4">
        <v>44480</v>
      </c>
      <c r="B457">
        <v>2021</v>
      </c>
      <c r="C457">
        <v>10</v>
      </c>
      <c r="D457" s="5" t="s">
        <v>66</v>
      </c>
      <c r="E457" s="5" t="s">
        <v>67</v>
      </c>
      <c r="F457" s="5" t="s">
        <v>68</v>
      </c>
      <c r="G457" s="5" t="s">
        <v>69</v>
      </c>
      <c r="H457" s="5" t="s">
        <v>73</v>
      </c>
      <c r="I457" s="5" t="s">
        <v>40</v>
      </c>
      <c r="J457" s="5" t="s">
        <v>49</v>
      </c>
      <c r="K457">
        <v>27</v>
      </c>
      <c r="L457">
        <v>697555</v>
      </c>
      <c r="M457" s="26">
        <v>18833985</v>
      </c>
      <c r="N457">
        <v>32704</v>
      </c>
      <c r="O457" s="26">
        <v>2185834.87</v>
      </c>
      <c r="P457" s="5" t="s">
        <v>50</v>
      </c>
      <c r="Q457" s="5" t="s">
        <v>75</v>
      </c>
      <c r="R457">
        <v>4.9000000000000004</v>
      </c>
      <c r="S457">
        <v>3</v>
      </c>
      <c r="T457">
        <f t="shared" si="7"/>
        <v>0</v>
      </c>
    </row>
    <row r="458" spans="1:20">
      <c r="A458" s="4">
        <v>44476</v>
      </c>
      <c r="B458">
        <v>2021</v>
      </c>
      <c r="C458">
        <v>10</v>
      </c>
      <c r="D458" s="5" t="s">
        <v>35</v>
      </c>
      <c r="E458" s="5" t="s">
        <v>36</v>
      </c>
      <c r="F458" s="5" t="s">
        <v>37</v>
      </c>
      <c r="G458" s="5" t="s">
        <v>38</v>
      </c>
      <c r="H458" s="5" t="s">
        <v>79</v>
      </c>
      <c r="I458" s="5" t="s">
        <v>58</v>
      </c>
      <c r="J458" s="5" t="s">
        <v>49</v>
      </c>
      <c r="K458">
        <v>54</v>
      </c>
      <c r="L458">
        <v>929405</v>
      </c>
      <c r="M458" s="26">
        <v>50187870</v>
      </c>
      <c r="N458">
        <v>44303</v>
      </c>
      <c r="O458" s="26">
        <v>6877772.6900000004</v>
      </c>
      <c r="P458" s="5" t="s">
        <v>50</v>
      </c>
      <c r="Q458" s="5" t="s">
        <v>51</v>
      </c>
      <c r="R458">
        <v>4.9000000000000004</v>
      </c>
      <c r="S458">
        <v>16</v>
      </c>
      <c r="T458">
        <f t="shared" si="7"/>
        <v>0</v>
      </c>
    </row>
    <row r="459" spans="1:20">
      <c r="A459" s="4">
        <v>44479</v>
      </c>
      <c r="B459">
        <v>2021</v>
      </c>
      <c r="C459">
        <v>10</v>
      </c>
      <c r="D459" s="5" t="s">
        <v>54</v>
      </c>
      <c r="E459" s="5" t="s">
        <v>55</v>
      </c>
      <c r="F459" s="5" t="s">
        <v>55</v>
      </c>
      <c r="G459" s="5" t="s">
        <v>56</v>
      </c>
      <c r="H459" s="5" t="s">
        <v>52</v>
      </c>
      <c r="I459" s="5" t="s">
        <v>53</v>
      </c>
      <c r="J459" s="5" t="s">
        <v>41</v>
      </c>
      <c r="K459">
        <v>49</v>
      </c>
      <c r="L459">
        <v>972701</v>
      </c>
      <c r="M459" s="26">
        <v>47662349</v>
      </c>
      <c r="N459">
        <v>45479</v>
      </c>
      <c r="O459" s="26">
        <v>4935934.25</v>
      </c>
      <c r="P459" s="5" t="s">
        <v>50</v>
      </c>
      <c r="Q459" s="5" t="s">
        <v>43</v>
      </c>
      <c r="R459">
        <v>3.6</v>
      </c>
      <c r="S459">
        <v>11</v>
      </c>
      <c r="T459">
        <f t="shared" si="7"/>
        <v>0</v>
      </c>
    </row>
    <row r="460" spans="1:20">
      <c r="A460" s="4">
        <v>44478</v>
      </c>
      <c r="B460">
        <v>2021</v>
      </c>
      <c r="C460">
        <v>10</v>
      </c>
      <c r="D460" s="5" t="s">
        <v>35</v>
      </c>
      <c r="E460" s="5" t="s">
        <v>36</v>
      </c>
      <c r="F460" s="5" t="s">
        <v>37</v>
      </c>
      <c r="G460" s="5" t="s">
        <v>38</v>
      </c>
      <c r="H460" s="5" t="s">
        <v>74</v>
      </c>
      <c r="I460" s="5" t="s">
        <v>40</v>
      </c>
      <c r="J460" s="5" t="s">
        <v>49</v>
      </c>
      <c r="K460">
        <v>44</v>
      </c>
      <c r="L460">
        <v>640692</v>
      </c>
      <c r="M460" s="26">
        <v>28190448</v>
      </c>
      <c r="N460">
        <v>6560</v>
      </c>
      <c r="O460" s="26">
        <v>4160019.31</v>
      </c>
      <c r="P460" s="5" t="s">
        <v>50</v>
      </c>
      <c r="Q460" s="5" t="s">
        <v>75</v>
      </c>
      <c r="R460">
        <v>3.9</v>
      </c>
      <c r="S460">
        <v>20</v>
      </c>
      <c r="T460">
        <f t="shared" si="7"/>
        <v>0</v>
      </c>
    </row>
    <row r="461" spans="1:20">
      <c r="A461" s="4">
        <v>44470</v>
      </c>
      <c r="B461">
        <v>2021</v>
      </c>
      <c r="C461">
        <v>10</v>
      </c>
      <c r="D461" s="5" t="s">
        <v>35</v>
      </c>
      <c r="E461" s="5" t="s">
        <v>60</v>
      </c>
      <c r="F461" s="5" t="s">
        <v>61</v>
      </c>
      <c r="G461" s="5" t="s">
        <v>62</v>
      </c>
      <c r="H461" s="5" t="s">
        <v>48</v>
      </c>
      <c r="I461" s="5" t="s">
        <v>40</v>
      </c>
      <c r="J461" s="5" t="s">
        <v>49</v>
      </c>
      <c r="K461">
        <v>17</v>
      </c>
      <c r="L461">
        <v>425071</v>
      </c>
      <c r="M461" s="26">
        <v>7226207</v>
      </c>
      <c r="N461">
        <v>13579</v>
      </c>
      <c r="O461" s="26">
        <v>743200.7</v>
      </c>
      <c r="P461" s="5" t="s">
        <v>50</v>
      </c>
      <c r="Q461" s="5" t="s">
        <v>75</v>
      </c>
      <c r="R461">
        <v>4.7</v>
      </c>
      <c r="S461">
        <v>7</v>
      </c>
      <c r="T461">
        <f t="shared" si="7"/>
        <v>0</v>
      </c>
    </row>
    <row r="462" spans="1:20">
      <c r="A462" s="4">
        <v>44496</v>
      </c>
      <c r="B462">
        <v>2021</v>
      </c>
      <c r="C462">
        <v>10</v>
      </c>
      <c r="D462" s="5" t="s">
        <v>35</v>
      </c>
      <c r="E462" s="5" t="s">
        <v>76</v>
      </c>
      <c r="F462" s="5" t="s">
        <v>77</v>
      </c>
      <c r="G462" s="5" t="s">
        <v>78</v>
      </c>
      <c r="H462" s="5" t="s">
        <v>39</v>
      </c>
      <c r="I462" s="5" t="s">
        <v>40</v>
      </c>
      <c r="J462" s="5" t="s">
        <v>41</v>
      </c>
      <c r="K462">
        <v>44</v>
      </c>
      <c r="L462">
        <v>580154</v>
      </c>
      <c r="M462" s="26">
        <v>25526776</v>
      </c>
      <c r="N462">
        <v>12040</v>
      </c>
      <c r="O462" s="26">
        <v>2049147.16</v>
      </c>
      <c r="P462" s="5" t="s">
        <v>50</v>
      </c>
      <c r="Q462" s="5" t="s">
        <v>51</v>
      </c>
      <c r="R462">
        <v>4</v>
      </c>
      <c r="S462">
        <v>7</v>
      </c>
      <c r="T462">
        <f t="shared" si="7"/>
        <v>0</v>
      </c>
    </row>
    <row r="463" spans="1:20">
      <c r="A463" s="4">
        <v>44495</v>
      </c>
      <c r="B463">
        <v>2021</v>
      </c>
      <c r="C463">
        <v>10</v>
      </c>
      <c r="D463" s="5" t="s">
        <v>44</v>
      </c>
      <c r="E463" s="5" t="s">
        <v>82</v>
      </c>
      <c r="F463" s="5" t="s">
        <v>83</v>
      </c>
      <c r="G463" s="5" t="s">
        <v>84</v>
      </c>
      <c r="H463" s="5" t="s">
        <v>73</v>
      </c>
      <c r="I463" s="5" t="s">
        <v>40</v>
      </c>
      <c r="J463" s="5" t="s">
        <v>49</v>
      </c>
      <c r="K463">
        <v>10</v>
      </c>
      <c r="L463">
        <v>709683</v>
      </c>
      <c r="M463" s="26">
        <v>7096830</v>
      </c>
      <c r="N463">
        <v>20205</v>
      </c>
      <c r="O463" s="26">
        <v>781662.27</v>
      </c>
      <c r="P463" s="5" t="s">
        <v>42</v>
      </c>
      <c r="Q463" s="5" t="s">
        <v>51</v>
      </c>
      <c r="R463">
        <v>3.7</v>
      </c>
      <c r="S463">
        <v>11</v>
      </c>
      <c r="T463">
        <f t="shared" si="7"/>
        <v>1</v>
      </c>
    </row>
    <row r="464" spans="1:20">
      <c r="A464" s="4">
        <v>44473</v>
      </c>
      <c r="B464">
        <v>2021</v>
      </c>
      <c r="C464">
        <v>10</v>
      </c>
      <c r="D464" s="5" t="s">
        <v>35</v>
      </c>
      <c r="E464" s="5" t="s">
        <v>36</v>
      </c>
      <c r="F464" s="5" t="s">
        <v>37</v>
      </c>
      <c r="G464" s="5" t="s">
        <v>38</v>
      </c>
      <c r="H464" s="5" t="s">
        <v>63</v>
      </c>
      <c r="I464" s="5" t="s">
        <v>64</v>
      </c>
      <c r="J464" s="5" t="s">
        <v>41</v>
      </c>
      <c r="K464">
        <v>57</v>
      </c>
      <c r="L464">
        <v>764981</v>
      </c>
      <c r="M464" s="26">
        <v>43603917</v>
      </c>
      <c r="N464">
        <v>12897</v>
      </c>
      <c r="O464" s="26">
        <v>4532600.25</v>
      </c>
      <c r="P464" s="5" t="s">
        <v>50</v>
      </c>
      <c r="Q464" s="5" t="s">
        <v>43</v>
      </c>
      <c r="R464">
        <v>4.0999999999999996</v>
      </c>
      <c r="S464">
        <v>5</v>
      </c>
      <c r="T464">
        <f t="shared" si="7"/>
        <v>0</v>
      </c>
    </row>
    <row r="465" spans="1:20">
      <c r="A465" s="4">
        <v>44492</v>
      </c>
      <c r="B465">
        <v>2021</v>
      </c>
      <c r="C465">
        <v>10</v>
      </c>
      <c r="D465" s="5" t="s">
        <v>54</v>
      </c>
      <c r="E465" s="5" t="s">
        <v>55</v>
      </c>
      <c r="F465" s="5" t="s">
        <v>55</v>
      </c>
      <c r="G465" s="5" t="s">
        <v>56</v>
      </c>
      <c r="H465" s="5" t="s">
        <v>79</v>
      </c>
      <c r="I465" s="5" t="s">
        <v>58</v>
      </c>
      <c r="J465" s="5" t="s">
        <v>49</v>
      </c>
      <c r="K465">
        <v>35</v>
      </c>
      <c r="L465">
        <v>912052</v>
      </c>
      <c r="M465" s="26">
        <v>31921820</v>
      </c>
      <c r="N465">
        <v>5504</v>
      </c>
      <c r="O465" s="26">
        <v>4791105.0199999996</v>
      </c>
      <c r="P465" s="5" t="s">
        <v>42</v>
      </c>
      <c r="Q465" s="5" t="s">
        <v>43</v>
      </c>
      <c r="R465">
        <v>4.0999999999999996</v>
      </c>
      <c r="S465">
        <v>8</v>
      </c>
      <c r="T465">
        <f t="shared" si="7"/>
        <v>1</v>
      </c>
    </row>
    <row r="466" spans="1:20">
      <c r="A466" s="4">
        <v>44487</v>
      </c>
      <c r="B466">
        <v>2021</v>
      </c>
      <c r="C466">
        <v>10</v>
      </c>
      <c r="D466" s="5" t="s">
        <v>35</v>
      </c>
      <c r="E466" s="5" t="s">
        <v>60</v>
      </c>
      <c r="F466" s="5" t="s">
        <v>61</v>
      </c>
      <c r="G466" s="5" t="s">
        <v>62</v>
      </c>
      <c r="H466" s="5" t="s">
        <v>57</v>
      </c>
      <c r="I466" s="5" t="s">
        <v>58</v>
      </c>
      <c r="J466" s="5" t="s">
        <v>59</v>
      </c>
      <c r="K466">
        <v>59</v>
      </c>
      <c r="L466">
        <v>1383078</v>
      </c>
      <c r="M466" s="26">
        <v>81601602</v>
      </c>
      <c r="N466">
        <v>39011</v>
      </c>
      <c r="O466" s="26">
        <v>11344267.310000001</v>
      </c>
      <c r="P466" s="5" t="s">
        <v>50</v>
      </c>
      <c r="Q466" s="5" t="s">
        <v>75</v>
      </c>
      <c r="R466">
        <v>4.0999999999999996</v>
      </c>
      <c r="S466">
        <v>8</v>
      </c>
      <c r="T466">
        <f t="shared" si="7"/>
        <v>0</v>
      </c>
    </row>
    <row r="467" spans="1:20">
      <c r="A467" s="4">
        <v>44481</v>
      </c>
      <c r="B467">
        <v>2021</v>
      </c>
      <c r="C467">
        <v>10</v>
      </c>
      <c r="D467" s="5" t="s">
        <v>54</v>
      </c>
      <c r="E467" s="5" t="s">
        <v>70</v>
      </c>
      <c r="F467" s="5" t="s">
        <v>71</v>
      </c>
      <c r="G467" s="5" t="s">
        <v>72</v>
      </c>
      <c r="H467" s="5" t="s">
        <v>48</v>
      </c>
      <c r="I467" s="5" t="s">
        <v>40</v>
      </c>
      <c r="J467" s="5" t="s">
        <v>49</v>
      </c>
      <c r="K467">
        <v>19</v>
      </c>
      <c r="L467">
        <v>423187</v>
      </c>
      <c r="M467" s="26">
        <v>8040553</v>
      </c>
      <c r="N467">
        <v>21097</v>
      </c>
      <c r="O467" s="26">
        <v>1177212.7</v>
      </c>
      <c r="P467" s="5" t="s">
        <v>50</v>
      </c>
      <c r="Q467" s="5" t="s">
        <v>51</v>
      </c>
      <c r="R467">
        <v>3.6</v>
      </c>
      <c r="S467">
        <v>15</v>
      </c>
      <c r="T467">
        <f t="shared" si="7"/>
        <v>0</v>
      </c>
    </row>
    <row r="468" spans="1:20">
      <c r="A468" s="4">
        <v>44491</v>
      </c>
      <c r="B468">
        <v>2021</v>
      </c>
      <c r="C468">
        <v>10</v>
      </c>
      <c r="D468" s="5" t="s">
        <v>54</v>
      </c>
      <c r="E468" s="5" t="s">
        <v>70</v>
      </c>
      <c r="F468" s="5" t="s">
        <v>71</v>
      </c>
      <c r="G468" s="5" t="s">
        <v>72</v>
      </c>
      <c r="H468" s="5" t="s">
        <v>65</v>
      </c>
      <c r="I468" s="5" t="s">
        <v>53</v>
      </c>
      <c r="J468" s="5" t="s">
        <v>49</v>
      </c>
      <c r="K468">
        <v>31</v>
      </c>
      <c r="L468">
        <v>1249449</v>
      </c>
      <c r="M468" s="26">
        <v>38732919</v>
      </c>
      <c r="N468">
        <v>33951</v>
      </c>
      <c r="O468" s="26">
        <v>5634161.1900000004</v>
      </c>
      <c r="P468" s="5" t="s">
        <v>42</v>
      </c>
      <c r="Q468" s="5" t="s">
        <v>43</v>
      </c>
      <c r="R468">
        <v>3.6</v>
      </c>
      <c r="S468">
        <v>10</v>
      </c>
      <c r="T468">
        <f t="shared" si="7"/>
        <v>1</v>
      </c>
    </row>
    <row r="469" spans="1:20">
      <c r="A469" s="4">
        <v>44483</v>
      </c>
      <c r="B469">
        <v>2021</v>
      </c>
      <c r="C469">
        <v>10</v>
      </c>
      <c r="D469" s="5" t="s">
        <v>35</v>
      </c>
      <c r="E469" s="5" t="s">
        <v>36</v>
      </c>
      <c r="F469" s="5" t="s">
        <v>37</v>
      </c>
      <c r="G469" s="5" t="s">
        <v>38</v>
      </c>
      <c r="H469" s="5" t="s">
        <v>57</v>
      </c>
      <c r="I469" s="5" t="s">
        <v>58</v>
      </c>
      <c r="J469" s="5" t="s">
        <v>59</v>
      </c>
      <c r="K469">
        <v>53</v>
      </c>
      <c r="L469">
        <v>1418456</v>
      </c>
      <c r="M469" s="26">
        <v>75178168</v>
      </c>
      <c r="N469">
        <v>12094</v>
      </c>
      <c r="O469" s="26">
        <v>10750221.439999999</v>
      </c>
      <c r="P469" s="5" t="s">
        <v>50</v>
      </c>
      <c r="Q469" s="5" t="s">
        <v>43</v>
      </c>
      <c r="R469">
        <v>3.7</v>
      </c>
      <c r="S469">
        <v>2</v>
      </c>
      <c r="T469">
        <f t="shared" si="7"/>
        <v>0</v>
      </c>
    </row>
    <row r="470" spans="1:20">
      <c r="A470" s="4">
        <v>44496</v>
      </c>
      <c r="B470">
        <v>2021</v>
      </c>
      <c r="C470">
        <v>10</v>
      </c>
      <c r="D470" s="5" t="s">
        <v>35</v>
      </c>
      <c r="E470" s="5" t="s">
        <v>76</v>
      </c>
      <c r="F470" s="5" t="s">
        <v>77</v>
      </c>
      <c r="G470" s="5" t="s">
        <v>78</v>
      </c>
      <c r="H470" s="5" t="s">
        <v>85</v>
      </c>
      <c r="I470" s="5" t="s">
        <v>58</v>
      </c>
      <c r="J470" s="5" t="s">
        <v>49</v>
      </c>
      <c r="K470">
        <v>50</v>
      </c>
      <c r="L470">
        <v>1002357</v>
      </c>
      <c r="M470" s="26">
        <v>50117850</v>
      </c>
      <c r="N470">
        <v>30179</v>
      </c>
      <c r="O470" s="26">
        <v>4791037.8600000003</v>
      </c>
      <c r="P470" s="5" t="s">
        <v>42</v>
      </c>
      <c r="Q470" s="5" t="s">
        <v>51</v>
      </c>
      <c r="R470">
        <v>4.7</v>
      </c>
      <c r="S470">
        <v>9</v>
      </c>
      <c r="T470">
        <f t="shared" si="7"/>
        <v>1</v>
      </c>
    </row>
    <row r="471" spans="1:20">
      <c r="A471" s="4">
        <v>44475</v>
      </c>
      <c r="B471">
        <v>2021</v>
      </c>
      <c r="C471">
        <v>10</v>
      </c>
      <c r="D471" s="5" t="s">
        <v>54</v>
      </c>
      <c r="E471" s="5" t="s">
        <v>55</v>
      </c>
      <c r="F471" s="5" t="s">
        <v>55</v>
      </c>
      <c r="G471" s="5" t="s">
        <v>56</v>
      </c>
      <c r="H471" s="5" t="s">
        <v>80</v>
      </c>
      <c r="I471" s="5" t="s">
        <v>81</v>
      </c>
      <c r="J471" s="5" t="s">
        <v>41</v>
      </c>
      <c r="K471">
        <v>58</v>
      </c>
      <c r="L471">
        <v>536362</v>
      </c>
      <c r="M471" s="26">
        <v>31108996</v>
      </c>
      <c r="N471">
        <v>44099</v>
      </c>
      <c r="O471" s="26">
        <v>3179197.63</v>
      </c>
      <c r="P471" s="5" t="s">
        <v>50</v>
      </c>
      <c r="Q471" s="5" t="s">
        <v>75</v>
      </c>
      <c r="R471">
        <v>4</v>
      </c>
      <c r="S471">
        <v>6</v>
      </c>
      <c r="T471">
        <f t="shared" si="7"/>
        <v>0</v>
      </c>
    </row>
    <row r="472" spans="1:20">
      <c r="A472" s="4">
        <v>44477</v>
      </c>
      <c r="B472">
        <v>2021</v>
      </c>
      <c r="C472">
        <v>10</v>
      </c>
      <c r="D472" s="5" t="s">
        <v>66</v>
      </c>
      <c r="E472" s="5" t="s">
        <v>67</v>
      </c>
      <c r="F472" s="5" t="s">
        <v>68</v>
      </c>
      <c r="G472" s="5" t="s">
        <v>69</v>
      </c>
      <c r="H472" s="5" t="s">
        <v>48</v>
      </c>
      <c r="I472" s="5" t="s">
        <v>40</v>
      </c>
      <c r="J472" s="5" t="s">
        <v>49</v>
      </c>
      <c r="K472">
        <v>34</v>
      </c>
      <c r="L472">
        <v>471076</v>
      </c>
      <c r="M472" s="26">
        <v>16016584</v>
      </c>
      <c r="N472">
        <v>49941</v>
      </c>
      <c r="O472" s="26">
        <v>2422980.08</v>
      </c>
      <c r="P472" s="5" t="s">
        <v>42</v>
      </c>
      <c r="Q472" s="5" t="s">
        <v>75</v>
      </c>
      <c r="R472">
        <v>3.6</v>
      </c>
      <c r="S472">
        <v>7</v>
      </c>
      <c r="T472">
        <f t="shared" si="7"/>
        <v>1</v>
      </c>
    </row>
    <row r="473" spans="1:20">
      <c r="A473" s="4">
        <v>44481</v>
      </c>
      <c r="B473">
        <v>2021</v>
      </c>
      <c r="C473">
        <v>10</v>
      </c>
      <c r="D473" s="5" t="s">
        <v>35</v>
      </c>
      <c r="E473" s="5" t="s">
        <v>76</v>
      </c>
      <c r="F473" s="5" t="s">
        <v>77</v>
      </c>
      <c r="G473" s="5" t="s">
        <v>78</v>
      </c>
      <c r="H473" s="5" t="s">
        <v>79</v>
      </c>
      <c r="I473" s="5" t="s">
        <v>58</v>
      </c>
      <c r="J473" s="5" t="s">
        <v>49</v>
      </c>
      <c r="K473">
        <v>13</v>
      </c>
      <c r="L473">
        <v>918940</v>
      </c>
      <c r="M473" s="26">
        <v>11946220</v>
      </c>
      <c r="N473">
        <v>29813</v>
      </c>
      <c r="O473" s="26">
        <v>1338821.29</v>
      </c>
      <c r="P473" s="5" t="s">
        <v>50</v>
      </c>
      <c r="Q473" s="5" t="s">
        <v>75</v>
      </c>
      <c r="R473">
        <v>4.9000000000000004</v>
      </c>
      <c r="S473">
        <v>19</v>
      </c>
      <c r="T473">
        <f t="shared" si="7"/>
        <v>0</v>
      </c>
    </row>
    <row r="474" spans="1:20">
      <c r="A474" s="4">
        <v>44480</v>
      </c>
      <c r="B474">
        <v>2021</v>
      </c>
      <c r="C474">
        <v>10</v>
      </c>
      <c r="D474" s="5" t="s">
        <v>35</v>
      </c>
      <c r="E474" s="5" t="s">
        <v>60</v>
      </c>
      <c r="F474" s="5" t="s">
        <v>61</v>
      </c>
      <c r="G474" s="5" t="s">
        <v>62</v>
      </c>
      <c r="H474" s="5" t="s">
        <v>39</v>
      </c>
      <c r="I474" s="5" t="s">
        <v>40</v>
      </c>
      <c r="J474" s="5" t="s">
        <v>41</v>
      </c>
      <c r="K474">
        <v>27</v>
      </c>
      <c r="L474">
        <v>568864</v>
      </c>
      <c r="M474" s="26">
        <v>15359328</v>
      </c>
      <c r="N474">
        <v>29385</v>
      </c>
      <c r="O474" s="26">
        <v>2142900.4</v>
      </c>
      <c r="P474" s="5" t="s">
        <v>42</v>
      </c>
      <c r="Q474" s="5" t="s">
        <v>75</v>
      </c>
      <c r="R474">
        <v>4.9000000000000004</v>
      </c>
      <c r="S474">
        <v>5</v>
      </c>
      <c r="T474">
        <f t="shared" si="7"/>
        <v>1</v>
      </c>
    </row>
    <row r="475" spans="1:20">
      <c r="A475" s="4">
        <v>44486</v>
      </c>
      <c r="B475">
        <v>2021</v>
      </c>
      <c r="C475">
        <v>10</v>
      </c>
      <c r="D475" s="5" t="s">
        <v>66</v>
      </c>
      <c r="E475" s="5" t="s">
        <v>67</v>
      </c>
      <c r="F475" s="5" t="s">
        <v>68</v>
      </c>
      <c r="G475" s="5" t="s">
        <v>69</v>
      </c>
      <c r="H475" s="5" t="s">
        <v>63</v>
      </c>
      <c r="I475" s="5" t="s">
        <v>64</v>
      </c>
      <c r="J475" s="5" t="s">
        <v>41</v>
      </c>
      <c r="K475">
        <v>22</v>
      </c>
      <c r="L475">
        <v>733831</v>
      </c>
      <c r="M475" s="26">
        <v>16144282</v>
      </c>
      <c r="N475">
        <v>48866</v>
      </c>
      <c r="O475" s="26">
        <v>2380093.1800000002</v>
      </c>
      <c r="P475" s="5" t="s">
        <v>42</v>
      </c>
      <c r="Q475" s="5" t="s">
        <v>43</v>
      </c>
      <c r="R475">
        <v>3.6</v>
      </c>
      <c r="S475">
        <v>12</v>
      </c>
      <c r="T475">
        <f t="shared" si="7"/>
        <v>1</v>
      </c>
    </row>
    <row r="476" spans="1:20">
      <c r="A476" s="4">
        <v>44477</v>
      </c>
      <c r="B476">
        <v>2021</v>
      </c>
      <c r="C476">
        <v>10</v>
      </c>
      <c r="D476" s="5" t="s">
        <v>66</v>
      </c>
      <c r="E476" s="5" t="s">
        <v>67</v>
      </c>
      <c r="F476" s="5" t="s">
        <v>68</v>
      </c>
      <c r="G476" s="5" t="s">
        <v>69</v>
      </c>
      <c r="H476" s="5" t="s">
        <v>65</v>
      </c>
      <c r="I476" s="5" t="s">
        <v>53</v>
      </c>
      <c r="J476" s="5" t="s">
        <v>49</v>
      </c>
      <c r="K476">
        <v>34</v>
      </c>
      <c r="L476">
        <v>1258130</v>
      </c>
      <c r="M476" s="26">
        <v>42776420</v>
      </c>
      <c r="N476">
        <v>41807</v>
      </c>
      <c r="O476" s="26">
        <v>6298689.9100000001</v>
      </c>
      <c r="P476" s="5" t="s">
        <v>50</v>
      </c>
      <c r="Q476" s="5" t="s">
        <v>51</v>
      </c>
      <c r="R476">
        <v>3.6</v>
      </c>
      <c r="S476">
        <v>10</v>
      </c>
      <c r="T476">
        <f t="shared" si="7"/>
        <v>0</v>
      </c>
    </row>
    <row r="477" spans="1:20">
      <c r="A477" s="4">
        <v>44483</v>
      </c>
      <c r="B477">
        <v>2021</v>
      </c>
      <c r="C477">
        <v>10</v>
      </c>
      <c r="D477" s="5" t="s">
        <v>35</v>
      </c>
      <c r="E477" s="5" t="s">
        <v>76</v>
      </c>
      <c r="F477" s="5" t="s">
        <v>77</v>
      </c>
      <c r="G477" s="5" t="s">
        <v>78</v>
      </c>
      <c r="H477" s="5" t="s">
        <v>52</v>
      </c>
      <c r="I477" s="5" t="s">
        <v>53</v>
      </c>
      <c r="J477" s="5" t="s">
        <v>41</v>
      </c>
      <c r="K477">
        <v>17</v>
      </c>
      <c r="L477">
        <v>968517</v>
      </c>
      <c r="M477" s="26">
        <v>16464789</v>
      </c>
      <c r="N477">
        <v>12326</v>
      </c>
      <c r="O477" s="26">
        <v>2124533.85</v>
      </c>
      <c r="P477" s="5" t="s">
        <v>42</v>
      </c>
      <c r="Q477" s="5" t="s">
        <v>51</v>
      </c>
      <c r="R477">
        <v>3.9</v>
      </c>
      <c r="S477">
        <v>6</v>
      </c>
      <c r="T477">
        <f t="shared" si="7"/>
        <v>1</v>
      </c>
    </row>
    <row r="478" spans="1:20">
      <c r="A478" s="4">
        <v>44475</v>
      </c>
      <c r="B478">
        <v>2021</v>
      </c>
      <c r="C478">
        <v>10</v>
      </c>
      <c r="D478" s="5" t="s">
        <v>44</v>
      </c>
      <c r="E478" s="5" t="s">
        <v>45</v>
      </c>
      <c r="F478" s="5" t="s">
        <v>46</v>
      </c>
      <c r="G478" s="5" t="s">
        <v>47</v>
      </c>
      <c r="H478" s="5" t="s">
        <v>63</v>
      </c>
      <c r="I478" s="5" t="s">
        <v>64</v>
      </c>
      <c r="J478" s="5" t="s">
        <v>41</v>
      </c>
      <c r="K478">
        <v>20</v>
      </c>
      <c r="L478">
        <v>776031</v>
      </c>
      <c r="M478" s="26">
        <v>15520620</v>
      </c>
      <c r="N478">
        <v>23312</v>
      </c>
      <c r="O478" s="26">
        <v>1950104.72</v>
      </c>
      <c r="P478" s="5" t="s">
        <v>42</v>
      </c>
      <c r="Q478" s="5" t="s">
        <v>43</v>
      </c>
      <c r="R478">
        <v>3.5</v>
      </c>
      <c r="S478">
        <v>11</v>
      </c>
      <c r="T478">
        <f t="shared" si="7"/>
        <v>1</v>
      </c>
    </row>
    <row r="479" spans="1:20">
      <c r="A479" s="4">
        <v>44493</v>
      </c>
      <c r="B479">
        <v>2021</v>
      </c>
      <c r="C479">
        <v>10</v>
      </c>
      <c r="D479" s="5" t="s">
        <v>35</v>
      </c>
      <c r="E479" s="5" t="s">
        <v>36</v>
      </c>
      <c r="F479" s="5" t="s">
        <v>37</v>
      </c>
      <c r="G479" s="5" t="s">
        <v>38</v>
      </c>
      <c r="H479" s="5" t="s">
        <v>86</v>
      </c>
      <c r="I479" s="5" t="s">
        <v>40</v>
      </c>
      <c r="J479" s="5" t="s">
        <v>41</v>
      </c>
      <c r="K479">
        <v>31</v>
      </c>
      <c r="L479">
        <v>572400</v>
      </c>
      <c r="M479" s="26">
        <v>17744400</v>
      </c>
      <c r="N479">
        <v>35613</v>
      </c>
      <c r="O479" s="26">
        <v>2139864.7000000002</v>
      </c>
      <c r="P479" s="5" t="s">
        <v>42</v>
      </c>
      <c r="Q479" s="5" t="s">
        <v>51</v>
      </c>
      <c r="R479">
        <v>4.9000000000000004</v>
      </c>
      <c r="S479">
        <v>3</v>
      </c>
      <c r="T479">
        <f t="shared" si="7"/>
        <v>1</v>
      </c>
    </row>
    <row r="480" spans="1:20">
      <c r="A480" s="4">
        <v>44473</v>
      </c>
      <c r="B480">
        <v>2021</v>
      </c>
      <c r="C480">
        <v>10</v>
      </c>
      <c r="D480" s="5" t="s">
        <v>66</v>
      </c>
      <c r="E480" s="5" t="s">
        <v>67</v>
      </c>
      <c r="F480" s="5" t="s">
        <v>68</v>
      </c>
      <c r="G480" s="5" t="s">
        <v>69</v>
      </c>
      <c r="H480" s="5" t="s">
        <v>73</v>
      </c>
      <c r="I480" s="5" t="s">
        <v>40</v>
      </c>
      <c r="J480" s="5" t="s">
        <v>49</v>
      </c>
      <c r="K480">
        <v>49</v>
      </c>
      <c r="L480">
        <v>743115</v>
      </c>
      <c r="M480" s="26">
        <v>36412635</v>
      </c>
      <c r="N480">
        <v>24274</v>
      </c>
      <c r="O480" s="26">
        <v>4117242.06</v>
      </c>
      <c r="P480" s="5" t="s">
        <v>42</v>
      </c>
      <c r="Q480" s="5" t="s">
        <v>43</v>
      </c>
      <c r="R480">
        <v>3.5</v>
      </c>
      <c r="S480">
        <v>10</v>
      </c>
      <c r="T480">
        <f t="shared" si="7"/>
        <v>1</v>
      </c>
    </row>
    <row r="481" spans="1:20">
      <c r="A481" s="4">
        <v>44487</v>
      </c>
      <c r="B481">
        <v>2021</v>
      </c>
      <c r="C481">
        <v>10</v>
      </c>
      <c r="D481" s="5" t="s">
        <v>54</v>
      </c>
      <c r="E481" s="5" t="s">
        <v>55</v>
      </c>
      <c r="F481" s="5" t="s">
        <v>55</v>
      </c>
      <c r="G481" s="5" t="s">
        <v>56</v>
      </c>
      <c r="H481" s="5" t="s">
        <v>63</v>
      </c>
      <c r="I481" s="5" t="s">
        <v>64</v>
      </c>
      <c r="J481" s="5" t="s">
        <v>41</v>
      </c>
      <c r="K481">
        <v>21</v>
      </c>
      <c r="L481">
        <v>751319</v>
      </c>
      <c r="M481" s="26">
        <v>15777699</v>
      </c>
      <c r="N481">
        <v>38159</v>
      </c>
      <c r="O481" s="26">
        <v>1298438.79</v>
      </c>
      <c r="P481" s="5" t="s">
        <v>50</v>
      </c>
      <c r="Q481" s="5" t="s">
        <v>75</v>
      </c>
      <c r="R481">
        <v>4</v>
      </c>
      <c r="S481">
        <v>5</v>
      </c>
      <c r="T481">
        <f t="shared" si="7"/>
        <v>0</v>
      </c>
    </row>
    <row r="482" spans="1:20">
      <c r="A482" s="4">
        <v>44474</v>
      </c>
      <c r="B482">
        <v>2021</v>
      </c>
      <c r="C482">
        <v>10</v>
      </c>
      <c r="D482" s="5" t="s">
        <v>35</v>
      </c>
      <c r="E482" s="5" t="s">
        <v>36</v>
      </c>
      <c r="F482" s="5" t="s">
        <v>37</v>
      </c>
      <c r="G482" s="5" t="s">
        <v>38</v>
      </c>
      <c r="H482" s="5" t="s">
        <v>63</v>
      </c>
      <c r="I482" s="5" t="s">
        <v>64</v>
      </c>
      <c r="J482" s="5" t="s">
        <v>41</v>
      </c>
      <c r="K482">
        <v>52</v>
      </c>
      <c r="L482">
        <v>757058</v>
      </c>
      <c r="M482" s="26">
        <v>39367016</v>
      </c>
      <c r="N482">
        <v>39051</v>
      </c>
      <c r="O482" s="26">
        <v>5608318.2300000004</v>
      </c>
      <c r="P482" s="5" t="s">
        <v>50</v>
      </c>
      <c r="Q482" s="5" t="s">
        <v>51</v>
      </c>
      <c r="R482">
        <v>4.2</v>
      </c>
      <c r="S482">
        <v>18</v>
      </c>
      <c r="T482">
        <f t="shared" si="7"/>
        <v>0</v>
      </c>
    </row>
    <row r="483" spans="1:20">
      <c r="A483" s="4">
        <v>44482</v>
      </c>
      <c r="B483">
        <v>2021</v>
      </c>
      <c r="C483">
        <v>10</v>
      </c>
      <c r="D483" s="5" t="s">
        <v>44</v>
      </c>
      <c r="E483" s="5" t="s">
        <v>45</v>
      </c>
      <c r="F483" s="5" t="s">
        <v>46</v>
      </c>
      <c r="G483" s="5" t="s">
        <v>47</v>
      </c>
      <c r="H483" s="5" t="s">
        <v>79</v>
      </c>
      <c r="I483" s="5" t="s">
        <v>58</v>
      </c>
      <c r="J483" s="5" t="s">
        <v>49</v>
      </c>
      <c r="K483">
        <v>28</v>
      </c>
      <c r="L483">
        <v>911209</v>
      </c>
      <c r="M483" s="26">
        <v>25513852</v>
      </c>
      <c r="N483">
        <v>14801</v>
      </c>
      <c r="O483" s="26">
        <v>3636604.67</v>
      </c>
      <c r="P483" s="5" t="s">
        <v>42</v>
      </c>
      <c r="Q483" s="5" t="s">
        <v>51</v>
      </c>
      <c r="R483">
        <v>3.9</v>
      </c>
      <c r="S483">
        <v>19</v>
      </c>
      <c r="T483">
        <f t="shared" si="7"/>
        <v>1</v>
      </c>
    </row>
    <row r="484" spans="1:20">
      <c r="A484" s="4">
        <v>44476</v>
      </c>
      <c r="B484">
        <v>2021</v>
      </c>
      <c r="C484">
        <v>10</v>
      </c>
      <c r="D484" s="5" t="s">
        <v>44</v>
      </c>
      <c r="E484" s="5" t="s">
        <v>45</v>
      </c>
      <c r="F484" s="5" t="s">
        <v>46</v>
      </c>
      <c r="G484" s="5" t="s">
        <v>47</v>
      </c>
      <c r="H484" s="5" t="s">
        <v>57</v>
      </c>
      <c r="I484" s="5" t="s">
        <v>58</v>
      </c>
      <c r="J484" s="5" t="s">
        <v>59</v>
      </c>
      <c r="K484">
        <v>13</v>
      </c>
      <c r="L484">
        <v>1371180</v>
      </c>
      <c r="M484" s="26">
        <v>17825340</v>
      </c>
      <c r="N484">
        <v>46451</v>
      </c>
      <c r="O484" s="26">
        <v>1551442.74</v>
      </c>
      <c r="P484" s="5" t="s">
        <v>42</v>
      </c>
      <c r="Q484" s="5" t="s">
        <v>43</v>
      </c>
      <c r="R484">
        <v>4.3</v>
      </c>
      <c r="S484">
        <v>7</v>
      </c>
      <c r="T484">
        <f t="shared" si="7"/>
        <v>1</v>
      </c>
    </row>
    <row r="485" spans="1:20">
      <c r="A485" s="4">
        <v>44493</v>
      </c>
      <c r="B485">
        <v>2021</v>
      </c>
      <c r="C485">
        <v>10</v>
      </c>
      <c r="D485" s="5" t="s">
        <v>35</v>
      </c>
      <c r="E485" s="5" t="s">
        <v>36</v>
      </c>
      <c r="F485" s="5" t="s">
        <v>37</v>
      </c>
      <c r="G485" s="5" t="s">
        <v>38</v>
      </c>
      <c r="H485" s="5" t="s">
        <v>79</v>
      </c>
      <c r="I485" s="5" t="s">
        <v>58</v>
      </c>
      <c r="J485" s="5" t="s">
        <v>49</v>
      </c>
      <c r="K485">
        <v>53</v>
      </c>
      <c r="L485">
        <v>872979</v>
      </c>
      <c r="M485" s="26">
        <v>46267887</v>
      </c>
      <c r="N485">
        <v>9888</v>
      </c>
      <c r="O485" s="26">
        <v>5019390.47</v>
      </c>
      <c r="P485" s="5" t="s">
        <v>42</v>
      </c>
      <c r="Q485" s="5" t="s">
        <v>51</v>
      </c>
      <c r="R485">
        <v>3.9</v>
      </c>
      <c r="S485">
        <v>13</v>
      </c>
      <c r="T485">
        <f t="shared" si="7"/>
        <v>1</v>
      </c>
    </row>
    <row r="486" spans="1:20">
      <c r="A486" s="4">
        <v>44480</v>
      </c>
      <c r="B486">
        <v>2021</v>
      </c>
      <c r="C486">
        <v>10</v>
      </c>
      <c r="D486" s="5" t="s">
        <v>54</v>
      </c>
      <c r="E486" s="5" t="s">
        <v>70</v>
      </c>
      <c r="F486" s="5" t="s">
        <v>71</v>
      </c>
      <c r="G486" s="5" t="s">
        <v>72</v>
      </c>
      <c r="H486" s="5" t="s">
        <v>63</v>
      </c>
      <c r="I486" s="5" t="s">
        <v>64</v>
      </c>
      <c r="J486" s="5" t="s">
        <v>41</v>
      </c>
      <c r="K486">
        <v>31</v>
      </c>
      <c r="L486">
        <v>756122</v>
      </c>
      <c r="M486" s="26">
        <v>23439782</v>
      </c>
      <c r="N486">
        <v>36188</v>
      </c>
      <c r="O486" s="26">
        <v>2697048.69</v>
      </c>
      <c r="P486" s="5" t="s">
        <v>42</v>
      </c>
      <c r="Q486" s="5" t="s">
        <v>75</v>
      </c>
      <c r="R486">
        <v>4.7</v>
      </c>
      <c r="S486">
        <v>17</v>
      </c>
      <c r="T486">
        <f t="shared" si="7"/>
        <v>1</v>
      </c>
    </row>
    <row r="487" spans="1:20">
      <c r="A487" s="4">
        <v>44485</v>
      </c>
      <c r="B487">
        <v>2021</v>
      </c>
      <c r="C487">
        <v>10</v>
      </c>
      <c r="D487" s="5" t="s">
        <v>44</v>
      </c>
      <c r="E487" s="5" t="s">
        <v>82</v>
      </c>
      <c r="F487" s="5" t="s">
        <v>83</v>
      </c>
      <c r="G487" s="5" t="s">
        <v>84</v>
      </c>
      <c r="H487" s="5" t="s">
        <v>80</v>
      </c>
      <c r="I487" s="5" t="s">
        <v>81</v>
      </c>
      <c r="J487" s="5" t="s">
        <v>41</v>
      </c>
      <c r="K487">
        <v>49</v>
      </c>
      <c r="L487">
        <v>536571</v>
      </c>
      <c r="M487" s="26">
        <v>26291979</v>
      </c>
      <c r="N487">
        <v>32995</v>
      </c>
      <c r="O487" s="26">
        <v>4124305.2</v>
      </c>
      <c r="P487" s="5" t="s">
        <v>50</v>
      </c>
      <c r="Q487" s="5" t="s">
        <v>43</v>
      </c>
      <c r="R487">
        <v>4.3</v>
      </c>
      <c r="S487">
        <v>17</v>
      </c>
      <c r="T487">
        <f t="shared" si="7"/>
        <v>0</v>
      </c>
    </row>
    <row r="488" spans="1:20">
      <c r="A488" s="4">
        <v>44492</v>
      </c>
      <c r="B488">
        <v>2021</v>
      </c>
      <c r="C488">
        <v>10</v>
      </c>
      <c r="D488" s="5" t="s">
        <v>54</v>
      </c>
      <c r="E488" s="5" t="s">
        <v>70</v>
      </c>
      <c r="F488" s="5" t="s">
        <v>71</v>
      </c>
      <c r="G488" s="5" t="s">
        <v>72</v>
      </c>
      <c r="H488" s="5" t="s">
        <v>48</v>
      </c>
      <c r="I488" s="5" t="s">
        <v>40</v>
      </c>
      <c r="J488" s="5" t="s">
        <v>49</v>
      </c>
      <c r="K488">
        <v>13</v>
      </c>
      <c r="L488">
        <v>449285</v>
      </c>
      <c r="M488" s="26">
        <v>5840705</v>
      </c>
      <c r="N488">
        <v>14500</v>
      </c>
      <c r="O488" s="26">
        <v>882436.72</v>
      </c>
      <c r="P488" s="5" t="s">
        <v>42</v>
      </c>
      <c r="Q488" s="5" t="s">
        <v>75</v>
      </c>
      <c r="R488">
        <v>4.8</v>
      </c>
      <c r="S488">
        <v>9</v>
      </c>
      <c r="T488">
        <f t="shared" si="7"/>
        <v>1</v>
      </c>
    </row>
    <row r="489" spans="1:20">
      <c r="A489" s="4">
        <v>44481</v>
      </c>
      <c r="B489">
        <v>2021</v>
      </c>
      <c r="C489">
        <v>10</v>
      </c>
      <c r="D489" s="5" t="s">
        <v>54</v>
      </c>
      <c r="E489" s="5" t="s">
        <v>70</v>
      </c>
      <c r="F489" s="5" t="s">
        <v>71</v>
      </c>
      <c r="G489" s="5" t="s">
        <v>72</v>
      </c>
      <c r="H489" s="5" t="s">
        <v>73</v>
      </c>
      <c r="I489" s="5" t="s">
        <v>40</v>
      </c>
      <c r="J489" s="5" t="s">
        <v>49</v>
      </c>
      <c r="K489">
        <v>48</v>
      </c>
      <c r="L489">
        <v>726265</v>
      </c>
      <c r="M489" s="26">
        <v>34860720</v>
      </c>
      <c r="N489">
        <v>41871</v>
      </c>
      <c r="O489" s="26">
        <v>4428215.18</v>
      </c>
      <c r="P489" s="5" t="s">
        <v>50</v>
      </c>
      <c r="Q489" s="5" t="s">
        <v>43</v>
      </c>
      <c r="R489">
        <v>4.4000000000000004</v>
      </c>
      <c r="S489">
        <v>11</v>
      </c>
      <c r="T489">
        <f t="shared" si="7"/>
        <v>0</v>
      </c>
    </row>
    <row r="490" spans="1:20">
      <c r="A490" s="4">
        <v>44472</v>
      </c>
      <c r="B490">
        <v>2021</v>
      </c>
      <c r="C490">
        <v>10</v>
      </c>
      <c r="D490" s="5" t="s">
        <v>44</v>
      </c>
      <c r="E490" s="5" t="s">
        <v>82</v>
      </c>
      <c r="F490" s="5" t="s">
        <v>83</v>
      </c>
      <c r="G490" s="5" t="s">
        <v>84</v>
      </c>
      <c r="H490" s="5" t="s">
        <v>85</v>
      </c>
      <c r="I490" s="5" t="s">
        <v>58</v>
      </c>
      <c r="J490" s="5" t="s">
        <v>49</v>
      </c>
      <c r="K490">
        <v>44</v>
      </c>
      <c r="L490">
        <v>950658</v>
      </c>
      <c r="M490" s="26">
        <v>41828952</v>
      </c>
      <c r="N490">
        <v>47958</v>
      </c>
      <c r="O490" s="26">
        <v>4951901.68</v>
      </c>
      <c r="P490" s="5" t="s">
        <v>42</v>
      </c>
      <c r="Q490" s="5" t="s">
        <v>43</v>
      </c>
      <c r="R490">
        <v>4.5999999999999996</v>
      </c>
      <c r="S490">
        <v>16</v>
      </c>
      <c r="T490">
        <f t="shared" si="7"/>
        <v>1</v>
      </c>
    </row>
    <row r="491" spans="1:20">
      <c r="A491" s="4">
        <v>44474</v>
      </c>
      <c r="B491">
        <v>2021</v>
      </c>
      <c r="C491">
        <v>10</v>
      </c>
      <c r="D491" s="5" t="s">
        <v>54</v>
      </c>
      <c r="E491" s="5" t="s">
        <v>55</v>
      </c>
      <c r="F491" s="5" t="s">
        <v>55</v>
      </c>
      <c r="G491" s="5" t="s">
        <v>56</v>
      </c>
      <c r="H491" s="5" t="s">
        <v>79</v>
      </c>
      <c r="I491" s="5" t="s">
        <v>58</v>
      </c>
      <c r="J491" s="5" t="s">
        <v>49</v>
      </c>
      <c r="K491">
        <v>21</v>
      </c>
      <c r="L491">
        <v>901937</v>
      </c>
      <c r="M491" s="26">
        <v>18940677</v>
      </c>
      <c r="N491">
        <v>39747</v>
      </c>
      <c r="O491" s="26">
        <v>1741841.29</v>
      </c>
      <c r="P491" s="5" t="s">
        <v>50</v>
      </c>
      <c r="Q491" s="5" t="s">
        <v>51</v>
      </c>
      <c r="R491">
        <v>4.0999999999999996</v>
      </c>
      <c r="S491">
        <v>5</v>
      </c>
      <c r="T491">
        <f t="shared" si="7"/>
        <v>0</v>
      </c>
    </row>
    <row r="492" spans="1:20">
      <c r="A492" s="4">
        <v>44497</v>
      </c>
      <c r="B492">
        <v>2021</v>
      </c>
      <c r="C492">
        <v>10</v>
      </c>
      <c r="D492" s="5" t="s">
        <v>54</v>
      </c>
      <c r="E492" s="5" t="s">
        <v>70</v>
      </c>
      <c r="F492" s="5" t="s">
        <v>71</v>
      </c>
      <c r="G492" s="5" t="s">
        <v>72</v>
      </c>
      <c r="H492" s="5" t="s">
        <v>86</v>
      </c>
      <c r="I492" s="5" t="s">
        <v>40</v>
      </c>
      <c r="J492" s="5" t="s">
        <v>41</v>
      </c>
      <c r="K492">
        <v>35</v>
      </c>
      <c r="L492">
        <v>611174</v>
      </c>
      <c r="M492" s="26">
        <v>21391090</v>
      </c>
      <c r="N492">
        <v>39141</v>
      </c>
      <c r="O492" s="26">
        <v>3079313.98</v>
      </c>
      <c r="P492" s="5" t="s">
        <v>50</v>
      </c>
      <c r="Q492" s="5" t="s">
        <v>43</v>
      </c>
      <c r="R492">
        <v>4.8</v>
      </c>
      <c r="S492">
        <v>3</v>
      </c>
      <c r="T492">
        <f t="shared" si="7"/>
        <v>0</v>
      </c>
    </row>
    <row r="493" spans="1:20">
      <c r="A493" s="4">
        <v>44485</v>
      </c>
      <c r="B493">
        <v>2021</v>
      </c>
      <c r="C493">
        <v>10</v>
      </c>
      <c r="D493" s="5" t="s">
        <v>35</v>
      </c>
      <c r="E493" s="5" t="s">
        <v>76</v>
      </c>
      <c r="F493" s="5" t="s">
        <v>77</v>
      </c>
      <c r="G493" s="5" t="s">
        <v>78</v>
      </c>
      <c r="H493" s="5" t="s">
        <v>65</v>
      </c>
      <c r="I493" s="5" t="s">
        <v>53</v>
      </c>
      <c r="J493" s="5" t="s">
        <v>49</v>
      </c>
      <c r="K493">
        <v>30</v>
      </c>
      <c r="L493">
        <v>1241916</v>
      </c>
      <c r="M493" s="26">
        <v>37257480</v>
      </c>
      <c r="N493">
        <v>47189</v>
      </c>
      <c r="O493" s="26">
        <v>5186961.07</v>
      </c>
      <c r="P493" s="5" t="s">
        <v>42</v>
      </c>
      <c r="Q493" s="5" t="s">
        <v>75</v>
      </c>
      <c r="R493">
        <v>4.2</v>
      </c>
      <c r="S493">
        <v>8</v>
      </c>
      <c r="T493">
        <f t="shared" si="7"/>
        <v>1</v>
      </c>
    </row>
    <row r="494" spans="1:20">
      <c r="A494" s="4">
        <v>44496</v>
      </c>
      <c r="B494">
        <v>2021</v>
      </c>
      <c r="C494">
        <v>10</v>
      </c>
      <c r="D494" s="5" t="s">
        <v>54</v>
      </c>
      <c r="E494" s="5" t="s">
        <v>55</v>
      </c>
      <c r="F494" s="5" t="s">
        <v>55</v>
      </c>
      <c r="G494" s="5" t="s">
        <v>56</v>
      </c>
      <c r="H494" s="5" t="s">
        <v>39</v>
      </c>
      <c r="I494" s="5" t="s">
        <v>40</v>
      </c>
      <c r="J494" s="5" t="s">
        <v>41</v>
      </c>
      <c r="K494">
        <v>25</v>
      </c>
      <c r="L494">
        <v>576524</v>
      </c>
      <c r="M494" s="26">
        <v>14413100</v>
      </c>
      <c r="N494">
        <v>24113</v>
      </c>
      <c r="O494" s="26">
        <v>1436815.52</v>
      </c>
      <c r="P494" s="5" t="s">
        <v>42</v>
      </c>
      <c r="Q494" s="5" t="s">
        <v>43</v>
      </c>
      <c r="R494">
        <v>4.8</v>
      </c>
      <c r="S494">
        <v>12</v>
      </c>
      <c r="T494">
        <f t="shared" si="7"/>
        <v>1</v>
      </c>
    </row>
    <row r="495" spans="1:20">
      <c r="A495" s="4">
        <v>44476</v>
      </c>
      <c r="B495">
        <v>2021</v>
      </c>
      <c r="C495">
        <v>10</v>
      </c>
      <c r="D495" s="5" t="s">
        <v>44</v>
      </c>
      <c r="E495" s="5" t="s">
        <v>82</v>
      </c>
      <c r="F495" s="5" t="s">
        <v>83</v>
      </c>
      <c r="G495" s="5" t="s">
        <v>84</v>
      </c>
      <c r="H495" s="5" t="s">
        <v>73</v>
      </c>
      <c r="I495" s="5" t="s">
        <v>40</v>
      </c>
      <c r="J495" s="5" t="s">
        <v>49</v>
      </c>
      <c r="K495">
        <v>48</v>
      </c>
      <c r="L495">
        <v>714364</v>
      </c>
      <c r="M495" s="26">
        <v>34289472</v>
      </c>
      <c r="N495">
        <v>7226</v>
      </c>
      <c r="O495" s="26">
        <v>4997049.83</v>
      </c>
      <c r="P495" s="5" t="s">
        <v>50</v>
      </c>
      <c r="Q495" s="5" t="s">
        <v>51</v>
      </c>
      <c r="R495">
        <v>4.7</v>
      </c>
      <c r="S495">
        <v>10</v>
      </c>
      <c r="T495">
        <f t="shared" si="7"/>
        <v>0</v>
      </c>
    </row>
    <row r="496" spans="1:20">
      <c r="A496" s="4">
        <v>44479</v>
      </c>
      <c r="B496">
        <v>2021</v>
      </c>
      <c r="C496">
        <v>10</v>
      </c>
      <c r="D496" s="5" t="s">
        <v>54</v>
      </c>
      <c r="E496" s="5" t="s">
        <v>55</v>
      </c>
      <c r="F496" s="5" t="s">
        <v>55</v>
      </c>
      <c r="G496" s="5" t="s">
        <v>56</v>
      </c>
      <c r="H496" s="5" t="s">
        <v>63</v>
      </c>
      <c r="I496" s="5" t="s">
        <v>64</v>
      </c>
      <c r="J496" s="5" t="s">
        <v>41</v>
      </c>
      <c r="K496">
        <v>26</v>
      </c>
      <c r="L496">
        <v>737235</v>
      </c>
      <c r="M496" s="26">
        <v>19168110</v>
      </c>
      <c r="N496">
        <v>31120</v>
      </c>
      <c r="O496" s="26">
        <v>2913200.33</v>
      </c>
      <c r="P496" s="5" t="s">
        <v>42</v>
      </c>
      <c r="Q496" s="5" t="s">
        <v>43</v>
      </c>
      <c r="R496">
        <v>3.7</v>
      </c>
      <c r="S496">
        <v>3</v>
      </c>
      <c r="T496">
        <f t="shared" si="7"/>
        <v>1</v>
      </c>
    </row>
    <row r="497" spans="1:20">
      <c r="A497" s="4">
        <v>44496</v>
      </c>
      <c r="B497">
        <v>2021</v>
      </c>
      <c r="C497">
        <v>10</v>
      </c>
      <c r="D497" s="5" t="s">
        <v>44</v>
      </c>
      <c r="E497" s="5" t="s">
        <v>45</v>
      </c>
      <c r="F497" s="5" t="s">
        <v>46</v>
      </c>
      <c r="G497" s="5" t="s">
        <v>47</v>
      </c>
      <c r="H497" s="5" t="s">
        <v>79</v>
      </c>
      <c r="I497" s="5" t="s">
        <v>58</v>
      </c>
      <c r="J497" s="5" t="s">
        <v>49</v>
      </c>
      <c r="K497">
        <v>33</v>
      </c>
      <c r="L497">
        <v>890515</v>
      </c>
      <c r="M497" s="26">
        <v>29386995</v>
      </c>
      <c r="N497">
        <v>5453</v>
      </c>
      <c r="O497" s="26">
        <v>4658439.16</v>
      </c>
      <c r="P497" s="5" t="s">
        <v>42</v>
      </c>
      <c r="Q497" s="5" t="s">
        <v>51</v>
      </c>
      <c r="R497">
        <v>3.9</v>
      </c>
      <c r="S497">
        <v>12</v>
      </c>
      <c r="T497">
        <f t="shared" si="7"/>
        <v>1</v>
      </c>
    </row>
    <row r="498" spans="1:20">
      <c r="A498" s="4">
        <v>44481</v>
      </c>
      <c r="B498">
        <v>2021</v>
      </c>
      <c r="C498">
        <v>10</v>
      </c>
      <c r="D498" s="5" t="s">
        <v>35</v>
      </c>
      <c r="E498" s="5" t="s">
        <v>36</v>
      </c>
      <c r="F498" s="5" t="s">
        <v>37</v>
      </c>
      <c r="G498" s="5" t="s">
        <v>38</v>
      </c>
      <c r="H498" s="5" t="s">
        <v>85</v>
      </c>
      <c r="I498" s="5" t="s">
        <v>58</v>
      </c>
      <c r="J498" s="5" t="s">
        <v>49</v>
      </c>
      <c r="K498">
        <v>36</v>
      </c>
      <c r="L498">
        <v>1006747</v>
      </c>
      <c r="M498" s="26">
        <v>36242892</v>
      </c>
      <c r="N498">
        <v>16261</v>
      </c>
      <c r="O498" s="26">
        <v>5522688.5999999996</v>
      </c>
      <c r="P498" s="5" t="s">
        <v>50</v>
      </c>
      <c r="Q498" s="5" t="s">
        <v>51</v>
      </c>
      <c r="R498">
        <v>4.7</v>
      </c>
      <c r="S498">
        <v>8</v>
      </c>
      <c r="T498">
        <f t="shared" si="7"/>
        <v>0</v>
      </c>
    </row>
    <row r="499" spans="1:20">
      <c r="A499" s="4">
        <v>44484</v>
      </c>
      <c r="B499">
        <v>2021</v>
      </c>
      <c r="C499">
        <v>10</v>
      </c>
      <c r="D499" s="5" t="s">
        <v>54</v>
      </c>
      <c r="E499" s="5" t="s">
        <v>55</v>
      </c>
      <c r="F499" s="5" t="s">
        <v>55</v>
      </c>
      <c r="G499" s="5" t="s">
        <v>56</v>
      </c>
      <c r="H499" s="5" t="s">
        <v>39</v>
      </c>
      <c r="I499" s="5" t="s">
        <v>40</v>
      </c>
      <c r="J499" s="5" t="s">
        <v>41</v>
      </c>
      <c r="K499">
        <v>34</v>
      </c>
      <c r="L499">
        <v>601981</v>
      </c>
      <c r="M499" s="26">
        <v>20467354</v>
      </c>
      <c r="N499">
        <v>23079</v>
      </c>
      <c r="O499" s="26">
        <v>2736327.89</v>
      </c>
      <c r="P499" s="5" t="s">
        <v>42</v>
      </c>
      <c r="Q499" s="5" t="s">
        <v>43</v>
      </c>
      <c r="R499">
        <v>4</v>
      </c>
      <c r="S499">
        <v>15</v>
      </c>
      <c r="T499">
        <f t="shared" si="7"/>
        <v>1</v>
      </c>
    </row>
    <row r="500" spans="1:20">
      <c r="A500" s="4">
        <v>44482</v>
      </c>
      <c r="B500">
        <v>2021</v>
      </c>
      <c r="C500">
        <v>10</v>
      </c>
      <c r="D500" s="5" t="s">
        <v>44</v>
      </c>
      <c r="E500" s="5" t="s">
        <v>45</v>
      </c>
      <c r="F500" s="5" t="s">
        <v>46</v>
      </c>
      <c r="G500" s="5" t="s">
        <v>47</v>
      </c>
      <c r="H500" s="5" t="s">
        <v>85</v>
      </c>
      <c r="I500" s="5" t="s">
        <v>58</v>
      </c>
      <c r="J500" s="5" t="s">
        <v>49</v>
      </c>
      <c r="K500">
        <v>27</v>
      </c>
      <c r="L500">
        <v>953639</v>
      </c>
      <c r="M500" s="26">
        <v>25748253</v>
      </c>
      <c r="N500">
        <v>26298</v>
      </c>
      <c r="O500" s="26">
        <v>2274025.44</v>
      </c>
      <c r="P500" s="5" t="s">
        <v>42</v>
      </c>
      <c r="Q500" s="5" t="s">
        <v>43</v>
      </c>
      <c r="R500">
        <v>3.7</v>
      </c>
      <c r="S500">
        <v>8</v>
      </c>
      <c r="T500">
        <f t="shared" si="7"/>
        <v>1</v>
      </c>
    </row>
    <row r="501" spans="1:20">
      <c r="A501" s="4">
        <v>44484</v>
      </c>
      <c r="B501">
        <v>2021</v>
      </c>
      <c r="C501">
        <v>10</v>
      </c>
      <c r="D501" s="5" t="s">
        <v>44</v>
      </c>
      <c r="E501" s="5" t="s">
        <v>45</v>
      </c>
      <c r="F501" s="5" t="s">
        <v>46</v>
      </c>
      <c r="G501" s="5" t="s">
        <v>47</v>
      </c>
      <c r="H501" s="5" t="s">
        <v>63</v>
      </c>
      <c r="I501" s="5" t="s">
        <v>64</v>
      </c>
      <c r="J501" s="5" t="s">
        <v>41</v>
      </c>
      <c r="K501">
        <v>36</v>
      </c>
      <c r="L501">
        <v>787924</v>
      </c>
      <c r="M501" s="26">
        <v>28365264</v>
      </c>
      <c r="N501">
        <v>36885</v>
      </c>
      <c r="O501" s="26">
        <v>3332535.63</v>
      </c>
      <c r="P501" s="5" t="s">
        <v>50</v>
      </c>
      <c r="Q501" s="5" t="s">
        <v>43</v>
      </c>
      <c r="R501">
        <v>4.4000000000000004</v>
      </c>
      <c r="S501">
        <v>19</v>
      </c>
      <c r="T501">
        <f t="shared" si="7"/>
        <v>0</v>
      </c>
    </row>
    <row r="502" spans="1:20">
      <c r="A502" s="4">
        <v>44503</v>
      </c>
      <c r="B502">
        <v>2021</v>
      </c>
      <c r="C502">
        <v>11</v>
      </c>
      <c r="D502" s="5" t="s">
        <v>44</v>
      </c>
      <c r="E502" s="5" t="s">
        <v>45</v>
      </c>
      <c r="F502" s="5" t="s">
        <v>46</v>
      </c>
      <c r="G502" s="5" t="s">
        <v>47</v>
      </c>
      <c r="H502" s="5" t="s">
        <v>65</v>
      </c>
      <c r="I502" s="5" t="s">
        <v>53</v>
      </c>
      <c r="J502" s="5" t="s">
        <v>49</v>
      </c>
      <c r="K502">
        <v>41</v>
      </c>
      <c r="L502">
        <v>1272930</v>
      </c>
      <c r="M502" s="26">
        <v>52190130</v>
      </c>
      <c r="N502">
        <v>13633</v>
      </c>
      <c r="O502" s="26">
        <v>7900029.71</v>
      </c>
      <c r="P502" s="5" t="s">
        <v>50</v>
      </c>
      <c r="Q502" s="5" t="s">
        <v>43</v>
      </c>
      <c r="R502">
        <v>3.6</v>
      </c>
      <c r="S502">
        <v>19</v>
      </c>
      <c r="T502">
        <f t="shared" si="7"/>
        <v>0</v>
      </c>
    </row>
    <row r="503" spans="1:20">
      <c r="A503" s="4">
        <v>44527</v>
      </c>
      <c r="B503">
        <v>2021</v>
      </c>
      <c r="C503">
        <v>11</v>
      </c>
      <c r="D503" s="5" t="s">
        <v>35</v>
      </c>
      <c r="E503" s="5" t="s">
        <v>76</v>
      </c>
      <c r="F503" s="5" t="s">
        <v>77</v>
      </c>
      <c r="G503" s="5" t="s">
        <v>78</v>
      </c>
      <c r="H503" s="5" t="s">
        <v>86</v>
      </c>
      <c r="I503" s="5" t="s">
        <v>40</v>
      </c>
      <c r="J503" s="5" t="s">
        <v>41</v>
      </c>
      <c r="K503">
        <v>5</v>
      </c>
      <c r="L503">
        <v>606687</v>
      </c>
      <c r="M503" s="26">
        <v>3033435</v>
      </c>
      <c r="N503">
        <v>49490</v>
      </c>
      <c r="O503" s="26">
        <v>392514.02</v>
      </c>
      <c r="P503" s="5" t="s">
        <v>50</v>
      </c>
      <c r="Q503" s="5" t="s">
        <v>75</v>
      </c>
      <c r="R503">
        <v>4.5</v>
      </c>
      <c r="S503">
        <v>5</v>
      </c>
      <c r="T503">
        <f t="shared" si="7"/>
        <v>0</v>
      </c>
    </row>
    <row r="504" spans="1:20">
      <c r="A504" s="4">
        <v>44527</v>
      </c>
      <c r="B504">
        <v>2021</v>
      </c>
      <c r="C504">
        <v>11</v>
      </c>
      <c r="D504" s="5" t="s">
        <v>54</v>
      </c>
      <c r="E504" s="5" t="s">
        <v>70</v>
      </c>
      <c r="F504" s="5" t="s">
        <v>71</v>
      </c>
      <c r="G504" s="5" t="s">
        <v>72</v>
      </c>
      <c r="H504" s="5" t="s">
        <v>79</v>
      </c>
      <c r="I504" s="5" t="s">
        <v>58</v>
      </c>
      <c r="J504" s="5" t="s">
        <v>49</v>
      </c>
      <c r="K504">
        <v>48</v>
      </c>
      <c r="L504">
        <v>895856</v>
      </c>
      <c r="M504" s="26">
        <v>43001088</v>
      </c>
      <c r="N504">
        <v>9890</v>
      </c>
      <c r="O504" s="26">
        <v>4863766.3499999996</v>
      </c>
      <c r="P504" s="5" t="s">
        <v>42</v>
      </c>
      <c r="Q504" s="5" t="s">
        <v>43</v>
      </c>
      <c r="R504">
        <v>4.5999999999999996</v>
      </c>
      <c r="S504">
        <v>15</v>
      </c>
      <c r="T504">
        <f t="shared" si="7"/>
        <v>1</v>
      </c>
    </row>
    <row r="505" spans="1:20">
      <c r="A505" s="4">
        <v>44520</v>
      </c>
      <c r="B505">
        <v>2021</v>
      </c>
      <c r="C505">
        <v>11</v>
      </c>
      <c r="D505" s="5" t="s">
        <v>35</v>
      </c>
      <c r="E505" s="5" t="s">
        <v>60</v>
      </c>
      <c r="F505" s="5" t="s">
        <v>61</v>
      </c>
      <c r="G505" s="5" t="s">
        <v>62</v>
      </c>
      <c r="H505" s="5" t="s">
        <v>79</v>
      </c>
      <c r="I505" s="5" t="s">
        <v>58</v>
      </c>
      <c r="J505" s="5" t="s">
        <v>49</v>
      </c>
      <c r="K505">
        <v>44</v>
      </c>
      <c r="L505">
        <v>905693</v>
      </c>
      <c r="M505" s="26">
        <v>39850492</v>
      </c>
      <c r="N505">
        <v>44861</v>
      </c>
      <c r="O505" s="26">
        <v>3613287.67</v>
      </c>
      <c r="P505" s="5" t="s">
        <v>42</v>
      </c>
      <c r="Q505" s="5" t="s">
        <v>43</v>
      </c>
      <c r="R505">
        <v>4.8</v>
      </c>
      <c r="S505">
        <v>12</v>
      </c>
      <c r="T505">
        <f t="shared" si="7"/>
        <v>1</v>
      </c>
    </row>
    <row r="506" spans="1:20">
      <c r="A506" s="4">
        <v>44502</v>
      </c>
      <c r="B506">
        <v>2021</v>
      </c>
      <c r="C506">
        <v>11</v>
      </c>
      <c r="D506" s="5" t="s">
        <v>44</v>
      </c>
      <c r="E506" s="5" t="s">
        <v>82</v>
      </c>
      <c r="F506" s="5" t="s">
        <v>83</v>
      </c>
      <c r="G506" s="5" t="s">
        <v>84</v>
      </c>
      <c r="H506" s="5" t="s">
        <v>80</v>
      </c>
      <c r="I506" s="5" t="s">
        <v>81</v>
      </c>
      <c r="J506" s="5" t="s">
        <v>41</v>
      </c>
      <c r="K506">
        <v>58</v>
      </c>
      <c r="L506">
        <v>529248</v>
      </c>
      <c r="M506" s="26">
        <v>30696384</v>
      </c>
      <c r="N506">
        <v>22350</v>
      </c>
      <c r="O506" s="26">
        <v>4856671.04</v>
      </c>
      <c r="P506" s="5" t="s">
        <v>50</v>
      </c>
      <c r="Q506" s="5" t="s">
        <v>75</v>
      </c>
      <c r="R506">
        <v>4.5999999999999996</v>
      </c>
      <c r="S506">
        <v>3</v>
      </c>
      <c r="T506">
        <f t="shared" si="7"/>
        <v>0</v>
      </c>
    </row>
    <row r="507" spans="1:20">
      <c r="A507" s="4">
        <v>44520</v>
      </c>
      <c r="B507">
        <v>2021</v>
      </c>
      <c r="C507">
        <v>11</v>
      </c>
      <c r="D507" s="5" t="s">
        <v>54</v>
      </c>
      <c r="E507" s="5" t="s">
        <v>55</v>
      </c>
      <c r="F507" s="5" t="s">
        <v>55</v>
      </c>
      <c r="G507" s="5" t="s">
        <v>56</v>
      </c>
      <c r="H507" s="5" t="s">
        <v>52</v>
      </c>
      <c r="I507" s="5" t="s">
        <v>53</v>
      </c>
      <c r="J507" s="5" t="s">
        <v>41</v>
      </c>
      <c r="K507">
        <v>26</v>
      </c>
      <c r="L507">
        <v>922699</v>
      </c>
      <c r="M507" s="26">
        <v>23990174</v>
      </c>
      <c r="N507">
        <v>15605</v>
      </c>
      <c r="O507" s="26">
        <v>2728870.97</v>
      </c>
      <c r="P507" s="5" t="s">
        <v>50</v>
      </c>
      <c r="Q507" s="5" t="s">
        <v>43</v>
      </c>
      <c r="R507">
        <v>4.3</v>
      </c>
      <c r="S507">
        <v>14</v>
      </c>
      <c r="T507">
        <f t="shared" si="7"/>
        <v>0</v>
      </c>
    </row>
    <row r="508" spans="1:20">
      <c r="A508" s="4">
        <v>44528</v>
      </c>
      <c r="B508">
        <v>2021</v>
      </c>
      <c r="C508">
        <v>11</v>
      </c>
      <c r="D508" s="5" t="s">
        <v>44</v>
      </c>
      <c r="E508" s="5" t="s">
        <v>45</v>
      </c>
      <c r="F508" s="5" t="s">
        <v>46</v>
      </c>
      <c r="G508" s="5" t="s">
        <v>47</v>
      </c>
      <c r="H508" s="5" t="s">
        <v>80</v>
      </c>
      <c r="I508" s="5" t="s">
        <v>81</v>
      </c>
      <c r="J508" s="5" t="s">
        <v>41</v>
      </c>
      <c r="K508">
        <v>30</v>
      </c>
      <c r="L508">
        <v>523726</v>
      </c>
      <c r="M508" s="26">
        <v>15711780</v>
      </c>
      <c r="N508">
        <v>6802</v>
      </c>
      <c r="O508" s="26">
        <v>1428377.76</v>
      </c>
      <c r="P508" s="5" t="s">
        <v>42</v>
      </c>
      <c r="Q508" s="5" t="s">
        <v>51</v>
      </c>
      <c r="R508">
        <v>4.0999999999999996</v>
      </c>
      <c r="S508">
        <v>12</v>
      </c>
      <c r="T508">
        <f t="shared" si="7"/>
        <v>1</v>
      </c>
    </row>
    <row r="509" spans="1:20">
      <c r="A509" s="4">
        <v>44505</v>
      </c>
      <c r="B509">
        <v>2021</v>
      </c>
      <c r="C509">
        <v>11</v>
      </c>
      <c r="D509" s="5" t="s">
        <v>35</v>
      </c>
      <c r="E509" s="5" t="s">
        <v>36</v>
      </c>
      <c r="F509" s="5" t="s">
        <v>37</v>
      </c>
      <c r="G509" s="5" t="s">
        <v>38</v>
      </c>
      <c r="H509" s="5" t="s">
        <v>63</v>
      </c>
      <c r="I509" s="5" t="s">
        <v>64</v>
      </c>
      <c r="J509" s="5" t="s">
        <v>41</v>
      </c>
      <c r="K509">
        <v>44</v>
      </c>
      <c r="L509">
        <v>739124</v>
      </c>
      <c r="M509" s="26">
        <v>32521456</v>
      </c>
      <c r="N509">
        <v>42257</v>
      </c>
      <c r="O509" s="26">
        <v>4074553.22</v>
      </c>
      <c r="P509" s="5" t="s">
        <v>50</v>
      </c>
      <c r="Q509" s="5" t="s">
        <v>75</v>
      </c>
      <c r="R509">
        <v>4.4000000000000004</v>
      </c>
      <c r="S509">
        <v>8</v>
      </c>
      <c r="T509">
        <f t="shared" si="7"/>
        <v>0</v>
      </c>
    </row>
    <row r="510" spans="1:20">
      <c r="A510" s="4">
        <v>44516</v>
      </c>
      <c r="B510">
        <v>2021</v>
      </c>
      <c r="C510">
        <v>11</v>
      </c>
      <c r="D510" s="5" t="s">
        <v>54</v>
      </c>
      <c r="E510" s="5" t="s">
        <v>55</v>
      </c>
      <c r="F510" s="5" t="s">
        <v>55</v>
      </c>
      <c r="G510" s="5" t="s">
        <v>56</v>
      </c>
      <c r="H510" s="5" t="s">
        <v>85</v>
      </c>
      <c r="I510" s="5" t="s">
        <v>58</v>
      </c>
      <c r="J510" s="5" t="s">
        <v>49</v>
      </c>
      <c r="K510">
        <v>36</v>
      </c>
      <c r="L510">
        <v>986653</v>
      </c>
      <c r="M510" s="26">
        <v>35519508</v>
      </c>
      <c r="N510">
        <v>35013</v>
      </c>
      <c r="O510" s="26">
        <v>5079628.9000000004</v>
      </c>
      <c r="P510" s="5" t="s">
        <v>42</v>
      </c>
      <c r="Q510" s="5" t="s">
        <v>51</v>
      </c>
      <c r="R510">
        <v>3.5</v>
      </c>
      <c r="S510">
        <v>15</v>
      </c>
      <c r="T510">
        <f t="shared" si="7"/>
        <v>1</v>
      </c>
    </row>
    <row r="511" spans="1:20">
      <c r="A511" s="4">
        <v>44501</v>
      </c>
      <c r="B511">
        <v>2021</v>
      </c>
      <c r="C511">
        <v>11</v>
      </c>
      <c r="D511" s="5" t="s">
        <v>35</v>
      </c>
      <c r="E511" s="5" t="s">
        <v>76</v>
      </c>
      <c r="F511" s="5" t="s">
        <v>77</v>
      </c>
      <c r="G511" s="5" t="s">
        <v>78</v>
      </c>
      <c r="H511" s="5" t="s">
        <v>65</v>
      </c>
      <c r="I511" s="5" t="s">
        <v>53</v>
      </c>
      <c r="J511" s="5" t="s">
        <v>49</v>
      </c>
      <c r="K511">
        <v>29</v>
      </c>
      <c r="L511">
        <v>1274316</v>
      </c>
      <c r="M511" s="26">
        <v>36955164</v>
      </c>
      <c r="N511">
        <v>22472</v>
      </c>
      <c r="O511" s="26">
        <v>4786363.33</v>
      </c>
      <c r="P511" s="5" t="s">
        <v>42</v>
      </c>
      <c r="Q511" s="5" t="s">
        <v>75</v>
      </c>
      <c r="R511">
        <v>4.7</v>
      </c>
      <c r="S511">
        <v>9</v>
      </c>
      <c r="T511">
        <f t="shared" si="7"/>
        <v>1</v>
      </c>
    </row>
    <row r="512" spans="1:20">
      <c r="A512" s="4">
        <v>44528</v>
      </c>
      <c r="B512">
        <v>2021</v>
      </c>
      <c r="C512">
        <v>11</v>
      </c>
      <c r="D512" s="5" t="s">
        <v>66</v>
      </c>
      <c r="E512" s="5" t="s">
        <v>67</v>
      </c>
      <c r="F512" s="5" t="s">
        <v>68</v>
      </c>
      <c r="G512" s="5" t="s">
        <v>69</v>
      </c>
      <c r="H512" s="5" t="s">
        <v>63</v>
      </c>
      <c r="I512" s="5" t="s">
        <v>64</v>
      </c>
      <c r="J512" s="5" t="s">
        <v>41</v>
      </c>
      <c r="K512">
        <v>13</v>
      </c>
      <c r="L512">
        <v>787905</v>
      </c>
      <c r="M512" s="26">
        <v>10242765</v>
      </c>
      <c r="N512">
        <v>39149</v>
      </c>
      <c r="O512" s="26">
        <v>1202736.21</v>
      </c>
      <c r="P512" s="5" t="s">
        <v>42</v>
      </c>
      <c r="Q512" s="5" t="s">
        <v>43</v>
      </c>
      <c r="R512">
        <v>4.8</v>
      </c>
      <c r="S512">
        <v>4</v>
      </c>
      <c r="T512">
        <f t="shared" si="7"/>
        <v>1</v>
      </c>
    </row>
    <row r="513" spans="1:20">
      <c r="A513" s="4">
        <v>44517</v>
      </c>
      <c r="B513">
        <v>2021</v>
      </c>
      <c r="C513">
        <v>11</v>
      </c>
      <c r="D513" s="5" t="s">
        <v>54</v>
      </c>
      <c r="E513" s="5" t="s">
        <v>70</v>
      </c>
      <c r="F513" s="5" t="s">
        <v>71</v>
      </c>
      <c r="G513" s="5" t="s">
        <v>72</v>
      </c>
      <c r="H513" s="5" t="s">
        <v>79</v>
      </c>
      <c r="I513" s="5" t="s">
        <v>58</v>
      </c>
      <c r="J513" s="5" t="s">
        <v>49</v>
      </c>
      <c r="K513">
        <v>33</v>
      </c>
      <c r="L513">
        <v>893903</v>
      </c>
      <c r="M513" s="26">
        <v>29498799</v>
      </c>
      <c r="N513">
        <v>32647</v>
      </c>
      <c r="O513" s="26">
        <v>4524935.07</v>
      </c>
      <c r="P513" s="5" t="s">
        <v>42</v>
      </c>
      <c r="Q513" s="5" t="s">
        <v>43</v>
      </c>
      <c r="R513">
        <v>4.0999999999999996</v>
      </c>
      <c r="S513">
        <v>2</v>
      </c>
      <c r="T513">
        <f t="shared" si="7"/>
        <v>1</v>
      </c>
    </row>
    <row r="514" spans="1:20">
      <c r="A514" s="4">
        <v>44512</v>
      </c>
      <c r="B514">
        <v>2021</v>
      </c>
      <c r="C514">
        <v>11</v>
      </c>
      <c r="D514" s="5" t="s">
        <v>54</v>
      </c>
      <c r="E514" s="5" t="s">
        <v>55</v>
      </c>
      <c r="F514" s="5" t="s">
        <v>55</v>
      </c>
      <c r="G514" s="5" t="s">
        <v>56</v>
      </c>
      <c r="H514" s="5" t="s">
        <v>48</v>
      </c>
      <c r="I514" s="5" t="s">
        <v>40</v>
      </c>
      <c r="J514" s="5" t="s">
        <v>49</v>
      </c>
      <c r="K514">
        <v>59</v>
      </c>
      <c r="L514">
        <v>441143</v>
      </c>
      <c r="M514" s="26">
        <v>26027437</v>
      </c>
      <c r="N514">
        <v>20139</v>
      </c>
      <c r="O514" s="26">
        <v>2296898.69</v>
      </c>
      <c r="P514" s="5" t="s">
        <v>50</v>
      </c>
      <c r="Q514" s="5" t="s">
        <v>51</v>
      </c>
      <c r="R514">
        <v>3.8</v>
      </c>
      <c r="S514">
        <v>17</v>
      </c>
      <c r="T514">
        <f t="shared" ref="T514:T577" si="8">IF(AND(OR($B514=Sel_Year,Sel_Year="All"),OR($C514=Sel_Month,Sel_Month="All"),OR($D514=Sel_Region,Sel_Region="All"),OR($E514=Sel_State,Sel_State="All"),OR($F514=Sel_City,Sel_City="All"),OR($G514=Sel_Dealer,Sel_Dealer="All"),OR($H514=Sel_Model,Sel_Model="All"),OR($I514=Sel_Segment,Sel_Segment="All"),OR($J514=Sel_Fuel,Sel_Fuel="All"),OR($P514=Sel_CustType,Sel_CustType="All"),OR($Q514=Sel_Payment,Sel_Payment="All")),1,0)</f>
        <v>0</v>
      </c>
    </row>
    <row r="515" spans="1:20">
      <c r="A515" s="4">
        <v>44509</v>
      </c>
      <c r="B515">
        <v>2021</v>
      </c>
      <c r="C515">
        <v>11</v>
      </c>
      <c r="D515" s="5" t="s">
        <v>44</v>
      </c>
      <c r="E515" s="5" t="s">
        <v>45</v>
      </c>
      <c r="F515" s="5" t="s">
        <v>46</v>
      </c>
      <c r="G515" s="5" t="s">
        <v>47</v>
      </c>
      <c r="H515" s="5" t="s">
        <v>85</v>
      </c>
      <c r="I515" s="5" t="s">
        <v>58</v>
      </c>
      <c r="J515" s="5" t="s">
        <v>49</v>
      </c>
      <c r="K515">
        <v>14</v>
      </c>
      <c r="L515">
        <v>980125</v>
      </c>
      <c r="M515" s="26">
        <v>13721750</v>
      </c>
      <c r="N515">
        <v>9953</v>
      </c>
      <c r="O515" s="26">
        <v>1281847.31</v>
      </c>
      <c r="P515" s="5" t="s">
        <v>42</v>
      </c>
      <c r="Q515" s="5" t="s">
        <v>51</v>
      </c>
      <c r="R515">
        <v>5</v>
      </c>
      <c r="S515">
        <v>7</v>
      </c>
      <c r="T515">
        <f t="shared" si="8"/>
        <v>1</v>
      </c>
    </row>
    <row r="516" spans="1:20">
      <c r="A516" s="4">
        <v>44515</v>
      </c>
      <c r="B516">
        <v>2021</v>
      </c>
      <c r="C516">
        <v>11</v>
      </c>
      <c r="D516" s="5" t="s">
        <v>35</v>
      </c>
      <c r="E516" s="5" t="s">
        <v>76</v>
      </c>
      <c r="F516" s="5" t="s">
        <v>77</v>
      </c>
      <c r="G516" s="5" t="s">
        <v>78</v>
      </c>
      <c r="H516" s="5" t="s">
        <v>74</v>
      </c>
      <c r="I516" s="5" t="s">
        <v>40</v>
      </c>
      <c r="J516" s="5" t="s">
        <v>49</v>
      </c>
      <c r="K516">
        <v>23</v>
      </c>
      <c r="L516">
        <v>662512</v>
      </c>
      <c r="M516" s="26">
        <v>15237776</v>
      </c>
      <c r="N516">
        <v>34067</v>
      </c>
      <c r="O516" s="26">
        <v>1881889.15</v>
      </c>
      <c r="P516" s="5" t="s">
        <v>42</v>
      </c>
      <c r="Q516" s="5" t="s">
        <v>75</v>
      </c>
      <c r="R516">
        <v>3.5</v>
      </c>
      <c r="S516">
        <v>17</v>
      </c>
      <c r="T516">
        <f t="shared" si="8"/>
        <v>1</v>
      </c>
    </row>
    <row r="517" spans="1:20">
      <c r="A517" s="4">
        <v>44506</v>
      </c>
      <c r="B517">
        <v>2021</v>
      </c>
      <c r="C517">
        <v>11</v>
      </c>
      <c r="D517" s="5" t="s">
        <v>35</v>
      </c>
      <c r="E517" s="5" t="s">
        <v>36</v>
      </c>
      <c r="F517" s="5" t="s">
        <v>37</v>
      </c>
      <c r="G517" s="5" t="s">
        <v>38</v>
      </c>
      <c r="H517" s="5" t="s">
        <v>85</v>
      </c>
      <c r="I517" s="5" t="s">
        <v>58</v>
      </c>
      <c r="J517" s="5" t="s">
        <v>49</v>
      </c>
      <c r="K517">
        <v>17</v>
      </c>
      <c r="L517">
        <v>961895</v>
      </c>
      <c r="M517" s="26">
        <v>16352215</v>
      </c>
      <c r="N517">
        <v>25071</v>
      </c>
      <c r="O517" s="26">
        <v>1402461.78</v>
      </c>
      <c r="P517" s="5" t="s">
        <v>42</v>
      </c>
      <c r="Q517" s="5" t="s">
        <v>51</v>
      </c>
      <c r="R517">
        <v>4.7</v>
      </c>
      <c r="S517">
        <v>20</v>
      </c>
      <c r="T517">
        <f t="shared" si="8"/>
        <v>1</v>
      </c>
    </row>
    <row r="518" spans="1:20">
      <c r="A518" s="4">
        <v>44513</v>
      </c>
      <c r="B518">
        <v>2021</v>
      </c>
      <c r="C518">
        <v>11</v>
      </c>
      <c r="D518" s="5" t="s">
        <v>44</v>
      </c>
      <c r="E518" s="5" t="s">
        <v>82</v>
      </c>
      <c r="F518" s="5" t="s">
        <v>83</v>
      </c>
      <c r="G518" s="5" t="s">
        <v>84</v>
      </c>
      <c r="H518" s="5" t="s">
        <v>65</v>
      </c>
      <c r="I518" s="5" t="s">
        <v>53</v>
      </c>
      <c r="J518" s="5" t="s">
        <v>49</v>
      </c>
      <c r="K518">
        <v>54</v>
      </c>
      <c r="L518">
        <v>1231854</v>
      </c>
      <c r="M518" s="26">
        <v>66520116</v>
      </c>
      <c r="N518">
        <v>34791</v>
      </c>
      <c r="O518" s="26">
        <v>10060102.25</v>
      </c>
      <c r="P518" s="5" t="s">
        <v>50</v>
      </c>
      <c r="Q518" s="5" t="s">
        <v>43</v>
      </c>
      <c r="R518">
        <v>4.4000000000000004</v>
      </c>
      <c r="S518">
        <v>9</v>
      </c>
      <c r="T518">
        <f t="shared" si="8"/>
        <v>0</v>
      </c>
    </row>
    <row r="519" spans="1:20">
      <c r="A519" s="4">
        <v>44510</v>
      </c>
      <c r="B519">
        <v>2021</v>
      </c>
      <c r="C519">
        <v>11</v>
      </c>
      <c r="D519" s="5" t="s">
        <v>54</v>
      </c>
      <c r="E519" s="5" t="s">
        <v>55</v>
      </c>
      <c r="F519" s="5" t="s">
        <v>55</v>
      </c>
      <c r="G519" s="5" t="s">
        <v>56</v>
      </c>
      <c r="H519" s="5" t="s">
        <v>57</v>
      </c>
      <c r="I519" s="5" t="s">
        <v>58</v>
      </c>
      <c r="J519" s="5" t="s">
        <v>59</v>
      </c>
      <c r="K519">
        <v>44</v>
      </c>
      <c r="L519">
        <v>1380776</v>
      </c>
      <c r="M519" s="26">
        <v>60754144</v>
      </c>
      <c r="N519">
        <v>34793</v>
      </c>
      <c r="O519" s="26">
        <v>7885502.6399999997</v>
      </c>
      <c r="P519" s="5" t="s">
        <v>42</v>
      </c>
      <c r="Q519" s="5" t="s">
        <v>75</v>
      </c>
      <c r="R519">
        <v>4</v>
      </c>
      <c r="S519">
        <v>10</v>
      </c>
      <c r="T519">
        <f t="shared" si="8"/>
        <v>1</v>
      </c>
    </row>
    <row r="520" spans="1:20">
      <c r="A520" s="4">
        <v>44501</v>
      </c>
      <c r="B520">
        <v>2021</v>
      </c>
      <c r="C520">
        <v>11</v>
      </c>
      <c r="D520" s="5" t="s">
        <v>54</v>
      </c>
      <c r="E520" s="5" t="s">
        <v>55</v>
      </c>
      <c r="F520" s="5" t="s">
        <v>55</v>
      </c>
      <c r="G520" s="5" t="s">
        <v>56</v>
      </c>
      <c r="H520" s="5" t="s">
        <v>86</v>
      </c>
      <c r="I520" s="5" t="s">
        <v>40</v>
      </c>
      <c r="J520" s="5" t="s">
        <v>41</v>
      </c>
      <c r="K520">
        <v>17</v>
      </c>
      <c r="L520">
        <v>586860</v>
      </c>
      <c r="M520" s="26">
        <v>9976620</v>
      </c>
      <c r="N520">
        <v>18967</v>
      </c>
      <c r="O520" s="26">
        <v>1298413.57</v>
      </c>
      <c r="P520" s="5" t="s">
        <v>50</v>
      </c>
      <c r="Q520" s="5" t="s">
        <v>51</v>
      </c>
      <c r="R520">
        <v>3.6</v>
      </c>
      <c r="S520">
        <v>16</v>
      </c>
      <c r="T520">
        <f t="shared" si="8"/>
        <v>0</v>
      </c>
    </row>
    <row r="521" spans="1:20">
      <c r="A521" s="4">
        <v>44503</v>
      </c>
      <c r="B521">
        <v>2021</v>
      </c>
      <c r="C521">
        <v>11</v>
      </c>
      <c r="D521" s="5" t="s">
        <v>44</v>
      </c>
      <c r="E521" s="5" t="s">
        <v>82</v>
      </c>
      <c r="F521" s="5" t="s">
        <v>83</v>
      </c>
      <c r="G521" s="5" t="s">
        <v>84</v>
      </c>
      <c r="H521" s="5" t="s">
        <v>85</v>
      </c>
      <c r="I521" s="5" t="s">
        <v>58</v>
      </c>
      <c r="J521" s="5" t="s">
        <v>49</v>
      </c>
      <c r="K521">
        <v>38</v>
      </c>
      <c r="L521">
        <v>999365</v>
      </c>
      <c r="M521" s="26">
        <v>37975870</v>
      </c>
      <c r="N521">
        <v>47082</v>
      </c>
      <c r="O521" s="26">
        <v>3371560.69</v>
      </c>
      <c r="P521" s="5" t="s">
        <v>50</v>
      </c>
      <c r="Q521" s="5" t="s">
        <v>75</v>
      </c>
      <c r="R521">
        <v>4.9000000000000004</v>
      </c>
      <c r="S521">
        <v>2</v>
      </c>
      <c r="T521">
        <f t="shared" si="8"/>
        <v>0</v>
      </c>
    </row>
    <row r="522" spans="1:20">
      <c r="A522" s="4">
        <v>44520</v>
      </c>
      <c r="B522">
        <v>2021</v>
      </c>
      <c r="C522">
        <v>11</v>
      </c>
      <c r="D522" s="5" t="s">
        <v>66</v>
      </c>
      <c r="E522" s="5" t="s">
        <v>67</v>
      </c>
      <c r="F522" s="5" t="s">
        <v>68</v>
      </c>
      <c r="G522" s="5" t="s">
        <v>69</v>
      </c>
      <c r="H522" s="5" t="s">
        <v>86</v>
      </c>
      <c r="I522" s="5" t="s">
        <v>40</v>
      </c>
      <c r="J522" s="5" t="s">
        <v>41</v>
      </c>
      <c r="K522">
        <v>15</v>
      </c>
      <c r="L522">
        <v>598834</v>
      </c>
      <c r="M522" s="26">
        <v>8982510</v>
      </c>
      <c r="N522">
        <v>26011</v>
      </c>
      <c r="O522" s="26">
        <v>755794.42</v>
      </c>
      <c r="P522" s="5" t="s">
        <v>42</v>
      </c>
      <c r="Q522" s="5" t="s">
        <v>51</v>
      </c>
      <c r="R522">
        <v>3.9</v>
      </c>
      <c r="S522">
        <v>6</v>
      </c>
      <c r="T522">
        <f t="shared" si="8"/>
        <v>1</v>
      </c>
    </row>
    <row r="523" spans="1:20">
      <c r="A523" s="4">
        <v>44511</v>
      </c>
      <c r="B523">
        <v>2021</v>
      </c>
      <c r="C523">
        <v>11</v>
      </c>
      <c r="D523" s="5" t="s">
        <v>54</v>
      </c>
      <c r="E523" s="5" t="s">
        <v>55</v>
      </c>
      <c r="F523" s="5" t="s">
        <v>55</v>
      </c>
      <c r="G523" s="5" t="s">
        <v>56</v>
      </c>
      <c r="H523" s="5" t="s">
        <v>85</v>
      </c>
      <c r="I523" s="5" t="s">
        <v>58</v>
      </c>
      <c r="J523" s="5" t="s">
        <v>49</v>
      </c>
      <c r="K523">
        <v>12</v>
      </c>
      <c r="L523">
        <v>979635</v>
      </c>
      <c r="M523" s="26">
        <v>11755620</v>
      </c>
      <c r="N523">
        <v>37219</v>
      </c>
      <c r="O523" s="26">
        <v>1156545.42</v>
      </c>
      <c r="P523" s="5" t="s">
        <v>50</v>
      </c>
      <c r="Q523" s="5" t="s">
        <v>51</v>
      </c>
      <c r="R523">
        <v>4</v>
      </c>
      <c r="S523">
        <v>6</v>
      </c>
      <c r="T523">
        <f t="shared" si="8"/>
        <v>0</v>
      </c>
    </row>
    <row r="524" spans="1:20">
      <c r="A524" s="4">
        <v>44501</v>
      </c>
      <c r="B524">
        <v>2021</v>
      </c>
      <c r="C524">
        <v>11</v>
      </c>
      <c r="D524" s="5" t="s">
        <v>44</v>
      </c>
      <c r="E524" s="5" t="s">
        <v>82</v>
      </c>
      <c r="F524" s="5" t="s">
        <v>83</v>
      </c>
      <c r="G524" s="5" t="s">
        <v>84</v>
      </c>
      <c r="H524" s="5" t="s">
        <v>80</v>
      </c>
      <c r="I524" s="5" t="s">
        <v>81</v>
      </c>
      <c r="J524" s="5" t="s">
        <v>41</v>
      </c>
      <c r="K524">
        <v>31</v>
      </c>
      <c r="L524">
        <v>537374</v>
      </c>
      <c r="M524" s="26">
        <v>16658594</v>
      </c>
      <c r="N524">
        <v>12523</v>
      </c>
      <c r="O524" s="26">
        <v>1356996.97</v>
      </c>
      <c r="P524" s="5" t="s">
        <v>42</v>
      </c>
      <c r="Q524" s="5" t="s">
        <v>51</v>
      </c>
      <c r="R524">
        <v>3.8</v>
      </c>
      <c r="S524">
        <v>12</v>
      </c>
      <c r="T524">
        <f t="shared" si="8"/>
        <v>1</v>
      </c>
    </row>
    <row r="525" spans="1:20">
      <c r="A525" s="4">
        <v>44524</v>
      </c>
      <c r="B525">
        <v>2021</v>
      </c>
      <c r="C525">
        <v>11</v>
      </c>
      <c r="D525" s="5" t="s">
        <v>35</v>
      </c>
      <c r="E525" s="5" t="s">
        <v>36</v>
      </c>
      <c r="F525" s="5" t="s">
        <v>37</v>
      </c>
      <c r="G525" s="5" t="s">
        <v>38</v>
      </c>
      <c r="H525" s="5" t="s">
        <v>74</v>
      </c>
      <c r="I525" s="5" t="s">
        <v>40</v>
      </c>
      <c r="J525" s="5" t="s">
        <v>49</v>
      </c>
      <c r="K525">
        <v>7</v>
      </c>
      <c r="L525">
        <v>621930</v>
      </c>
      <c r="M525" s="26">
        <v>4353510</v>
      </c>
      <c r="N525">
        <v>22132</v>
      </c>
      <c r="O525" s="26">
        <v>434547</v>
      </c>
      <c r="P525" s="5" t="s">
        <v>42</v>
      </c>
      <c r="Q525" s="5" t="s">
        <v>43</v>
      </c>
      <c r="R525">
        <v>4.5999999999999996</v>
      </c>
      <c r="S525">
        <v>21</v>
      </c>
      <c r="T525">
        <f t="shared" si="8"/>
        <v>1</v>
      </c>
    </row>
    <row r="526" spans="1:20">
      <c r="A526" s="4">
        <v>44523</v>
      </c>
      <c r="B526">
        <v>2021</v>
      </c>
      <c r="C526">
        <v>11</v>
      </c>
      <c r="D526" s="5" t="s">
        <v>35</v>
      </c>
      <c r="E526" s="5" t="s">
        <v>60</v>
      </c>
      <c r="F526" s="5" t="s">
        <v>61</v>
      </c>
      <c r="G526" s="5" t="s">
        <v>62</v>
      </c>
      <c r="H526" s="5" t="s">
        <v>52</v>
      </c>
      <c r="I526" s="5" t="s">
        <v>53</v>
      </c>
      <c r="J526" s="5" t="s">
        <v>41</v>
      </c>
      <c r="K526">
        <v>42</v>
      </c>
      <c r="L526">
        <v>925859</v>
      </c>
      <c r="M526" s="26">
        <v>38886078</v>
      </c>
      <c r="N526">
        <v>18078</v>
      </c>
      <c r="O526" s="26">
        <v>3655762.12</v>
      </c>
      <c r="P526" s="5" t="s">
        <v>50</v>
      </c>
      <c r="Q526" s="5" t="s">
        <v>43</v>
      </c>
      <c r="R526">
        <v>3.7</v>
      </c>
      <c r="S526">
        <v>8</v>
      </c>
      <c r="T526">
        <f t="shared" si="8"/>
        <v>0</v>
      </c>
    </row>
    <row r="527" spans="1:20">
      <c r="A527" s="4">
        <v>44503</v>
      </c>
      <c r="B527">
        <v>2021</v>
      </c>
      <c r="C527">
        <v>11</v>
      </c>
      <c r="D527" s="5" t="s">
        <v>35</v>
      </c>
      <c r="E527" s="5" t="s">
        <v>60</v>
      </c>
      <c r="F527" s="5" t="s">
        <v>61</v>
      </c>
      <c r="G527" s="5" t="s">
        <v>62</v>
      </c>
      <c r="H527" s="5" t="s">
        <v>79</v>
      </c>
      <c r="I527" s="5" t="s">
        <v>58</v>
      </c>
      <c r="J527" s="5" t="s">
        <v>49</v>
      </c>
      <c r="K527">
        <v>33</v>
      </c>
      <c r="L527">
        <v>892722</v>
      </c>
      <c r="M527" s="26">
        <v>29459826</v>
      </c>
      <c r="N527">
        <v>45259</v>
      </c>
      <c r="O527" s="26">
        <v>3740450.74</v>
      </c>
      <c r="P527" s="5" t="s">
        <v>50</v>
      </c>
      <c r="Q527" s="5" t="s">
        <v>75</v>
      </c>
      <c r="R527">
        <v>3.6</v>
      </c>
      <c r="S527">
        <v>4</v>
      </c>
      <c r="T527">
        <f t="shared" si="8"/>
        <v>0</v>
      </c>
    </row>
    <row r="528" spans="1:20">
      <c r="A528" s="4">
        <v>44520</v>
      </c>
      <c r="B528">
        <v>2021</v>
      </c>
      <c r="C528">
        <v>11</v>
      </c>
      <c r="D528" s="5" t="s">
        <v>44</v>
      </c>
      <c r="E528" s="5" t="s">
        <v>82</v>
      </c>
      <c r="F528" s="5" t="s">
        <v>83</v>
      </c>
      <c r="G528" s="5" t="s">
        <v>84</v>
      </c>
      <c r="H528" s="5" t="s">
        <v>57</v>
      </c>
      <c r="I528" s="5" t="s">
        <v>58</v>
      </c>
      <c r="J528" s="5" t="s">
        <v>59</v>
      </c>
      <c r="K528">
        <v>28</v>
      </c>
      <c r="L528">
        <v>1375314</v>
      </c>
      <c r="M528" s="26">
        <v>38508792</v>
      </c>
      <c r="N528">
        <v>12998</v>
      </c>
      <c r="O528" s="26">
        <v>4889367.45</v>
      </c>
      <c r="P528" s="5" t="s">
        <v>42</v>
      </c>
      <c r="Q528" s="5" t="s">
        <v>75</v>
      </c>
      <c r="R528">
        <v>4.3</v>
      </c>
      <c r="S528">
        <v>11</v>
      </c>
      <c r="T528">
        <f t="shared" si="8"/>
        <v>1</v>
      </c>
    </row>
    <row r="529" spans="1:20">
      <c r="A529" s="4">
        <v>44505</v>
      </c>
      <c r="B529">
        <v>2021</v>
      </c>
      <c r="C529">
        <v>11</v>
      </c>
      <c r="D529" s="5" t="s">
        <v>44</v>
      </c>
      <c r="E529" s="5" t="s">
        <v>45</v>
      </c>
      <c r="F529" s="5" t="s">
        <v>46</v>
      </c>
      <c r="G529" s="5" t="s">
        <v>47</v>
      </c>
      <c r="H529" s="5" t="s">
        <v>86</v>
      </c>
      <c r="I529" s="5" t="s">
        <v>40</v>
      </c>
      <c r="J529" s="5" t="s">
        <v>41</v>
      </c>
      <c r="K529">
        <v>50</v>
      </c>
      <c r="L529">
        <v>596644</v>
      </c>
      <c r="M529" s="26">
        <v>29832200</v>
      </c>
      <c r="N529">
        <v>18877</v>
      </c>
      <c r="O529" s="26">
        <v>3493754.71</v>
      </c>
      <c r="P529" s="5" t="s">
        <v>50</v>
      </c>
      <c r="Q529" s="5" t="s">
        <v>75</v>
      </c>
      <c r="R529">
        <v>4.2</v>
      </c>
      <c r="S529">
        <v>14</v>
      </c>
      <c r="T529">
        <f t="shared" si="8"/>
        <v>0</v>
      </c>
    </row>
    <row r="530" spans="1:20">
      <c r="A530" s="4">
        <v>44524</v>
      </c>
      <c r="B530">
        <v>2021</v>
      </c>
      <c r="C530">
        <v>11</v>
      </c>
      <c r="D530" s="5" t="s">
        <v>35</v>
      </c>
      <c r="E530" s="5" t="s">
        <v>36</v>
      </c>
      <c r="F530" s="5" t="s">
        <v>37</v>
      </c>
      <c r="G530" s="5" t="s">
        <v>38</v>
      </c>
      <c r="H530" s="5" t="s">
        <v>39</v>
      </c>
      <c r="I530" s="5" t="s">
        <v>40</v>
      </c>
      <c r="J530" s="5" t="s">
        <v>41</v>
      </c>
      <c r="K530">
        <v>20</v>
      </c>
      <c r="L530">
        <v>569756</v>
      </c>
      <c r="M530" s="26">
        <v>11395120</v>
      </c>
      <c r="N530">
        <v>21792</v>
      </c>
      <c r="O530" s="26">
        <v>1460196.37</v>
      </c>
      <c r="P530" s="5" t="s">
        <v>42</v>
      </c>
      <c r="Q530" s="5" t="s">
        <v>43</v>
      </c>
      <c r="R530">
        <v>3.7</v>
      </c>
      <c r="S530">
        <v>13</v>
      </c>
      <c r="T530">
        <f t="shared" si="8"/>
        <v>1</v>
      </c>
    </row>
    <row r="531" spans="1:20">
      <c r="A531" s="4">
        <v>44519</v>
      </c>
      <c r="B531">
        <v>2021</v>
      </c>
      <c r="C531">
        <v>11</v>
      </c>
      <c r="D531" s="5" t="s">
        <v>35</v>
      </c>
      <c r="E531" s="5" t="s">
        <v>60</v>
      </c>
      <c r="F531" s="5" t="s">
        <v>61</v>
      </c>
      <c r="G531" s="5" t="s">
        <v>62</v>
      </c>
      <c r="H531" s="5" t="s">
        <v>48</v>
      </c>
      <c r="I531" s="5" t="s">
        <v>40</v>
      </c>
      <c r="J531" s="5" t="s">
        <v>49</v>
      </c>
      <c r="K531">
        <v>47</v>
      </c>
      <c r="L531">
        <v>478846</v>
      </c>
      <c r="M531" s="26">
        <v>22505762</v>
      </c>
      <c r="N531">
        <v>30866</v>
      </c>
      <c r="O531" s="26">
        <v>3397336.11</v>
      </c>
      <c r="P531" s="5" t="s">
        <v>42</v>
      </c>
      <c r="Q531" s="5" t="s">
        <v>75</v>
      </c>
      <c r="R531">
        <v>4.4000000000000004</v>
      </c>
      <c r="S531">
        <v>12</v>
      </c>
      <c r="T531">
        <f t="shared" si="8"/>
        <v>1</v>
      </c>
    </row>
    <row r="532" spans="1:20">
      <c r="A532" s="4">
        <v>44526</v>
      </c>
      <c r="B532">
        <v>2021</v>
      </c>
      <c r="C532">
        <v>11</v>
      </c>
      <c r="D532" s="5" t="s">
        <v>35</v>
      </c>
      <c r="E532" s="5" t="s">
        <v>76</v>
      </c>
      <c r="F532" s="5" t="s">
        <v>77</v>
      </c>
      <c r="G532" s="5" t="s">
        <v>78</v>
      </c>
      <c r="H532" s="5" t="s">
        <v>39</v>
      </c>
      <c r="I532" s="5" t="s">
        <v>40</v>
      </c>
      <c r="J532" s="5" t="s">
        <v>41</v>
      </c>
      <c r="K532">
        <v>7</v>
      </c>
      <c r="L532">
        <v>593270</v>
      </c>
      <c r="M532" s="26">
        <v>4152890</v>
      </c>
      <c r="N532">
        <v>31373</v>
      </c>
      <c r="O532" s="26">
        <v>420532.29</v>
      </c>
      <c r="P532" s="5" t="s">
        <v>50</v>
      </c>
      <c r="Q532" s="5" t="s">
        <v>51</v>
      </c>
      <c r="R532">
        <v>3.7</v>
      </c>
      <c r="S532">
        <v>13</v>
      </c>
      <c r="T532">
        <f t="shared" si="8"/>
        <v>0</v>
      </c>
    </row>
    <row r="533" spans="1:20">
      <c r="A533" s="4">
        <v>44515</v>
      </c>
      <c r="B533">
        <v>2021</v>
      </c>
      <c r="C533">
        <v>11</v>
      </c>
      <c r="D533" s="5" t="s">
        <v>35</v>
      </c>
      <c r="E533" s="5" t="s">
        <v>60</v>
      </c>
      <c r="F533" s="5" t="s">
        <v>61</v>
      </c>
      <c r="G533" s="5" t="s">
        <v>62</v>
      </c>
      <c r="H533" s="5" t="s">
        <v>80</v>
      </c>
      <c r="I533" s="5" t="s">
        <v>81</v>
      </c>
      <c r="J533" s="5" t="s">
        <v>41</v>
      </c>
      <c r="K533">
        <v>25</v>
      </c>
      <c r="L533">
        <v>556975</v>
      </c>
      <c r="M533" s="26">
        <v>13924375</v>
      </c>
      <c r="N533">
        <v>7828</v>
      </c>
      <c r="O533" s="26">
        <v>1175222.25</v>
      </c>
      <c r="P533" s="5" t="s">
        <v>50</v>
      </c>
      <c r="Q533" s="5" t="s">
        <v>43</v>
      </c>
      <c r="R533">
        <v>4.2</v>
      </c>
      <c r="S533">
        <v>8</v>
      </c>
      <c r="T533">
        <f t="shared" si="8"/>
        <v>0</v>
      </c>
    </row>
    <row r="534" spans="1:20">
      <c r="A534" s="4">
        <v>44511</v>
      </c>
      <c r="B534">
        <v>2021</v>
      </c>
      <c r="C534">
        <v>11</v>
      </c>
      <c r="D534" s="5" t="s">
        <v>44</v>
      </c>
      <c r="E534" s="5" t="s">
        <v>82</v>
      </c>
      <c r="F534" s="5" t="s">
        <v>83</v>
      </c>
      <c r="G534" s="5" t="s">
        <v>84</v>
      </c>
      <c r="H534" s="5" t="s">
        <v>63</v>
      </c>
      <c r="I534" s="5" t="s">
        <v>64</v>
      </c>
      <c r="J534" s="5" t="s">
        <v>41</v>
      </c>
      <c r="K534">
        <v>44</v>
      </c>
      <c r="L534">
        <v>740226</v>
      </c>
      <c r="M534" s="26">
        <v>32569944</v>
      </c>
      <c r="N534">
        <v>23617</v>
      </c>
      <c r="O534" s="26">
        <v>2915277.19</v>
      </c>
      <c r="P534" s="5" t="s">
        <v>50</v>
      </c>
      <c r="Q534" s="5" t="s">
        <v>43</v>
      </c>
      <c r="R534">
        <v>4</v>
      </c>
      <c r="S534">
        <v>5</v>
      </c>
      <c r="T534">
        <f t="shared" si="8"/>
        <v>0</v>
      </c>
    </row>
    <row r="535" spans="1:20">
      <c r="A535" s="4">
        <v>44518</v>
      </c>
      <c r="B535">
        <v>2021</v>
      </c>
      <c r="C535">
        <v>11</v>
      </c>
      <c r="D535" s="5" t="s">
        <v>66</v>
      </c>
      <c r="E535" s="5" t="s">
        <v>67</v>
      </c>
      <c r="F535" s="5" t="s">
        <v>68</v>
      </c>
      <c r="G535" s="5" t="s">
        <v>69</v>
      </c>
      <c r="H535" s="5" t="s">
        <v>85</v>
      </c>
      <c r="I535" s="5" t="s">
        <v>58</v>
      </c>
      <c r="J535" s="5" t="s">
        <v>49</v>
      </c>
      <c r="K535">
        <v>31</v>
      </c>
      <c r="L535">
        <v>1001117</v>
      </c>
      <c r="M535" s="26">
        <v>31034627</v>
      </c>
      <c r="N535">
        <v>13718</v>
      </c>
      <c r="O535" s="26">
        <v>3753722.88</v>
      </c>
      <c r="P535" s="5" t="s">
        <v>50</v>
      </c>
      <c r="Q535" s="5" t="s">
        <v>43</v>
      </c>
      <c r="R535">
        <v>3.5</v>
      </c>
      <c r="S535">
        <v>6</v>
      </c>
      <c r="T535">
        <f t="shared" si="8"/>
        <v>0</v>
      </c>
    </row>
    <row r="536" spans="1:20">
      <c r="A536" s="4">
        <v>44505</v>
      </c>
      <c r="B536">
        <v>2021</v>
      </c>
      <c r="C536">
        <v>11</v>
      </c>
      <c r="D536" s="5" t="s">
        <v>66</v>
      </c>
      <c r="E536" s="5" t="s">
        <v>67</v>
      </c>
      <c r="F536" s="5" t="s">
        <v>68</v>
      </c>
      <c r="G536" s="5" t="s">
        <v>69</v>
      </c>
      <c r="H536" s="5" t="s">
        <v>52</v>
      </c>
      <c r="I536" s="5" t="s">
        <v>53</v>
      </c>
      <c r="J536" s="5" t="s">
        <v>41</v>
      </c>
      <c r="K536">
        <v>44</v>
      </c>
      <c r="L536">
        <v>969868</v>
      </c>
      <c r="M536" s="26">
        <v>42674192</v>
      </c>
      <c r="N536">
        <v>38833</v>
      </c>
      <c r="O536" s="26">
        <v>4767861.88</v>
      </c>
      <c r="P536" s="5" t="s">
        <v>50</v>
      </c>
      <c r="Q536" s="5" t="s">
        <v>51</v>
      </c>
      <c r="R536">
        <v>4.3</v>
      </c>
      <c r="S536">
        <v>8</v>
      </c>
      <c r="T536">
        <f t="shared" si="8"/>
        <v>0</v>
      </c>
    </row>
    <row r="537" spans="1:20">
      <c r="A537" s="4">
        <v>44528</v>
      </c>
      <c r="B537">
        <v>2021</v>
      </c>
      <c r="C537">
        <v>11</v>
      </c>
      <c r="D537" s="5" t="s">
        <v>35</v>
      </c>
      <c r="E537" s="5" t="s">
        <v>60</v>
      </c>
      <c r="F537" s="5" t="s">
        <v>61</v>
      </c>
      <c r="G537" s="5" t="s">
        <v>62</v>
      </c>
      <c r="H537" s="5" t="s">
        <v>48</v>
      </c>
      <c r="I537" s="5" t="s">
        <v>40</v>
      </c>
      <c r="J537" s="5" t="s">
        <v>49</v>
      </c>
      <c r="K537">
        <v>29</v>
      </c>
      <c r="L537">
        <v>470568</v>
      </c>
      <c r="M537" s="26">
        <v>13646472</v>
      </c>
      <c r="N537">
        <v>25816</v>
      </c>
      <c r="O537" s="26">
        <v>1367462.66</v>
      </c>
      <c r="P537" s="5" t="s">
        <v>50</v>
      </c>
      <c r="Q537" s="5" t="s">
        <v>51</v>
      </c>
      <c r="R537">
        <v>4.5999999999999996</v>
      </c>
      <c r="S537">
        <v>10</v>
      </c>
      <c r="T537">
        <f t="shared" si="8"/>
        <v>0</v>
      </c>
    </row>
    <row r="538" spans="1:20">
      <c r="A538" s="4">
        <v>44520</v>
      </c>
      <c r="B538">
        <v>2021</v>
      </c>
      <c r="C538">
        <v>11</v>
      </c>
      <c r="D538" s="5" t="s">
        <v>54</v>
      </c>
      <c r="E538" s="5" t="s">
        <v>55</v>
      </c>
      <c r="F538" s="5" t="s">
        <v>55</v>
      </c>
      <c r="G538" s="5" t="s">
        <v>56</v>
      </c>
      <c r="H538" s="5" t="s">
        <v>79</v>
      </c>
      <c r="I538" s="5" t="s">
        <v>58</v>
      </c>
      <c r="J538" s="5" t="s">
        <v>49</v>
      </c>
      <c r="K538">
        <v>52</v>
      </c>
      <c r="L538">
        <v>904198</v>
      </c>
      <c r="M538" s="26">
        <v>47018296</v>
      </c>
      <c r="N538">
        <v>30769</v>
      </c>
      <c r="O538" s="26">
        <v>4305605.6100000003</v>
      </c>
      <c r="P538" s="5" t="s">
        <v>42</v>
      </c>
      <c r="Q538" s="5" t="s">
        <v>75</v>
      </c>
      <c r="R538">
        <v>4.0999999999999996</v>
      </c>
      <c r="S538">
        <v>17</v>
      </c>
      <c r="T538">
        <f t="shared" si="8"/>
        <v>1</v>
      </c>
    </row>
    <row r="539" spans="1:20">
      <c r="A539" s="4">
        <v>44511</v>
      </c>
      <c r="B539">
        <v>2021</v>
      </c>
      <c r="C539">
        <v>11</v>
      </c>
      <c r="D539" s="5" t="s">
        <v>66</v>
      </c>
      <c r="E539" s="5" t="s">
        <v>67</v>
      </c>
      <c r="F539" s="5" t="s">
        <v>68</v>
      </c>
      <c r="G539" s="5" t="s">
        <v>69</v>
      </c>
      <c r="H539" s="5" t="s">
        <v>74</v>
      </c>
      <c r="I539" s="5" t="s">
        <v>40</v>
      </c>
      <c r="J539" s="5" t="s">
        <v>49</v>
      </c>
      <c r="K539">
        <v>36</v>
      </c>
      <c r="L539">
        <v>625349</v>
      </c>
      <c r="M539" s="26">
        <v>22512564</v>
      </c>
      <c r="N539">
        <v>41964</v>
      </c>
      <c r="O539" s="26">
        <v>1944214.72</v>
      </c>
      <c r="P539" s="5" t="s">
        <v>42</v>
      </c>
      <c r="Q539" s="5" t="s">
        <v>51</v>
      </c>
      <c r="R539">
        <v>4.5</v>
      </c>
      <c r="S539">
        <v>12</v>
      </c>
      <c r="T539">
        <f t="shared" si="8"/>
        <v>1</v>
      </c>
    </row>
    <row r="540" spans="1:20">
      <c r="A540" s="4">
        <v>44514</v>
      </c>
      <c r="B540">
        <v>2021</v>
      </c>
      <c r="C540">
        <v>11</v>
      </c>
      <c r="D540" s="5" t="s">
        <v>54</v>
      </c>
      <c r="E540" s="5" t="s">
        <v>70</v>
      </c>
      <c r="F540" s="5" t="s">
        <v>71</v>
      </c>
      <c r="G540" s="5" t="s">
        <v>72</v>
      </c>
      <c r="H540" s="5" t="s">
        <v>65</v>
      </c>
      <c r="I540" s="5" t="s">
        <v>53</v>
      </c>
      <c r="J540" s="5" t="s">
        <v>49</v>
      </c>
      <c r="K540">
        <v>47</v>
      </c>
      <c r="L540">
        <v>1269410</v>
      </c>
      <c r="M540" s="26">
        <v>59662270</v>
      </c>
      <c r="N540">
        <v>21438</v>
      </c>
      <c r="O540" s="26">
        <v>5926010.2999999998</v>
      </c>
      <c r="P540" s="5" t="s">
        <v>50</v>
      </c>
      <c r="Q540" s="5" t="s">
        <v>75</v>
      </c>
      <c r="R540">
        <v>4.5</v>
      </c>
      <c r="S540">
        <v>14</v>
      </c>
      <c r="T540">
        <f t="shared" si="8"/>
        <v>0</v>
      </c>
    </row>
    <row r="541" spans="1:20">
      <c r="A541" s="4">
        <v>44506</v>
      </c>
      <c r="B541">
        <v>2021</v>
      </c>
      <c r="C541">
        <v>11</v>
      </c>
      <c r="D541" s="5" t="s">
        <v>54</v>
      </c>
      <c r="E541" s="5" t="s">
        <v>55</v>
      </c>
      <c r="F541" s="5" t="s">
        <v>55</v>
      </c>
      <c r="G541" s="5" t="s">
        <v>56</v>
      </c>
      <c r="H541" s="5" t="s">
        <v>85</v>
      </c>
      <c r="I541" s="5" t="s">
        <v>58</v>
      </c>
      <c r="J541" s="5" t="s">
        <v>49</v>
      </c>
      <c r="K541">
        <v>17</v>
      </c>
      <c r="L541">
        <v>987216</v>
      </c>
      <c r="M541" s="26">
        <v>16782672</v>
      </c>
      <c r="N541">
        <v>14672</v>
      </c>
      <c r="O541" s="26">
        <v>2104132.0699999998</v>
      </c>
      <c r="P541" s="5" t="s">
        <v>50</v>
      </c>
      <c r="Q541" s="5" t="s">
        <v>75</v>
      </c>
      <c r="R541">
        <v>4.0999999999999996</v>
      </c>
      <c r="S541">
        <v>18</v>
      </c>
      <c r="T541">
        <f t="shared" si="8"/>
        <v>0</v>
      </c>
    </row>
    <row r="542" spans="1:20">
      <c r="A542" s="4">
        <v>44523</v>
      </c>
      <c r="B542">
        <v>2021</v>
      </c>
      <c r="C542">
        <v>11</v>
      </c>
      <c r="D542" s="5" t="s">
        <v>54</v>
      </c>
      <c r="E542" s="5" t="s">
        <v>70</v>
      </c>
      <c r="F542" s="5" t="s">
        <v>71</v>
      </c>
      <c r="G542" s="5" t="s">
        <v>72</v>
      </c>
      <c r="H542" s="5" t="s">
        <v>57</v>
      </c>
      <c r="I542" s="5" t="s">
        <v>58</v>
      </c>
      <c r="J542" s="5" t="s">
        <v>59</v>
      </c>
      <c r="K542">
        <v>53</v>
      </c>
      <c r="L542">
        <v>1417008</v>
      </c>
      <c r="M542" s="26">
        <v>75101424</v>
      </c>
      <c r="N542">
        <v>28687</v>
      </c>
      <c r="O542" s="26">
        <v>8106471.4400000004</v>
      </c>
      <c r="P542" s="5" t="s">
        <v>42</v>
      </c>
      <c r="Q542" s="5" t="s">
        <v>75</v>
      </c>
      <c r="R542">
        <v>4</v>
      </c>
      <c r="S542">
        <v>14</v>
      </c>
      <c r="T542">
        <f t="shared" si="8"/>
        <v>1</v>
      </c>
    </row>
    <row r="543" spans="1:20">
      <c r="A543" s="4">
        <v>44512</v>
      </c>
      <c r="B543">
        <v>2021</v>
      </c>
      <c r="C543">
        <v>11</v>
      </c>
      <c r="D543" s="5" t="s">
        <v>44</v>
      </c>
      <c r="E543" s="5" t="s">
        <v>45</v>
      </c>
      <c r="F543" s="5" t="s">
        <v>46</v>
      </c>
      <c r="G543" s="5" t="s">
        <v>47</v>
      </c>
      <c r="H543" s="5" t="s">
        <v>85</v>
      </c>
      <c r="I543" s="5" t="s">
        <v>58</v>
      </c>
      <c r="J543" s="5" t="s">
        <v>49</v>
      </c>
      <c r="K543">
        <v>59</v>
      </c>
      <c r="L543">
        <v>980671</v>
      </c>
      <c r="M543" s="26">
        <v>57859589</v>
      </c>
      <c r="N543">
        <v>13408</v>
      </c>
      <c r="O543" s="26">
        <v>6280605.5199999996</v>
      </c>
      <c r="P543" s="5" t="s">
        <v>50</v>
      </c>
      <c r="Q543" s="5" t="s">
        <v>43</v>
      </c>
      <c r="R543">
        <v>4.3</v>
      </c>
      <c r="S543">
        <v>15</v>
      </c>
      <c r="T543">
        <f t="shared" si="8"/>
        <v>0</v>
      </c>
    </row>
    <row r="544" spans="1:20">
      <c r="A544" s="4">
        <v>44509</v>
      </c>
      <c r="B544">
        <v>2021</v>
      </c>
      <c r="C544">
        <v>11</v>
      </c>
      <c r="D544" s="5" t="s">
        <v>66</v>
      </c>
      <c r="E544" s="5" t="s">
        <v>67</v>
      </c>
      <c r="F544" s="5" t="s">
        <v>68</v>
      </c>
      <c r="G544" s="5" t="s">
        <v>69</v>
      </c>
      <c r="H544" s="5" t="s">
        <v>63</v>
      </c>
      <c r="I544" s="5" t="s">
        <v>64</v>
      </c>
      <c r="J544" s="5" t="s">
        <v>41</v>
      </c>
      <c r="K544">
        <v>9</v>
      </c>
      <c r="L544">
        <v>760002</v>
      </c>
      <c r="M544" s="26">
        <v>6840018</v>
      </c>
      <c r="N544">
        <v>35598</v>
      </c>
      <c r="O544" s="26">
        <v>910977.93</v>
      </c>
      <c r="P544" s="5" t="s">
        <v>50</v>
      </c>
      <c r="Q544" s="5" t="s">
        <v>51</v>
      </c>
      <c r="R544">
        <v>4</v>
      </c>
      <c r="S544">
        <v>9</v>
      </c>
      <c r="T544">
        <f t="shared" si="8"/>
        <v>0</v>
      </c>
    </row>
    <row r="545" spans="1:20">
      <c r="A545" s="4">
        <v>44525</v>
      </c>
      <c r="B545">
        <v>2021</v>
      </c>
      <c r="C545">
        <v>11</v>
      </c>
      <c r="D545" s="5" t="s">
        <v>54</v>
      </c>
      <c r="E545" s="5" t="s">
        <v>70</v>
      </c>
      <c r="F545" s="5" t="s">
        <v>71</v>
      </c>
      <c r="G545" s="5" t="s">
        <v>72</v>
      </c>
      <c r="H545" s="5" t="s">
        <v>65</v>
      </c>
      <c r="I545" s="5" t="s">
        <v>53</v>
      </c>
      <c r="J545" s="5" t="s">
        <v>49</v>
      </c>
      <c r="K545">
        <v>34</v>
      </c>
      <c r="L545">
        <v>1272718</v>
      </c>
      <c r="M545" s="26">
        <v>43272412</v>
      </c>
      <c r="N545">
        <v>26718</v>
      </c>
      <c r="O545" s="26">
        <v>4987370.45</v>
      </c>
      <c r="P545" s="5" t="s">
        <v>50</v>
      </c>
      <c r="Q545" s="5" t="s">
        <v>75</v>
      </c>
      <c r="R545">
        <v>4.7</v>
      </c>
      <c r="S545">
        <v>9</v>
      </c>
      <c r="T545">
        <f t="shared" si="8"/>
        <v>0</v>
      </c>
    </row>
    <row r="546" spans="1:20">
      <c r="A546" s="4">
        <v>44506</v>
      </c>
      <c r="B546">
        <v>2021</v>
      </c>
      <c r="C546">
        <v>11</v>
      </c>
      <c r="D546" s="5" t="s">
        <v>44</v>
      </c>
      <c r="E546" s="5" t="s">
        <v>45</v>
      </c>
      <c r="F546" s="5" t="s">
        <v>46</v>
      </c>
      <c r="G546" s="5" t="s">
        <v>47</v>
      </c>
      <c r="H546" s="5" t="s">
        <v>85</v>
      </c>
      <c r="I546" s="5" t="s">
        <v>58</v>
      </c>
      <c r="J546" s="5" t="s">
        <v>49</v>
      </c>
      <c r="K546">
        <v>22</v>
      </c>
      <c r="L546">
        <v>973934</v>
      </c>
      <c r="M546" s="26">
        <v>21426548</v>
      </c>
      <c r="N546">
        <v>19678</v>
      </c>
      <c r="O546" s="26">
        <v>3163101.84</v>
      </c>
      <c r="P546" s="5" t="s">
        <v>42</v>
      </c>
      <c r="Q546" s="5" t="s">
        <v>43</v>
      </c>
      <c r="R546">
        <v>4.0999999999999996</v>
      </c>
      <c r="S546">
        <v>3</v>
      </c>
      <c r="T546">
        <f t="shared" si="8"/>
        <v>1</v>
      </c>
    </row>
    <row r="547" spans="1:20">
      <c r="A547" s="4">
        <v>44528</v>
      </c>
      <c r="B547">
        <v>2021</v>
      </c>
      <c r="C547">
        <v>11</v>
      </c>
      <c r="D547" s="5" t="s">
        <v>35</v>
      </c>
      <c r="E547" s="5" t="s">
        <v>36</v>
      </c>
      <c r="F547" s="5" t="s">
        <v>37</v>
      </c>
      <c r="G547" s="5" t="s">
        <v>38</v>
      </c>
      <c r="H547" s="5" t="s">
        <v>79</v>
      </c>
      <c r="I547" s="5" t="s">
        <v>58</v>
      </c>
      <c r="J547" s="5" t="s">
        <v>49</v>
      </c>
      <c r="K547">
        <v>39</v>
      </c>
      <c r="L547">
        <v>893155</v>
      </c>
      <c r="M547" s="26">
        <v>34833045</v>
      </c>
      <c r="N547">
        <v>27782</v>
      </c>
      <c r="O547" s="26">
        <v>4630659.91</v>
      </c>
      <c r="P547" s="5" t="s">
        <v>42</v>
      </c>
      <c r="Q547" s="5" t="s">
        <v>43</v>
      </c>
      <c r="R547">
        <v>4.3</v>
      </c>
      <c r="S547">
        <v>16</v>
      </c>
      <c r="T547">
        <f t="shared" si="8"/>
        <v>1</v>
      </c>
    </row>
    <row r="548" spans="1:20">
      <c r="A548" s="4">
        <v>44526</v>
      </c>
      <c r="B548">
        <v>2021</v>
      </c>
      <c r="C548">
        <v>11</v>
      </c>
      <c r="D548" s="5" t="s">
        <v>44</v>
      </c>
      <c r="E548" s="5" t="s">
        <v>45</v>
      </c>
      <c r="F548" s="5" t="s">
        <v>46</v>
      </c>
      <c r="G548" s="5" t="s">
        <v>47</v>
      </c>
      <c r="H548" s="5" t="s">
        <v>74</v>
      </c>
      <c r="I548" s="5" t="s">
        <v>40</v>
      </c>
      <c r="J548" s="5" t="s">
        <v>49</v>
      </c>
      <c r="K548">
        <v>11</v>
      </c>
      <c r="L548">
        <v>656496</v>
      </c>
      <c r="M548" s="26">
        <v>7221456</v>
      </c>
      <c r="N548">
        <v>22660</v>
      </c>
      <c r="O548" s="26">
        <v>1006715.77</v>
      </c>
      <c r="P548" s="5" t="s">
        <v>50</v>
      </c>
      <c r="Q548" s="5" t="s">
        <v>43</v>
      </c>
      <c r="R548">
        <v>4.3</v>
      </c>
      <c r="S548">
        <v>8</v>
      </c>
      <c r="T548">
        <f t="shared" si="8"/>
        <v>0</v>
      </c>
    </row>
    <row r="549" spans="1:20">
      <c r="A549" s="4">
        <v>44528</v>
      </c>
      <c r="B549">
        <v>2021</v>
      </c>
      <c r="C549">
        <v>11</v>
      </c>
      <c r="D549" s="5" t="s">
        <v>35</v>
      </c>
      <c r="E549" s="5" t="s">
        <v>76</v>
      </c>
      <c r="F549" s="5" t="s">
        <v>77</v>
      </c>
      <c r="G549" s="5" t="s">
        <v>78</v>
      </c>
      <c r="H549" s="5" t="s">
        <v>63</v>
      </c>
      <c r="I549" s="5" t="s">
        <v>64</v>
      </c>
      <c r="J549" s="5" t="s">
        <v>41</v>
      </c>
      <c r="K549">
        <v>10</v>
      </c>
      <c r="L549">
        <v>757337</v>
      </c>
      <c r="M549" s="26">
        <v>7573370</v>
      </c>
      <c r="N549">
        <v>30705</v>
      </c>
      <c r="O549" s="26">
        <v>1018005.71</v>
      </c>
      <c r="P549" s="5" t="s">
        <v>42</v>
      </c>
      <c r="Q549" s="5" t="s">
        <v>43</v>
      </c>
      <c r="R549">
        <v>5</v>
      </c>
      <c r="S549">
        <v>17</v>
      </c>
      <c r="T549">
        <f t="shared" si="8"/>
        <v>1</v>
      </c>
    </row>
    <row r="550" spans="1:20">
      <c r="A550" s="4">
        <v>44517</v>
      </c>
      <c r="B550">
        <v>2021</v>
      </c>
      <c r="C550">
        <v>11</v>
      </c>
      <c r="D550" s="5" t="s">
        <v>44</v>
      </c>
      <c r="E550" s="5" t="s">
        <v>45</v>
      </c>
      <c r="F550" s="5" t="s">
        <v>46</v>
      </c>
      <c r="G550" s="5" t="s">
        <v>47</v>
      </c>
      <c r="H550" s="5" t="s">
        <v>79</v>
      </c>
      <c r="I550" s="5" t="s">
        <v>58</v>
      </c>
      <c r="J550" s="5" t="s">
        <v>49</v>
      </c>
      <c r="K550">
        <v>19</v>
      </c>
      <c r="L550">
        <v>915892</v>
      </c>
      <c r="M550" s="26">
        <v>17401948</v>
      </c>
      <c r="N550">
        <v>18100</v>
      </c>
      <c r="O550" s="26">
        <v>2062617.74</v>
      </c>
      <c r="P550" s="5" t="s">
        <v>42</v>
      </c>
      <c r="Q550" s="5" t="s">
        <v>51</v>
      </c>
      <c r="R550">
        <v>4.5999999999999996</v>
      </c>
      <c r="S550">
        <v>19</v>
      </c>
      <c r="T550">
        <f t="shared" si="8"/>
        <v>1</v>
      </c>
    </row>
    <row r="551" spans="1:20">
      <c r="A551" s="4">
        <v>44503</v>
      </c>
      <c r="B551">
        <v>2021</v>
      </c>
      <c r="C551">
        <v>11</v>
      </c>
      <c r="D551" s="5" t="s">
        <v>44</v>
      </c>
      <c r="E551" s="5" t="s">
        <v>45</v>
      </c>
      <c r="F551" s="5" t="s">
        <v>46</v>
      </c>
      <c r="G551" s="5" t="s">
        <v>47</v>
      </c>
      <c r="H551" s="5" t="s">
        <v>74</v>
      </c>
      <c r="I551" s="5" t="s">
        <v>40</v>
      </c>
      <c r="J551" s="5" t="s">
        <v>49</v>
      </c>
      <c r="K551">
        <v>10</v>
      </c>
      <c r="L551">
        <v>641182</v>
      </c>
      <c r="M551" s="26">
        <v>6411820</v>
      </c>
      <c r="N551">
        <v>21015</v>
      </c>
      <c r="O551" s="26">
        <v>954173.21</v>
      </c>
      <c r="P551" s="5" t="s">
        <v>50</v>
      </c>
      <c r="Q551" s="5" t="s">
        <v>75</v>
      </c>
      <c r="R551">
        <v>4.2</v>
      </c>
      <c r="S551">
        <v>4</v>
      </c>
      <c r="T551">
        <f t="shared" si="8"/>
        <v>0</v>
      </c>
    </row>
    <row r="552" spans="1:20">
      <c r="A552" s="4">
        <v>44535</v>
      </c>
      <c r="B552">
        <v>2021</v>
      </c>
      <c r="C552">
        <v>12</v>
      </c>
      <c r="D552" s="5" t="s">
        <v>35</v>
      </c>
      <c r="E552" s="5" t="s">
        <v>60</v>
      </c>
      <c r="F552" s="5" t="s">
        <v>61</v>
      </c>
      <c r="G552" s="5" t="s">
        <v>62</v>
      </c>
      <c r="H552" s="5" t="s">
        <v>73</v>
      </c>
      <c r="I552" s="5" t="s">
        <v>40</v>
      </c>
      <c r="J552" s="5" t="s">
        <v>49</v>
      </c>
      <c r="K552">
        <v>55</v>
      </c>
      <c r="L552">
        <v>747870</v>
      </c>
      <c r="M552" s="26">
        <v>41132850</v>
      </c>
      <c r="N552">
        <v>8274</v>
      </c>
      <c r="O552" s="26">
        <v>3765236.35</v>
      </c>
      <c r="P552" s="5" t="s">
        <v>42</v>
      </c>
      <c r="Q552" s="5" t="s">
        <v>43</v>
      </c>
      <c r="R552">
        <v>4.2</v>
      </c>
      <c r="S552">
        <v>2</v>
      </c>
      <c r="T552">
        <f t="shared" si="8"/>
        <v>1</v>
      </c>
    </row>
    <row r="553" spans="1:20">
      <c r="A553" s="4">
        <v>44558</v>
      </c>
      <c r="B553">
        <v>2021</v>
      </c>
      <c r="C553">
        <v>12</v>
      </c>
      <c r="D553" s="5" t="s">
        <v>44</v>
      </c>
      <c r="E553" s="5" t="s">
        <v>82</v>
      </c>
      <c r="F553" s="5" t="s">
        <v>83</v>
      </c>
      <c r="G553" s="5" t="s">
        <v>84</v>
      </c>
      <c r="H553" s="5" t="s">
        <v>57</v>
      </c>
      <c r="I553" s="5" t="s">
        <v>58</v>
      </c>
      <c r="J553" s="5" t="s">
        <v>59</v>
      </c>
      <c r="K553">
        <v>45</v>
      </c>
      <c r="L553">
        <v>1377796</v>
      </c>
      <c r="M553" s="26">
        <v>62000820</v>
      </c>
      <c r="N553">
        <v>44131</v>
      </c>
      <c r="O553" s="26">
        <v>9387368.8300000001</v>
      </c>
      <c r="P553" s="5" t="s">
        <v>42</v>
      </c>
      <c r="Q553" s="5" t="s">
        <v>75</v>
      </c>
      <c r="R553">
        <v>3.8</v>
      </c>
      <c r="S553">
        <v>19</v>
      </c>
      <c r="T553">
        <f t="shared" si="8"/>
        <v>1</v>
      </c>
    </row>
    <row r="554" spans="1:20">
      <c r="A554" s="4">
        <v>44552</v>
      </c>
      <c r="B554">
        <v>2021</v>
      </c>
      <c r="C554">
        <v>12</v>
      </c>
      <c r="D554" s="5" t="s">
        <v>35</v>
      </c>
      <c r="E554" s="5" t="s">
        <v>36</v>
      </c>
      <c r="F554" s="5" t="s">
        <v>37</v>
      </c>
      <c r="G554" s="5" t="s">
        <v>38</v>
      </c>
      <c r="H554" s="5" t="s">
        <v>74</v>
      </c>
      <c r="I554" s="5" t="s">
        <v>40</v>
      </c>
      <c r="J554" s="5" t="s">
        <v>49</v>
      </c>
      <c r="K554">
        <v>53</v>
      </c>
      <c r="L554">
        <v>644960</v>
      </c>
      <c r="M554" s="26">
        <v>34182880</v>
      </c>
      <c r="N554">
        <v>7747</v>
      </c>
      <c r="O554" s="26">
        <v>3096961.07</v>
      </c>
      <c r="P554" s="5" t="s">
        <v>42</v>
      </c>
      <c r="Q554" s="5" t="s">
        <v>51</v>
      </c>
      <c r="R554">
        <v>4.7</v>
      </c>
      <c r="S554">
        <v>4</v>
      </c>
      <c r="T554">
        <f t="shared" si="8"/>
        <v>1</v>
      </c>
    </row>
    <row r="555" spans="1:20">
      <c r="A555" s="4">
        <v>44533</v>
      </c>
      <c r="B555">
        <v>2021</v>
      </c>
      <c r="C555">
        <v>12</v>
      </c>
      <c r="D555" s="5" t="s">
        <v>35</v>
      </c>
      <c r="E555" s="5" t="s">
        <v>60</v>
      </c>
      <c r="F555" s="5" t="s">
        <v>61</v>
      </c>
      <c r="G555" s="5" t="s">
        <v>62</v>
      </c>
      <c r="H555" s="5" t="s">
        <v>63</v>
      </c>
      <c r="I555" s="5" t="s">
        <v>64</v>
      </c>
      <c r="J555" s="5" t="s">
        <v>41</v>
      </c>
      <c r="K555">
        <v>25</v>
      </c>
      <c r="L555">
        <v>743554</v>
      </c>
      <c r="M555" s="26">
        <v>18588850</v>
      </c>
      <c r="N555">
        <v>32981</v>
      </c>
      <c r="O555" s="26">
        <v>2902046.87</v>
      </c>
      <c r="P555" s="5" t="s">
        <v>42</v>
      </c>
      <c r="Q555" s="5" t="s">
        <v>43</v>
      </c>
      <c r="R555">
        <v>4.8</v>
      </c>
      <c r="S555">
        <v>2</v>
      </c>
      <c r="T555">
        <f t="shared" si="8"/>
        <v>1</v>
      </c>
    </row>
    <row r="556" spans="1:20">
      <c r="A556" s="4">
        <v>44543</v>
      </c>
      <c r="B556">
        <v>2021</v>
      </c>
      <c r="C556">
        <v>12</v>
      </c>
      <c r="D556" s="5" t="s">
        <v>44</v>
      </c>
      <c r="E556" s="5" t="s">
        <v>45</v>
      </c>
      <c r="F556" s="5" t="s">
        <v>46</v>
      </c>
      <c r="G556" s="5" t="s">
        <v>47</v>
      </c>
      <c r="H556" s="5" t="s">
        <v>63</v>
      </c>
      <c r="I556" s="5" t="s">
        <v>64</v>
      </c>
      <c r="J556" s="5" t="s">
        <v>41</v>
      </c>
      <c r="K556">
        <v>51</v>
      </c>
      <c r="L556">
        <v>783526</v>
      </c>
      <c r="M556" s="26">
        <v>39959826</v>
      </c>
      <c r="N556">
        <v>19420</v>
      </c>
      <c r="O556" s="26">
        <v>5009205.4400000004</v>
      </c>
      <c r="P556" s="5" t="s">
        <v>50</v>
      </c>
      <c r="Q556" s="5" t="s">
        <v>43</v>
      </c>
      <c r="R556">
        <v>3.6</v>
      </c>
      <c r="S556">
        <v>20</v>
      </c>
      <c r="T556">
        <f t="shared" si="8"/>
        <v>0</v>
      </c>
    </row>
    <row r="557" spans="1:20">
      <c r="A557" s="4">
        <v>44558</v>
      </c>
      <c r="B557">
        <v>2021</v>
      </c>
      <c r="C557">
        <v>12</v>
      </c>
      <c r="D557" s="5" t="s">
        <v>44</v>
      </c>
      <c r="E557" s="5" t="s">
        <v>45</v>
      </c>
      <c r="F557" s="5" t="s">
        <v>46</v>
      </c>
      <c r="G557" s="5" t="s">
        <v>47</v>
      </c>
      <c r="H557" s="5" t="s">
        <v>85</v>
      </c>
      <c r="I557" s="5" t="s">
        <v>58</v>
      </c>
      <c r="J557" s="5" t="s">
        <v>49</v>
      </c>
      <c r="K557">
        <v>9</v>
      </c>
      <c r="L557">
        <v>977470</v>
      </c>
      <c r="M557" s="26">
        <v>8797230</v>
      </c>
      <c r="N557">
        <v>39531</v>
      </c>
      <c r="O557" s="26">
        <v>1018239.23</v>
      </c>
      <c r="P557" s="5" t="s">
        <v>42</v>
      </c>
      <c r="Q557" s="5" t="s">
        <v>51</v>
      </c>
      <c r="R557">
        <v>4.7</v>
      </c>
      <c r="S557">
        <v>6</v>
      </c>
      <c r="T557">
        <f t="shared" si="8"/>
        <v>1</v>
      </c>
    </row>
    <row r="558" spans="1:20">
      <c r="A558" s="4">
        <v>44537</v>
      </c>
      <c r="B558">
        <v>2021</v>
      </c>
      <c r="C558">
        <v>12</v>
      </c>
      <c r="D558" s="5" t="s">
        <v>35</v>
      </c>
      <c r="E558" s="5" t="s">
        <v>60</v>
      </c>
      <c r="F558" s="5" t="s">
        <v>61</v>
      </c>
      <c r="G558" s="5" t="s">
        <v>62</v>
      </c>
      <c r="H558" s="5" t="s">
        <v>48</v>
      </c>
      <c r="I558" s="5" t="s">
        <v>40</v>
      </c>
      <c r="J558" s="5" t="s">
        <v>49</v>
      </c>
      <c r="K558">
        <v>44</v>
      </c>
      <c r="L558">
        <v>444092</v>
      </c>
      <c r="M558" s="26">
        <v>19540048</v>
      </c>
      <c r="N558">
        <v>14829</v>
      </c>
      <c r="O558" s="26">
        <v>2419306.11</v>
      </c>
      <c r="P558" s="5" t="s">
        <v>42</v>
      </c>
      <c r="Q558" s="5" t="s">
        <v>51</v>
      </c>
      <c r="R558">
        <v>4.7</v>
      </c>
      <c r="S558">
        <v>17</v>
      </c>
      <c r="T558">
        <f t="shared" si="8"/>
        <v>1</v>
      </c>
    </row>
    <row r="559" spans="1:20">
      <c r="A559" s="4">
        <v>44557</v>
      </c>
      <c r="B559">
        <v>2021</v>
      </c>
      <c r="C559">
        <v>12</v>
      </c>
      <c r="D559" s="5" t="s">
        <v>35</v>
      </c>
      <c r="E559" s="5" t="s">
        <v>60</v>
      </c>
      <c r="F559" s="5" t="s">
        <v>61</v>
      </c>
      <c r="G559" s="5" t="s">
        <v>62</v>
      </c>
      <c r="H559" s="5" t="s">
        <v>86</v>
      </c>
      <c r="I559" s="5" t="s">
        <v>40</v>
      </c>
      <c r="J559" s="5" t="s">
        <v>41</v>
      </c>
      <c r="K559">
        <v>14</v>
      </c>
      <c r="L559">
        <v>590720</v>
      </c>
      <c r="M559" s="26">
        <v>8270080</v>
      </c>
      <c r="N559">
        <v>31229</v>
      </c>
      <c r="O559" s="26">
        <v>953707.66</v>
      </c>
      <c r="P559" s="5" t="s">
        <v>42</v>
      </c>
      <c r="Q559" s="5" t="s">
        <v>51</v>
      </c>
      <c r="R559">
        <v>4.9000000000000004</v>
      </c>
      <c r="S559">
        <v>13</v>
      </c>
      <c r="T559">
        <f t="shared" si="8"/>
        <v>1</v>
      </c>
    </row>
    <row r="560" spans="1:20">
      <c r="A560" s="4">
        <v>44548</v>
      </c>
      <c r="B560">
        <v>2021</v>
      </c>
      <c r="C560">
        <v>12</v>
      </c>
      <c r="D560" s="5" t="s">
        <v>66</v>
      </c>
      <c r="E560" s="5" t="s">
        <v>67</v>
      </c>
      <c r="F560" s="5" t="s">
        <v>68</v>
      </c>
      <c r="G560" s="5" t="s">
        <v>69</v>
      </c>
      <c r="H560" s="5" t="s">
        <v>80</v>
      </c>
      <c r="I560" s="5" t="s">
        <v>81</v>
      </c>
      <c r="J560" s="5" t="s">
        <v>41</v>
      </c>
      <c r="K560">
        <v>44</v>
      </c>
      <c r="L560">
        <v>557710</v>
      </c>
      <c r="M560" s="26">
        <v>24539240</v>
      </c>
      <c r="N560">
        <v>10496</v>
      </c>
      <c r="O560" s="26">
        <v>2006047.76</v>
      </c>
      <c r="P560" s="5" t="s">
        <v>50</v>
      </c>
      <c r="Q560" s="5" t="s">
        <v>75</v>
      </c>
      <c r="R560">
        <v>4.4000000000000004</v>
      </c>
      <c r="S560">
        <v>13</v>
      </c>
      <c r="T560">
        <f t="shared" si="8"/>
        <v>0</v>
      </c>
    </row>
    <row r="561" spans="1:20">
      <c r="A561" s="4">
        <v>44538</v>
      </c>
      <c r="B561">
        <v>2021</v>
      </c>
      <c r="C561">
        <v>12</v>
      </c>
      <c r="D561" s="5" t="s">
        <v>66</v>
      </c>
      <c r="E561" s="5" t="s">
        <v>67</v>
      </c>
      <c r="F561" s="5" t="s">
        <v>68</v>
      </c>
      <c r="G561" s="5" t="s">
        <v>69</v>
      </c>
      <c r="H561" s="5" t="s">
        <v>57</v>
      </c>
      <c r="I561" s="5" t="s">
        <v>58</v>
      </c>
      <c r="J561" s="5" t="s">
        <v>59</v>
      </c>
      <c r="K561">
        <v>53</v>
      </c>
      <c r="L561">
        <v>1376298</v>
      </c>
      <c r="M561" s="26">
        <v>72943794</v>
      </c>
      <c r="N561">
        <v>10435</v>
      </c>
      <c r="O561" s="26">
        <v>6006198.5300000003</v>
      </c>
      <c r="P561" s="5" t="s">
        <v>42</v>
      </c>
      <c r="Q561" s="5" t="s">
        <v>75</v>
      </c>
      <c r="R561">
        <v>4.5999999999999996</v>
      </c>
      <c r="S561">
        <v>8</v>
      </c>
      <c r="T561">
        <f t="shared" si="8"/>
        <v>1</v>
      </c>
    </row>
    <row r="562" spans="1:20">
      <c r="A562" s="4">
        <v>44551</v>
      </c>
      <c r="B562">
        <v>2021</v>
      </c>
      <c r="C562">
        <v>12</v>
      </c>
      <c r="D562" s="5" t="s">
        <v>35</v>
      </c>
      <c r="E562" s="5" t="s">
        <v>36</v>
      </c>
      <c r="F562" s="5" t="s">
        <v>37</v>
      </c>
      <c r="G562" s="5" t="s">
        <v>38</v>
      </c>
      <c r="H562" s="5" t="s">
        <v>57</v>
      </c>
      <c r="I562" s="5" t="s">
        <v>58</v>
      </c>
      <c r="J562" s="5" t="s">
        <v>59</v>
      </c>
      <c r="K562">
        <v>10</v>
      </c>
      <c r="L562">
        <v>1403429</v>
      </c>
      <c r="M562" s="26">
        <v>14034290</v>
      </c>
      <c r="N562">
        <v>15579</v>
      </c>
      <c r="O562" s="26">
        <v>1191816.68</v>
      </c>
      <c r="P562" s="5" t="s">
        <v>42</v>
      </c>
      <c r="Q562" s="5" t="s">
        <v>51</v>
      </c>
      <c r="R562">
        <v>4.8</v>
      </c>
      <c r="S562">
        <v>12</v>
      </c>
      <c r="T562">
        <f t="shared" si="8"/>
        <v>1</v>
      </c>
    </row>
    <row r="563" spans="1:20">
      <c r="A563" s="4">
        <v>44549</v>
      </c>
      <c r="B563">
        <v>2021</v>
      </c>
      <c r="C563">
        <v>12</v>
      </c>
      <c r="D563" s="5" t="s">
        <v>54</v>
      </c>
      <c r="E563" s="5" t="s">
        <v>70</v>
      </c>
      <c r="F563" s="5" t="s">
        <v>71</v>
      </c>
      <c r="G563" s="5" t="s">
        <v>72</v>
      </c>
      <c r="H563" s="5" t="s">
        <v>79</v>
      </c>
      <c r="I563" s="5" t="s">
        <v>58</v>
      </c>
      <c r="J563" s="5" t="s">
        <v>49</v>
      </c>
      <c r="K563">
        <v>28</v>
      </c>
      <c r="L563">
        <v>920414</v>
      </c>
      <c r="M563" s="26">
        <v>25771592</v>
      </c>
      <c r="N563">
        <v>18489</v>
      </c>
      <c r="O563" s="26">
        <v>2064788.31</v>
      </c>
      <c r="P563" s="5" t="s">
        <v>42</v>
      </c>
      <c r="Q563" s="5" t="s">
        <v>75</v>
      </c>
      <c r="R563">
        <v>3.8</v>
      </c>
      <c r="S563">
        <v>2</v>
      </c>
      <c r="T563">
        <f t="shared" si="8"/>
        <v>1</v>
      </c>
    </row>
    <row r="564" spans="1:20">
      <c r="A564" s="4">
        <v>44537</v>
      </c>
      <c r="B564">
        <v>2021</v>
      </c>
      <c r="C564">
        <v>12</v>
      </c>
      <c r="D564" s="5" t="s">
        <v>35</v>
      </c>
      <c r="E564" s="5" t="s">
        <v>36</v>
      </c>
      <c r="F564" s="5" t="s">
        <v>37</v>
      </c>
      <c r="G564" s="5" t="s">
        <v>38</v>
      </c>
      <c r="H564" s="5" t="s">
        <v>74</v>
      </c>
      <c r="I564" s="5" t="s">
        <v>40</v>
      </c>
      <c r="J564" s="5" t="s">
        <v>49</v>
      </c>
      <c r="K564">
        <v>21</v>
      </c>
      <c r="L564">
        <v>643978</v>
      </c>
      <c r="M564" s="26">
        <v>13523538</v>
      </c>
      <c r="N564">
        <v>19309</v>
      </c>
      <c r="O564" s="26">
        <v>1522114.06</v>
      </c>
      <c r="P564" s="5" t="s">
        <v>50</v>
      </c>
      <c r="Q564" s="5" t="s">
        <v>43</v>
      </c>
      <c r="R564">
        <v>4.8</v>
      </c>
      <c r="S564">
        <v>20</v>
      </c>
      <c r="T564">
        <f t="shared" si="8"/>
        <v>0</v>
      </c>
    </row>
    <row r="565" spans="1:20">
      <c r="A565" s="4">
        <v>44557</v>
      </c>
      <c r="B565">
        <v>2021</v>
      </c>
      <c r="C565">
        <v>12</v>
      </c>
      <c r="D565" s="5" t="s">
        <v>35</v>
      </c>
      <c r="E565" s="5" t="s">
        <v>76</v>
      </c>
      <c r="F565" s="5" t="s">
        <v>77</v>
      </c>
      <c r="G565" s="5" t="s">
        <v>78</v>
      </c>
      <c r="H565" s="5" t="s">
        <v>79</v>
      </c>
      <c r="I565" s="5" t="s">
        <v>58</v>
      </c>
      <c r="J565" s="5" t="s">
        <v>49</v>
      </c>
      <c r="K565">
        <v>41</v>
      </c>
      <c r="L565">
        <v>894870</v>
      </c>
      <c r="M565" s="26">
        <v>36689670</v>
      </c>
      <c r="N565">
        <v>7826</v>
      </c>
      <c r="O565" s="26">
        <v>3437321.82</v>
      </c>
      <c r="P565" s="5" t="s">
        <v>50</v>
      </c>
      <c r="Q565" s="5" t="s">
        <v>51</v>
      </c>
      <c r="R565">
        <v>3.8</v>
      </c>
      <c r="S565">
        <v>3</v>
      </c>
      <c r="T565">
        <f t="shared" si="8"/>
        <v>0</v>
      </c>
    </row>
    <row r="566" spans="1:20">
      <c r="A566" s="4">
        <v>44549</v>
      </c>
      <c r="B566">
        <v>2021</v>
      </c>
      <c r="C566">
        <v>12</v>
      </c>
      <c r="D566" s="5" t="s">
        <v>44</v>
      </c>
      <c r="E566" s="5" t="s">
        <v>82</v>
      </c>
      <c r="F566" s="5" t="s">
        <v>83</v>
      </c>
      <c r="G566" s="5" t="s">
        <v>84</v>
      </c>
      <c r="H566" s="5" t="s">
        <v>86</v>
      </c>
      <c r="I566" s="5" t="s">
        <v>40</v>
      </c>
      <c r="J566" s="5" t="s">
        <v>41</v>
      </c>
      <c r="K566">
        <v>40</v>
      </c>
      <c r="L566">
        <v>595758</v>
      </c>
      <c r="M566" s="26">
        <v>23830320</v>
      </c>
      <c r="N566">
        <v>44999</v>
      </c>
      <c r="O566" s="26">
        <v>2593371.7200000002</v>
      </c>
      <c r="P566" s="5" t="s">
        <v>50</v>
      </c>
      <c r="Q566" s="5" t="s">
        <v>75</v>
      </c>
      <c r="R566">
        <v>4.8</v>
      </c>
      <c r="S566">
        <v>6</v>
      </c>
      <c r="T566">
        <f t="shared" si="8"/>
        <v>0</v>
      </c>
    </row>
    <row r="567" spans="1:20">
      <c r="A567" s="4">
        <v>44555</v>
      </c>
      <c r="B567">
        <v>2021</v>
      </c>
      <c r="C567">
        <v>12</v>
      </c>
      <c r="D567" s="5" t="s">
        <v>35</v>
      </c>
      <c r="E567" s="5" t="s">
        <v>60</v>
      </c>
      <c r="F567" s="5" t="s">
        <v>61</v>
      </c>
      <c r="G567" s="5" t="s">
        <v>62</v>
      </c>
      <c r="H567" s="5" t="s">
        <v>80</v>
      </c>
      <c r="I567" s="5" t="s">
        <v>81</v>
      </c>
      <c r="J567" s="5" t="s">
        <v>41</v>
      </c>
      <c r="K567">
        <v>10</v>
      </c>
      <c r="L567">
        <v>579450</v>
      </c>
      <c r="M567" s="26">
        <v>5794500</v>
      </c>
      <c r="N567">
        <v>34325</v>
      </c>
      <c r="O567" s="26">
        <v>548276.97</v>
      </c>
      <c r="P567" s="5" t="s">
        <v>42</v>
      </c>
      <c r="Q567" s="5" t="s">
        <v>43</v>
      </c>
      <c r="R567">
        <v>4</v>
      </c>
      <c r="S567">
        <v>9</v>
      </c>
      <c r="T567">
        <f t="shared" si="8"/>
        <v>1</v>
      </c>
    </row>
    <row r="568" spans="1:20">
      <c r="A568" s="4">
        <v>44558</v>
      </c>
      <c r="B568">
        <v>2021</v>
      </c>
      <c r="C568">
        <v>12</v>
      </c>
      <c r="D568" s="5" t="s">
        <v>54</v>
      </c>
      <c r="E568" s="5" t="s">
        <v>55</v>
      </c>
      <c r="F568" s="5" t="s">
        <v>55</v>
      </c>
      <c r="G568" s="5" t="s">
        <v>56</v>
      </c>
      <c r="H568" s="5" t="s">
        <v>65</v>
      </c>
      <c r="I568" s="5" t="s">
        <v>53</v>
      </c>
      <c r="J568" s="5" t="s">
        <v>49</v>
      </c>
      <c r="K568">
        <v>19</v>
      </c>
      <c r="L568">
        <v>1262671</v>
      </c>
      <c r="M568" s="26">
        <v>23990749</v>
      </c>
      <c r="N568">
        <v>19270</v>
      </c>
      <c r="O568" s="26">
        <v>3560003.7</v>
      </c>
      <c r="P568" s="5" t="s">
        <v>42</v>
      </c>
      <c r="Q568" s="5" t="s">
        <v>75</v>
      </c>
      <c r="R568">
        <v>4.7</v>
      </c>
      <c r="S568">
        <v>15</v>
      </c>
      <c r="T568">
        <f t="shared" si="8"/>
        <v>1</v>
      </c>
    </row>
    <row r="569" spans="1:20">
      <c r="A569" s="4">
        <v>44556</v>
      </c>
      <c r="B569">
        <v>2021</v>
      </c>
      <c r="C569">
        <v>12</v>
      </c>
      <c r="D569" s="5" t="s">
        <v>44</v>
      </c>
      <c r="E569" s="5" t="s">
        <v>82</v>
      </c>
      <c r="F569" s="5" t="s">
        <v>83</v>
      </c>
      <c r="G569" s="5" t="s">
        <v>84</v>
      </c>
      <c r="H569" s="5" t="s">
        <v>65</v>
      </c>
      <c r="I569" s="5" t="s">
        <v>53</v>
      </c>
      <c r="J569" s="5" t="s">
        <v>49</v>
      </c>
      <c r="K569">
        <v>20</v>
      </c>
      <c r="L569">
        <v>1243575</v>
      </c>
      <c r="M569" s="26">
        <v>24871500</v>
      </c>
      <c r="N569">
        <v>37122</v>
      </c>
      <c r="O569" s="26">
        <v>3739277.7</v>
      </c>
      <c r="P569" s="5" t="s">
        <v>50</v>
      </c>
      <c r="Q569" s="5" t="s">
        <v>43</v>
      </c>
      <c r="R569">
        <v>4.3</v>
      </c>
      <c r="S569">
        <v>18</v>
      </c>
      <c r="T569">
        <f t="shared" si="8"/>
        <v>0</v>
      </c>
    </row>
    <row r="570" spans="1:20">
      <c r="A570" s="4">
        <v>44534</v>
      </c>
      <c r="B570">
        <v>2021</v>
      </c>
      <c r="C570">
        <v>12</v>
      </c>
      <c r="D570" s="5" t="s">
        <v>54</v>
      </c>
      <c r="E570" s="5" t="s">
        <v>70</v>
      </c>
      <c r="F570" s="5" t="s">
        <v>71</v>
      </c>
      <c r="G570" s="5" t="s">
        <v>72</v>
      </c>
      <c r="H570" s="5" t="s">
        <v>74</v>
      </c>
      <c r="I570" s="5" t="s">
        <v>40</v>
      </c>
      <c r="J570" s="5" t="s">
        <v>49</v>
      </c>
      <c r="K570">
        <v>19</v>
      </c>
      <c r="L570">
        <v>634590</v>
      </c>
      <c r="M570" s="26">
        <v>12057210</v>
      </c>
      <c r="N570">
        <v>40373</v>
      </c>
      <c r="O570" s="26">
        <v>1114238.8999999999</v>
      </c>
      <c r="P570" s="5" t="s">
        <v>50</v>
      </c>
      <c r="Q570" s="5" t="s">
        <v>43</v>
      </c>
      <c r="R570">
        <v>4.9000000000000004</v>
      </c>
      <c r="S570">
        <v>18</v>
      </c>
      <c r="T570">
        <f t="shared" si="8"/>
        <v>0</v>
      </c>
    </row>
    <row r="571" spans="1:20">
      <c r="A571" s="4">
        <v>44537</v>
      </c>
      <c r="B571">
        <v>2021</v>
      </c>
      <c r="C571">
        <v>12</v>
      </c>
      <c r="D571" s="5" t="s">
        <v>66</v>
      </c>
      <c r="E571" s="5" t="s">
        <v>67</v>
      </c>
      <c r="F571" s="5" t="s">
        <v>68</v>
      </c>
      <c r="G571" s="5" t="s">
        <v>69</v>
      </c>
      <c r="H571" s="5" t="s">
        <v>39</v>
      </c>
      <c r="I571" s="5" t="s">
        <v>40</v>
      </c>
      <c r="J571" s="5" t="s">
        <v>41</v>
      </c>
      <c r="K571">
        <v>34</v>
      </c>
      <c r="L571">
        <v>556200</v>
      </c>
      <c r="M571" s="26">
        <v>18910800</v>
      </c>
      <c r="N571">
        <v>18279</v>
      </c>
      <c r="O571" s="26">
        <v>1601976.28</v>
      </c>
      <c r="P571" s="5" t="s">
        <v>50</v>
      </c>
      <c r="Q571" s="5" t="s">
        <v>43</v>
      </c>
      <c r="R571">
        <v>4.3</v>
      </c>
      <c r="S571">
        <v>18</v>
      </c>
      <c r="T571">
        <f t="shared" si="8"/>
        <v>0</v>
      </c>
    </row>
    <row r="572" spans="1:20">
      <c r="A572" s="4">
        <v>44552</v>
      </c>
      <c r="B572">
        <v>2021</v>
      </c>
      <c r="C572">
        <v>12</v>
      </c>
      <c r="D572" s="5" t="s">
        <v>35</v>
      </c>
      <c r="E572" s="5" t="s">
        <v>60</v>
      </c>
      <c r="F572" s="5" t="s">
        <v>61</v>
      </c>
      <c r="G572" s="5" t="s">
        <v>62</v>
      </c>
      <c r="H572" s="5" t="s">
        <v>52</v>
      </c>
      <c r="I572" s="5" t="s">
        <v>53</v>
      </c>
      <c r="J572" s="5" t="s">
        <v>41</v>
      </c>
      <c r="K572">
        <v>45</v>
      </c>
      <c r="L572">
        <v>926893</v>
      </c>
      <c r="M572" s="26">
        <v>41710185</v>
      </c>
      <c r="N572">
        <v>29667</v>
      </c>
      <c r="O572" s="26">
        <v>5458997.6600000001</v>
      </c>
      <c r="P572" s="5" t="s">
        <v>42</v>
      </c>
      <c r="Q572" s="5" t="s">
        <v>51</v>
      </c>
      <c r="R572">
        <v>4.7</v>
      </c>
      <c r="S572">
        <v>13</v>
      </c>
      <c r="T572">
        <f t="shared" si="8"/>
        <v>1</v>
      </c>
    </row>
    <row r="573" spans="1:20">
      <c r="A573" s="4">
        <v>44538</v>
      </c>
      <c r="B573">
        <v>2021</v>
      </c>
      <c r="C573">
        <v>12</v>
      </c>
      <c r="D573" s="5" t="s">
        <v>54</v>
      </c>
      <c r="E573" s="5" t="s">
        <v>70</v>
      </c>
      <c r="F573" s="5" t="s">
        <v>71</v>
      </c>
      <c r="G573" s="5" t="s">
        <v>72</v>
      </c>
      <c r="H573" s="5" t="s">
        <v>86</v>
      </c>
      <c r="I573" s="5" t="s">
        <v>40</v>
      </c>
      <c r="J573" s="5" t="s">
        <v>41</v>
      </c>
      <c r="K573">
        <v>59</v>
      </c>
      <c r="L573">
        <v>597636</v>
      </c>
      <c r="M573" s="26">
        <v>35260524</v>
      </c>
      <c r="N573">
        <v>48513</v>
      </c>
      <c r="O573" s="26">
        <v>5064837.16</v>
      </c>
      <c r="P573" s="5" t="s">
        <v>50</v>
      </c>
      <c r="Q573" s="5" t="s">
        <v>75</v>
      </c>
      <c r="R573">
        <v>4.8</v>
      </c>
      <c r="S573">
        <v>4</v>
      </c>
      <c r="T573">
        <f t="shared" si="8"/>
        <v>0</v>
      </c>
    </row>
    <row r="574" spans="1:20">
      <c r="A574" s="4">
        <v>44539</v>
      </c>
      <c r="B574">
        <v>2021</v>
      </c>
      <c r="C574">
        <v>12</v>
      </c>
      <c r="D574" s="5" t="s">
        <v>44</v>
      </c>
      <c r="E574" s="5" t="s">
        <v>82</v>
      </c>
      <c r="F574" s="5" t="s">
        <v>83</v>
      </c>
      <c r="G574" s="5" t="s">
        <v>84</v>
      </c>
      <c r="H574" s="5" t="s">
        <v>80</v>
      </c>
      <c r="I574" s="5" t="s">
        <v>81</v>
      </c>
      <c r="J574" s="5" t="s">
        <v>41</v>
      </c>
      <c r="K574">
        <v>31</v>
      </c>
      <c r="L574">
        <v>568544</v>
      </c>
      <c r="M574" s="26">
        <v>17624864</v>
      </c>
      <c r="N574">
        <v>19623</v>
      </c>
      <c r="O574" s="26">
        <v>2104244.36</v>
      </c>
      <c r="P574" s="5" t="s">
        <v>50</v>
      </c>
      <c r="Q574" s="5" t="s">
        <v>43</v>
      </c>
      <c r="R574">
        <v>4</v>
      </c>
      <c r="S574">
        <v>16</v>
      </c>
      <c r="T574">
        <f t="shared" si="8"/>
        <v>0</v>
      </c>
    </row>
    <row r="575" spans="1:20">
      <c r="A575" s="4">
        <v>44541</v>
      </c>
      <c r="B575">
        <v>2021</v>
      </c>
      <c r="C575">
        <v>12</v>
      </c>
      <c r="D575" s="5" t="s">
        <v>66</v>
      </c>
      <c r="E575" s="5" t="s">
        <v>67</v>
      </c>
      <c r="F575" s="5" t="s">
        <v>68</v>
      </c>
      <c r="G575" s="5" t="s">
        <v>69</v>
      </c>
      <c r="H575" s="5" t="s">
        <v>85</v>
      </c>
      <c r="I575" s="5" t="s">
        <v>58</v>
      </c>
      <c r="J575" s="5" t="s">
        <v>49</v>
      </c>
      <c r="K575">
        <v>8</v>
      </c>
      <c r="L575">
        <v>968704</v>
      </c>
      <c r="M575" s="26">
        <v>7749632</v>
      </c>
      <c r="N575">
        <v>20227</v>
      </c>
      <c r="O575" s="26">
        <v>713584.16</v>
      </c>
      <c r="P575" s="5" t="s">
        <v>42</v>
      </c>
      <c r="Q575" s="5" t="s">
        <v>51</v>
      </c>
      <c r="R575">
        <v>5</v>
      </c>
      <c r="S575">
        <v>16</v>
      </c>
      <c r="T575">
        <f t="shared" si="8"/>
        <v>1</v>
      </c>
    </row>
    <row r="576" spans="1:20">
      <c r="A576" s="4">
        <v>44545</v>
      </c>
      <c r="B576">
        <v>2021</v>
      </c>
      <c r="C576">
        <v>12</v>
      </c>
      <c r="D576" s="5" t="s">
        <v>66</v>
      </c>
      <c r="E576" s="5" t="s">
        <v>67</v>
      </c>
      <c r="F576" s="5" t="s">
        <v>68</v>
      </c>
      <c r="G576" s="5" t="s">
        <v>69</v>
      </c>
      <c r="H576" s="5" t="s">
        <v>80</v>
      </c>
      <c r="I576" s="5" t="s">
        <v>81</v>
      </c>
      <c r="J576" s="5" t="s">
        <v>41</v>
      </c>
      <c r="K576">
        <v>24</v>
      </c>
      <c r="L576">
        <v>544516</v>
      </c>
      <c r="M576" s="26">
        <v>13068384</v>
      </c>
      <c r="N576">
        <v>25526</v>
      </c>
      <c r="O576" s="26">
        <v>1316569.45</v>
      </c>
      <c r="P576" s="5" t="s">
        <v>42</v>
      </c>
      <c r="Q576" s="5" t="s">
        <v>51</v>
      </c>
      <c r="R576">
        <v>4</v>
      </c>
      <c r="S576">
        <v>20</v>
      </c>
      <c r="T576">
        <f t="shared" si="8"/>
        <v>1</v>
      </c>
    </row>
    <row r="577" spans="1:20">
      <c r="A577" s="4">
        <v>44542</v>
      </c>
      <c r="B577">
        <v>2021</v>
      </c>
      <c r="C577">
        <v>12</v>
      </c>
      <c r="D577" s="5" t="s">
        <v>35</v>
      </c>
      <c r="E577" s="5" t="s">
        <v>76</v>
      </c>
      <c r="F577" s="5" t="s">
        <v>77</v>
      </c>
      <c r="G577" s="5" t="s">
        <v>78</v>
      </c>
      <c r="H577" s="5" t="s">
        <v>80</v>
      </c>
      <c r="I577" s="5" t="s">
        <v>81</v>
      </c>
      <c r="J577" s="5" t="s">
        <v>41</v>
      </c>
      <c r="K577">
        <v>11</v>
      </c>
      <c r="L577">
        <v>563219</v>
      </c>
      <c r="M577" s="26">
        <v>6195409</v>
      </c>
      <c r="N577">
        <v>46011</v>
      </c>
      <c r="O577" s="26">
        <v>563217.25</v>
      </c>
      <c r="P577" s="5" t="s">
        <v>50</v>
      </c>
      <c r="Q577" s="5" t="s">
        <v>51</v>
      </c>
      <c r="R577">
        <v>4.3</v>
      </c>
      <c r="S577">
        <v>16</v>
      </c>
      <c r="T577">
        <f t="shared" si="8"/>
        <v>0</v>
      </c>
    </row>
    <row r="578" spans="1:20">
      <c r="A578" s="4">
        <v>44541</v>
      </c>
      <c r="B578">
        <v>2021</v>
      </c>
      <c r="C578">
        <v>12</v>
      </c>
      <c r="D578" s="5" t="s">
        <v>66</v>
      </c>
      <c r="E578" s="5" t="s">
        <v>67</v>
      </c>
      <c r="F578" s="5" t="s">
        <v>68</v>
      </c>
      <c r="G578" s="5" t="s">
        <v>69</v>
      </c>
      <c r="H578" s="5" t="s">
        <v>63</v>
      </c>
      <c r="I578" s="5" t="s">
        <v>64</v>
      </c>
      <c r="J578" s="5" t="s">
        <v>41</v>
      </c>
      <c r="K578">
        <v>5</v>
      </c>
      <c r="L578">
        <v>757308</v>
      </c>
      <c r="M578" s="26">
        <v>3786540</v>
      </c>
      <c r="N578">
        <v>25694</v>
      </c>
      <c r="O578" s="26">
        <v>565264.54</v>
      </c>
      <c r="P578" s="5" t="s">
        <v>50</v>
      </c>
      <c r="Q578" s="5" t="s">
        <v>75</v>
      </c>
      <c r="R578">
        <v>4.9000000000000004</v>
      </c>
      <c r="S578">
        <v>8</v>
      </c>
      <c r="T578">
        <f t="shared" ref="T578:T641" si="9">IF(AND(OR($B578=Sel_Year,Sel_Year="All"),OR($C578=Sel_Month,Sel_Month="All"),OR($D578=Sel_Region,Sel_Region="All"),OR($E578=Sel_State,Sel_State="All"),OR($F578=Sel_City,Sel_City="All"),OR($G578=Sel_Dealer,Sel_Dealer="All"),OR($H578=Sel_Model,Sel_Model="All"),OR($I578=Sel_Segment,Sel_Segment="All"),OR($J578=Sel_Fuel,Sel_Fuel="All"),OR($P578=Sel_CustType,Sel_CustType="All"),OR($Q578=Sel_Payment,Sel_Payment="All")),1,0)</f>
        <v>0</v>
      </c>
    </row>
    <row r="579" spans="1:20">
      <c r="A579" s="4">
        <v>44545</v>
      </c>
      <c r="B579">
        <v>2021</v>
      </c>
      <c r="C579">
        <v>12</v>
      </c>
      <c r="D579" s="5" t="s">
        <v>66</v>
      </c>
      <c r="E579" s="5" t="s">
        <v>67</v>
      </c>
      <c r="F579" s="5" t="s">
        <v>68</v>
      </c>
      <c r="G579" s="5" t="s">
        <v>69</v>
      </c>
      <c r="H579" s="5" t="s">
        <v>39</v>
      </c>
      <c r="I579" s="5" t="s">
        <v>40</v>
      </c>
      <c r="J579" s="5" t="s">
        <v>41</v>
      </c>
      <c r="K579">
        <v>37</v>
      </c>
      <c r="L579">
        <v>586167</v>
      </c>
      <c r="M579" s="26">
        <v>21688179</v>
      </c>
      <c r="N579">
        <v>10909</v>
      </c>
      <c r="O579" s="26">
        <v>2910826.81</v>
      </c>
      <c r="P579" s="5" t="s">
        <v>50</v>
      </c>
      <c r="Q579" s="5" t="s">
        <v>75</v>
      </c>
      <c r="R579">
        <v>3.7</v>
      </c>
      <c r="S579">
        <v>14</v>
      </c>
      <c r="T579">
        <f t="shared" si="9"/>
        <v>0</v>
      </c>
    </row>
    <row r="580" spans="1:20">
      <c r="A580" s="4">
        <v>44556</v>
      </c>
      <c r="B580">
        <v>2021</v>
      </c>
      <c r="C580">
        <v>12</v>
      </c>
      <c r="D580" s="5" t="s">
        <v>44</v>
      </c>
      <c r="E580" s="5" t="s">
        <v>45</v>
      </c>
      <c r="F580" s="5" t="s">
        <v>46</v>
      </c>
      <c r="G580" s="5" t="s">
        <v>47</v>
      </c>
      <c r="H580" s="5" t="s">
        <v>79</v>
      </c>
      <c r="I580" s="5" t="s">
        <v>58</v>
      </c>
      <c r="J580" s="5" t="s">
        <v>49</v>
      </c>
      <c r="K580">
        <v>54</v>
      </c>
      <c r="L580">
        <v>903919</v>
      </c>
      <c r="M580" s="26">
        <v>48811626</v>
      </c>
      <c r="N580">
        <v>43534</v>
      </c>
      <c r="O580" s="26">
        <v>6738809.8899999997</v>
      </c>
      <c r="P580" s="5" t="s">
        <v>50</v>
      </c>
      <c r="Q580" s="5" t="s">
        <v>43</v>
      </c>
      <c r="R580">
        <v>4.7</v>
      </c>
      <c r="S580">
        <v>19</v>
      </c>
      <c r="T580">
        <f t="shared" si="9"/>
        <v>0</v>
      </c>
    </row>
    <row r="581" spans="1:20">
      <c r="A581" s="4">
        <v>44549</v>
      </c>
      <c r="B581">
        <v>2021</v>
      </c>
      <c r="C581">
        <v>12</v>
      </c>
      <c r="D581" s="5" t="s">
        <v>44</v>
      </c>
      <c r="E581" s="5" t="s">
        <v>45</v>
      </c>
      <c r="F581" s="5" t="s">
        <v>46</v>
      </c>
      <c r="G581" s="5" t="s">
        <v>47</v>
      </c>
      <c r="H581" s="5" t="s">
        <v>86</v>
      </c>
      <c r="I581" s="5" t="s">
        <v>40</v>
      </c>
      <c r="J581" s="5" t="s">
        <v>41</v>
      </c>
      <c r="K581">
        <v>53</v>
      </c>
      <c r="L581">
        <v>570381</v>
      </c>
      <c r="M581" s="26">
        <v>30230193</v>
      </c>
      <c r="N581">
        <v>28126</v>
      </c>
      <c r="O581" s="26">
        <v>4725752.45</v>
      </c>
      <c r="P581" s="5" t="s">
        <v>42</v>
      </c>
      <c r="Q581" s="5" t="s">
        <v>75</v>
      </c>
      <c r="R581">
        <v>4.5999999999999996</v>
      </c>
      <c r="S581">
        <v>14</v>
      </c>
      <c r="T581">
        <f t="shared" si="9"/>
        <v>1</v>
      </c>
    </row>
    <row r="582" spans="1:20">
      <c r="A582" s="4">
        <v>44546</v>
      </c>
      <c r="B582">
        <v>2021</v>
      </c>
      <c r="C582">
        <v>12</v>
      </c>
      <c r="D582" s="5" t="s">
        <v>35</v>
      </c>
      <c r="E582" s="5" t="s">
        <v>76</v>
      </c>
      <c r="F582" s="5" t="s">
        <v>77</v>
      </c>
      <c r="G582" s="5" t="s">
        <v>78</v>
      </c>
      <c r="H582" s="5" t="s">
        <v>65</v>
      </c>
      <c r="I582" s="5" t="s">
        <v>53</v>
      </c>
      <c r="J582" s="5" t="s">
        <v>49</v>
      </c>
      <c r="K582">
        <v>17</v>
      </c>
      <c r="L582">
        <v>1259521</v>
      </c>
      <c r="M582" s="26">
        <v>21411857</v>
      </c>
      <c r="N582">
        <v>9019</v>
      </c>
      <c r="O582" s="26">
        <v>2295710.02</v>
      </c>
      <c r="P582" s="5" t="s">
        <v>42</v>
      </c>
      <c r="Q582" s="5" t="s">
        <v>51</v>
      </c>
      <c r="R582">
        <v>3.8</v>
      </c>
      <c r="S582">
        <v>17</v>
      </c>
      <c r="T582">
        <f t="shared" si="9"/>
        <v>1</v>
      </c>
    </row>
    <row r="583" spans="1:20">
      <c r="A583" s="4">
        <v>44544</v>
      </c>
      <c r="B583">
        <v>2021</v>
      </c>
      <c r="C583">
        <v>12</v>
      </c>
      <c r="D583" s="5" t="s">
        <v>66</v>
      </c>
      <c r="E583" s="5" t="s">
        <v>67</v>
      </c>
      <c r="F583" s="5" t="s">
        <v>68</v>
      </c>
      <c r="G583" s="5" t="s">
        <v>69</v>
      </c>
      <c r="H583" s="5" t="s">
        <v>74</v>
      </c>
      <c r="I583" s="5" t="s">
        <v>40</v>
      </c>
      <c r="J583" s="5" t="s">
        <v>49</v>
      </c>
      <c r="K583">
        <v>14</v>
      </c>
      <c r="L583">
        <v>632605</v>
      </c>
      <c r="M583" s="26">
        <v>8856470</v>
      </c>
      <c r="N583">
        <v>5665</v>
      </c>
      <c r="O583" s="26">
        <v>1302362.52</v>
      </c>
      <c r="P583" s="5" t="s">
        <v>50</v>
      </c>
      <c r="Q583" s="5" t="s">
        <v>75</v>
      </c>
      <c r="R583">
        <v>4.5</v>
      </c>
      <c r="S583">
        <v>14</v>
      </c>
      <c r="T583">
        <f t="shared" si="9"/>
        <v>0</v>
      </c>
    </row>
    <row r="584" spans="1:20">
      <c r="A584" s="4">
        <v>44540</v>
      </c>
      <c r="B584">
        <v>2021</v>
      </c>
      <c r="C584">
        <v>12</v>
      </c>
      <c r="D584" s="5" t="s">
        <v>44</v>
      </c>
      <c r="E584" s="5" t="s">
        <v>82</v>
      </c>
      <c r="F584" s="5" t="s">
        <v>83</v>
      </c>
      <c r="G584" s="5" t="s">
        <v>84</v>
      </c>
      <c r="H584" s="5" t="s">
        <v>57</v>
      </c>
      <c r="I584" s="5" t="s">
        <v>58</v>
      </c>
      <c r="J584" s="5" t="s">
        <v>59</v>
      </c>
      <c r="K584">
        <v>14</v>
      </c>
      <c r="L584">
        <v>1388688</v>
      </c>
      <c r="M584" s="26">
        <v>19441632</v>
      </c>
      <c r="N584">
        <v>14029</v>
      </c>
      <c r="O584" s="26">
        <v>1820888.53</v>
      </c>
      <c r="P584" s="5" t="s">
        <v>50</v>
      </c>
      <c r="Q584" s="5" t="s">
        <v>51</v>
      </c>
      <c r="R584">
        <v>4</v>
      </c>
      <c r="S584">
        <v>16</v>
      </c>
      <c r="T584">
        <f t="shared" si="9"/>
        <v>0</v>
      </c>
    </row>
    <row r="585" spans="1:20">
      <c r="A585" s="4">
        <v>44543</v>
      </c>
      <c r="B585">
        <v>2021</v>
      </c>
      <c r="C585">
        <v>12</v>
      </c>
      <c r="D585" s="5" t="s">
        <v>35</v>
      </c>
      <c r="E585" s="5" t="s">
        <v>76</v>
      </c>
      <c r="F585" s="5" t="s">
        <v>77</v>
      </c>
      <c r="G585" s="5" t="s">
        <v>78</v>
      </c>
      <c r="H585" s="5" t="s">
        <v>57</v>
      </c>
      <c r="I585" s="5" t="s">
        <v>58</v>
      </c>
      <c r="J585" s="5" t="s">
        <v>59</v>
      </c>
      <c r="K585">
        <v>17</v>
      </c>
      <c r="L585">
        <v>1415990</v>
      </c>
      <c r="M585" s="26">
        <v>24071830</v>
      </c>
      <c r="N585">
        <v>8414</v>
      </c>
      <c r="O585" s="26">
        <v>2322183.54</v>
      </c>
      <c r="P585" s="5" t="s">
        <v>42</v>
      </c>
      <c r="Q585" s="5" t="s">
        <v>43</v>
      </c>
      <c r="R585">
        <v>4.5</v>
      </c>
      <c r="S585">
        <v>3</v>
      </c>
      <c r="T585">
        <f t="shared" si="9"/>
        <v>1</v>
      </c>
    </row>
    <row r="586" spans="1:20">
      <c r="A586" s="4">
        <v>44540</v>
      </c>
      <c r="B586">
        <v>2021</v>
      </c>
      <c r="C586">
        <v>12</v>
      </c>
      <c r="D586" s="5" t="s">
        <v>66</v>
      </c>
      <c r="E586" s="5" t="s">
        <v>67</v>
      </c>
      <c r="F586" s="5" t="s">
        <v>68</v>
      </c>
      <c r="G586" s="5" t="s">
        <v>69</v>
      </c>
      <c r="H586" s="5" t="s">
        <v>73</v>
      </c>
      <c r="I586" s="5" t="s">
        <v>40</v>
      </c>
      <c r="J586" s="5" t="s">
        <v>49</v>
      </c>
      <c r="K586">
        <v>15</v>
      </c>
      <c r="L586">
        <v>722338</v>
      </c>
      <c r="M586" s="26">
        <v>10835070</v>
      </c>
      <c r="N586">
        <v>15094</v>
      </c>
      <c r="O586" s="26">
        <v>1172372.75</v>
      </c>
      <c r="P586" s="5" t="s">
        <v>50</v>
      </c>
      <c r="Q586" s="5" t="s">
        <v>75</v>
      </c>
      <c r="R586">
        <v>4.5</v>
      </c>
      <c r="S586">
        <v>16</v>
      </c>
      <c r="T586">
        <f t="shared" si="9"/>
        <v>0</v>
      </c>
    </row>
    <row r="587" spans="1:20">
      <c r="A587" s="4">
        <v>44548</v>
      </c>
      <c r="B587">
        <v>2021</v>
      </c>
      <c r="C587">
        <v>12</v>
      </c>
      <c r="D587" s="5" t="s">
        <v>54</v>
      </c>
      <c r="E587" s="5" t="s">
        <v>70</v>
      </c>
      <c r="F587" s="5" t="s">
        <v>71</v>
      </c>
      <c r="G587" s="5" t="s">
        <v>72</v>
      </c>
      <c r="H587" s="5" t="s">
        <v>52</v>
      </c>
      <c r="I587" s="5" t="s">
        <v>53</v>
      </c>
      <c r="J587" s="5" t="s">
        <v>41</v>
      </c>
      <c r="K587">
        <v>27</v>
      </c>
      <c r="L587">
        <v>960607</v>
      </c>
      <c r="M587" s="26">
        <v>25936389</v>
      </c>
      <c r="N587">
        <v>38779</v>
      </c>
      <c r="O587" s="26">
        <v>3620484.13</v>
      </c>
      <c r="P587" s="5" t="s">
        <v>50</v>
      </c>
      <c r="Q587" s="5" t="s">
        <v>51</v>
      </c>
      <c r="R587">
        <v>3.7</v>
      </c>
      <c r="S587">
        <v>15</v>
      </c>
      <c r="T587">
        <f t="shared" si="9"/>
        <v>0</v>
      </c>
    </row>
    <row r="588" spans="1:20">
      <c r="A588" s="4">
        <v>44541</v>
      </c>
      <c r="B588">
        <v>2021</v>
      </c>
      <c r="C588">
        <v>12</v>
      </c>
      <c r="D588" s="5" t="s">
        <v>44</v>
      </c>
      <c r="E588" s="5" t="s">
        <v>45</v>
      </c>
      <c r="F588" s="5" t="s">
        <v>46</v>
      </c>
      <c r="G588" s="5" t="s">
        <v>47</v>
      </c>
      <c r="H588" s="5" t="s">
        <v>85</v>
      </c>
      <c r="I588" s="5" t="s">
        <v>58</v>
      </c>
      <c r="J588" s="5" t="s">
        <v>49</v>
      </c>
      <c r="K588">
        <v>21</v>
      </c>
      <c r="L588">
        <v>969628</v>
      </c>
      <c r="M588" s="26">
        <v>20362188</v>
      </c>
      <c r="N588">
        <v>40064</v>
      </c>
      <c r="O588" s="26">
        <v>3095757.27</v>
      </c>
      <c r="P588" s="5" t="s">
        <v>42</v>
      </c>
      <c r="Q588" s="5" t="s">
        <v>75</v>
      </c>
      <c r="R588">
        <v>4.2</v>
      </c>
      <c r="S588">
        <v>17</v>
      </c>
      <c r="T588">
        <f t="shared" si="9"/>
        <v>1</v>
      </c>
    </row>
    <row r="589" spans="1:20">
      <c r="A589" s="4">
        <v>44553</v>
      </c>
      <c r="B589">
        <v>2021</v>
      </c>
      <c r="C589">
        <v>12</v>
      </c>
      <c r="D589" s="5" t="s">
        <v>35</v>
      </c>
      <c r="E589" s="5" t="s">
        <v>36</v>
      </c>
      <c r="F589" s="5" t="s">
        <v>37</v>
      </c>
      <c r="G589" s="5" t="s">
        <v>38</v>
      </c>
      <c r="H589" s="5" t="s">
        <v>74</v>
      </c>
      <c r="I589" s="5" t="s">
        <v>40</v>
      </c>
      <c r="J589" s="5" t="s">
        <v>49</v>
      </c>
      <c r="K589">
        <v>32</v>
      </c>
      <c r="L589">
        <v>645383</v>
      </c>
      <c r="M589" s="26">
        <v>20652256</v>
      </c>
      <c r="N589">
        <v>17259</v>
      </c>
      <c r="O589" s="26">
        <v>2124347.64</v>
      </c>
      <c r="P589" s="5" t="s">
        <v>42</v>
      </c>
      <c r="Q589" s="5" t="s">
        <v>75</v>
      </c>
      <c r="R589">
        <v>4.8</v>
      </c>
      <c r="S589">
        <v>14</v>
      </c>
      <c r="T589">
        <f t="shared" si="9"/>
        <v>1</v>
      </c>
    </row>
    <row r="590" spans="1:20">
      <c r="A590" s="4">
        <v>44540</v>
      </c>
      <c r="B590">
        <v>2021</v>
      </c>
      <c r="C590">
        <v>12</v>
      </c>
      <c r="D590" s="5" t="s">
        <v>54</v>
      </c>
      <c r="E590" s="5" t="s">
        <v>55</v>
      </c>
      <c r="F590" s="5" t="s">
        <v>55</v>
      </c>
      <c r="G590" s="5" t="s">
        <v>56</v>
      </c>
      <c r="H590" s="5" t="s">
        <v>85</v>
      </c>
      <c r="I590" s="5" t="s">
        <v>58</v>
      </c>
      <c r="J590" s="5" t="s">
        <v>49</v>
      </c>
      <c r="K590">
        <v>46</v>
      </c>
      <c r="L590">
        <v>981728</v>
      </c>
      <c r="M590" s="26">
        <v>45159488</v>
      </c>
      <c r="N590">
        <v>27287</v>
      </c>
      <c r="O590" s="26">
        <v>4922326.03</v>
      </c>
      <c r="P590" s="5" t="s">
        <v>50</v>
      </c>
      <c r="Q590" s="5" t="s">
        <v>75</v>
      </c>
      <c r="R590">
        <v>4.9000000000000004</v>
      </c>
      <c r="S590">
        <v>12</v>
      </c>
      <c r="T590">
        <f t="shared" si="9"/>
        <v>0</v>
      </c>
    </row>
    <row r="591" spans="1:20">
      <c r="A591" s="4">
        <v>44550</v>
      </c>
      <c r="B591">
        <v>2021</v>
      </c>
      <c r="C591">
        <v>12</v>
      </c>
      <c r="D591" s="5" t="s">
        <v>35</v>
      </c>
      <c r="E591" s="5" t="s">
        <v>36</v>
      </c>
      <c r="F591" s="5" t="s">
        <v>37</v>
      </c>
      <c r="G591" s="5" t="s">
        <v>38</v>
      </c>
      <c r="H591" s="5" t="s">
        <v>86</v>
      </c>
      <c r="I591" s="5" t="s">
        <v>40</v>
      </c>
      <c r="J591" s="5" t="s">
        <v>41</v>
      </c>
      <c r="K591">
        <v>8</v>
      </c>
      <c r="L591">
        <v>593711</v>
      </c>
      <c r="M591" s="26">
        <v>4749688</v>
      </c>
      <c r="N591">
        <v>35965</v>
      </c>
      <c r="O591" s="26">
        <v>471818.17</v>
      </c>
      <c r="P591" s="5" t="s">
        <v>50</v>
      </c>
      <c r="Q591" s="5" t="s">
        <v>75</v>
      </c>
      <c r="R591">
        <v>3.5</v>
      </c>
      <c r="S591">
        <v>17</v>
      </c>
      <c r="T591">
        <f t="shared" si="9"/>
        <v>0</v>
      </c>
    </row>
    <row r="592" spans="1:20">
      <c r="A592" s="4">
        <v>44534</v>
      </c>
      <c r="B592">
        <v>2021</v>
      </c>
      <c r="C592">
        <v>12</v>
      </c>
      <c r="D592" s="5" t="s">
        <v>35</v>
      </c>
      <c r="E592" s="5" t="s">
        <v>60</v>
      </c>
      <c r="F592" s="5" t="s">
        <v>61</v>
      </c>
      <c r="G592" s="5" t="s">
        <v>62</v>
      </c>
      <c r="H592" s="5" t="s">
        <v>48</v>
      </c>
      <c r="I592" s="5" t="s">
        <v>40</v>
      </c>
      <c r="J592" s="5" t="s">
        <v>49</v>
      </c>
      <c r="K592">
        <v>54</v>
      </c>
      <c r="L592">
        <v>448135</v>
      </c>
      <c r="M592" s="26">
        <v>24199290</v>
      </c>
      <c r="N592">
        <v>20917</v>
      </c>
      <c r="O592" s="26">
        <v>2721531.92</v>
      </c>
      <c r="P592" s="5" t="s">
        <v>50</v>
      </c>
      <c r="Q592" s="5" t="s">
        <v>43</v>
      </c>
      <c r="R592">
        <v>4</v>
      </c>
      <c r="S592">
        <v>2</v>
      </c>
      <c r="T592">
        <f t="shared" si="9"/>
        <v>0</v>
      </c>
    </row>
    <row r="593" spans="1:20">
      <c r="A593" s="4">
        <v>44555</v>
      </c>
      <c r="B593">
        <v>2021</v>
      </c>
      <c r="C593">
        <v>12</v>
      </c>
      <c r="D593" s="5" t="s">
        <v>44</v>
      </c>
      <c r="E593" s="5" t="s">
        <v>45</v>
      </c>
      <c r="F593" s="5" t="s">
        <v>46</v>
      </c>
      <c r="G593" s="5" t="s">
        <v>47</v>
      </c>
      <c r="H593" s="5" t="s">
        <v>85</v>
      </c>
      <c r="I593" s="5" t="s">
        <v>58</v>
      </c>
      <c r="J593" s="5" t="s">
        <v>49</v>
      </c>
      <c r="K593">
        <v>32</v>
      </c>
      <c r="L593">
        <v>993539</v>
      </c>
      <c r="M593" s="26">
        <v>31793248</v>
      </c>
      <c r="N593">
        <v>23707</v>
      </c>
      <c r="O593" s="26">
        <v>4848026.8600000003</v>
      </c>
      <c r="P593" s="5" t="s">
        <v>42</v>
      </c>
      <c r="Q593" s="5" t="s">
        <v>43</v>
      </c>
      <c r="R593">
        <v>3.7</v>
      </c>
      <c r="S593">
        <v>16</v>
      </c>
      <c r="T593">
        <f t="shared" si="9"/>
        <v>1</v>
      </c>
    </row>
    <row r="594" spans="1:20">
      <c r="A594" s="4">
        <v>44548</v>
      </c>
      <c r="B594">
        <v>2021</v>
      </c>
      <c r="C594">
        <v>12</v>
      </c>
      <c r="D594" s="5" t="s">
        <v>35</v>
      </c>
      <c r="E594" s="5" t="s">
        <v>36</v>
      </c>
      <c r="F594" s="5" t="s">
        <v>37</v>
      </c>
      <c r="G594" s="5" t="s">
        <v>38</v>
      </c>
      <c r="H594" s="5" t="s">
        <v>63</v>
      </c>
      <c r="I594" s="5" t="s">
        <v>64</v>
      </c>
      <c r="J594" s="5" t="s">
        <v>41</v>
      </c>
      <c r="K594">
        <v>25</v>
      </c>
      <c r="L594">
        <v>781597</v>
      </c>
      <c r="M594" s="26">
        <v>19539925</v>
      </c>
      <c r="N594">
        <v>25407</v>
      </c>
      <c r="O594" s="26">
        <v>2863496.72</v>
      </c>
      <c r="P594" s="5" t="s">
        <v>42</v>
      </c>
      <c r="Q594" s="5" t="s">
        <v>75</v>
      </c>
      <c r="R594">
        <v>3.9</v>
      </c>
      <c r="S594">
        <v>10</v>
      </c>
      <c r="T594">
        <f t="shared" si="9"/>
        <v>1</v>
      </c>
    </row>
    <row r="595" spans="1:20">
      <c r="A595" s="4">
        <v>44531</v>
      </c>
      <c r="B595">
        <v>2021</v>
      </c>
      <c r="C595">
        <v>12</v>
      </c>
      <c r="D595" s="5" t="s">
        <v>35</v>
      </c>
      <c r="E595" s="5" t="s">
        <v>60</v>
      </c>
      <c r="F595" s="5" t="s">
        <v>61</v>
      </c>
      <c r="G595" s="5" t="s">
        <v>62</v>
      </c>
      <c r="H595" s="5" t="s">
        <v>57</v>
      </c>
      <c r="I595" s="5" t="s">
        <v>58</v>
      </c>
      <c r="J595" s="5" t="s">
        <v>59</v>
      </c>
      <c r="K595">
        <v>51</v>
      </c>
      <c r="L595">
        <v>1425081</v>
      </c>
      <c r="M595" s="26">
        <v>72679131</v>
      </c>
      <c r="N595">
        <v>39799</v>
      </c>
      <c r="O595" s="26">
        <v>7109122.6500000004</v>
      </c>
      <c r="P595" s="5" t="s">
        <v>42</v>
      </c>
      <c r="Q595" s="5" t="s">
        <v>43</v>
      </c>
      <c r="R595">
        <v>3.7</v>
      </c>
      <c r="S595">
        <v>15</v>
      </c>
      <c r="T595">
        <f t="shared" si="9"/>
        <v>1</v>
      </c>
    </row>
    <row r="596" spans="1:20">
      <c r="A596" s="4">
        <v>44542</v>
      </c>
      <c r="B596">
        <v>2021</v>
      </c>
      <c r="C596">
        <v>12</v>
      </c>
      <c r="D596" s="5" t="s">
        <v>54</v>
      </c>
      <c r="E596" s="5" t="s">
        <v>70</v>
      </c>
      <c r="F596" s="5" t="s">
        <v>71</v>
      </c>
      <c r="G596" s="5" t="s">
        <v>72</v>
      </c>
      <c r="H596" s="5" t="s">
        <v>63</v>
      </c>
      <c r="I596" s="5" t="s">
        <v>64</v>
      </c>
      <c r="J596" s="5" t="s">
        <v>41</v>
      </c>
      <c r="K596">
        <v>7</v>
      </c>
      <c r="L596">
        <v>739175</v>
      </c>
      <c r="M596" s="26">
        <v>5174225</v>
      </c>
      <c r="N596">
        <v>47586</v>
      </c>
      <c r="O596" s="26">
        <v>622865.9</v>
      </c>
      <c r="P596" s="5" t="s">
        <v>42</v>
      </c>
      <c r="Q596" s="5" t="s">
        <v>43</v>
      </c>
      <c r="R596">
        <v>4.9000000000000004</v>
      </c>
      <c r="S596">
        <v>3</v>
      </c>
      <c r="T596">
        <f t="shared" si="9"/>
        <v>1</v>
      </c>
    </row>
    <row r="597" spans="1:20">
      <c r="A597" s="4">
        <v>44536</v>
      </c>
      <c r="B597">
        <v>2021</v>
      </c>
      <c r="C597">
        <v>12</v>
      </c>
      <c r="D597" s="5" t="s">
        <v>35</v>
      </c>
      <c r="E597" s="5" t="s">
        <v>60</v>
      </c>
      <c r="F597" s="5" t="s">
        <v>61</v>
      </c>
      <c r="G597" s="5" t="s">
        <v>62</v>
      </c>
      <c r="H597" s="5" t="s">
        <v>52</v>
      </c>
      <c r="I597" s="5" t="s">
        <v>53</v>
      </c>
      <c r="J597" s="5" t="s">
        <v>41</v>
      </c>
      <c r="K597">
        <v>15</v>
      </c>
      <c r="L597">
        <v>959404</v>
      </c>
      <c r="M597" s="26">
        <v>14391060</v>
      </c>
      <c r="N597">
        <v>20038</v>
      </c>
      <c r="O597" s="26">
        <v>2089155.63</v>
      </c>
      <c r="P597" s="5" t="s">
        <v>42</v>
      </c>
      <c r="Q597" s="5" t="s">
        <v>51</v>
      </c>
      <c r="R597">
        <v>4.0999999999999996</v>
      </c>
      <c r="S597">
        <v>11</v>
      </c>
      <c r="T597">
        <f t="shared" si="9"/>
        <v>1</v>
      </c>
    </row>
    <row r="598" spans="1:20">
      <c r="A598" s="4">
        <v>44544</v>
      </c>
      <c r="B598">
        <v>2021</v>
      </c>
      <c r="C598">
        <v>12</v>
      </c>
      <c r="D598" s="5" t="s">
        <v>44</v>
      </c>
      <c r="E598" s="5" t="s">
        <v>45</v>
      </c>
      <c r="F598" s="5" t="s">
        <v>46</v>
      </c>
      <c r="G598" s="5" t="s">
        <v>47</v>
      </c>
      <c r="H598" s="5" t="s">
        <v>39</v>
      </c>
      <c r="I598" s="5" t="s">
        <v>40</v>
      </c>
      <c r="J598" s="5" t="s">
        <v>41</v>
      </c>
      <c r="K598">
        <v>34</v>
      </c>
      <c r="L598">
        <v>606594</v>
      </c>
      <c r="M598" s="26">
        <v>20624196</v>
      </c>
      <c r="N598">
        <v>15654</v>
      </c>
      <c r="O598" s="26">
        <v>2622052.6800000002</v>
      </c>
      <c r="P598" s="5" t="s">
        <v>42</v>
      </c>
      <c r="Q598" s="5" t="s">
        <v>51</v>
      </c>
      <c r="R598">
        <v>3.7</v>
      </c>
      <c r="S598">
        <v>4</v>
      </c>
      <c r="T598">
        <f t="shared" si="9"/>
        <v>1</v>
      </c>
    </row>
    <row r="599" spans="1:20">
      <c r="A599" s="4">
        <v>44548</v>
      </c>
      <c r="B599">
        <v>2021</v>
      </c>
      <c r="C599">
        <v>12</v>
      </c>
      <c r="D599" s="5" t="s">
        <v>54</v>
      </c>
      <c r="E599" s="5" t="s">
        <v>55</v>
      </c>
      <c r="F599" s="5" t="s">
        <v>55</v>
      </c>
      <c r="G599" s="5" t="s">
        <v>56</v>
      </c>
      <c r="H599" s="5" t="s">
        <v>57</v>
      </c>
      <c r="I599" s="5" t="s">
        <v>58</v>
      </c>
      <c r="J599" s="5" t="s">
        <v>59</v>
      </c>
      <c r="K599">
        <v>49</v>
      </c>
      <c r="L599">
        <v>1404993</v>
      </c>
      <c r="M599" s="26">
        <v>68844657</v>
      </c>
      <c r="N599">
        <v>36409</v>
      </c>
      <c r="O599" s="26">
        <v>8652594.8100000005</v>
      </c>
      <c r="P599" s="5" t="s">
        <v>50</v>
      </c>
      <c r="Q599" s="5" t="s">
        <v>75</v>
      </c>
      <c r="R599">
        <v>3.6</v>
      </c>
      <c r="S599">
        <v>19</v>
      </c>
      <c r="T599">
        <f t="shared" si="9"/>
        <v>0</v>
      </c>
    </row>
    <row r="600" spans="1:20">
      <c r="A600" s="4">
        <v>44545</v>
      </c>
      <c r="B600">
        <v>2021</v>
      </c>
      <c r="C600">
        <v>12</v>
      </c>
      <c r="D600" s="5" t="s">
        <v>44</v>
      </c>
      <c r="E600" s="5" t="s">
        <v>82</v>
      </c>
      <c r="F600" s="5" t="s">
        <v>83</v>
      </c>
      <c r="G600" s="5" t="s">
        <v>84</v>
      </c>
      <c r="H600" s="5" t="s">
        <v>79</v>
      </c>
      <c r="I600" s="5" t="s">
        <v>58</v>
      </c>
      <c r="J600" s="5" t="s">
        <v>49</v>
      </c>
      <c r="K600">
        <v>56</v>
      </c>
      <c r="L600">
        <v>914812</v>
      </c>
      <c r="M600" s="26">
        <v>51229472</v>
      </c>
      <c r="N600">
        <v>42493</v>
      </c>
      <c r="O600" s="26">
        <v>7694155.1900000004</v>
      </c>
      <c r="P600" s="5" t="s">
        <v>42</v>
      </c>
      <c r="Q600" s="5" t="s">
        <v>51</v>
      </c>
      <c r="R600">
        <v>4</v>
      </c>
      <c r="S600">
        <v>12</v>
      </c>
      <c r="T600">
        <f t="shared" si="9"/>
        <v>1</v>
      </c>
    </row>
    <row r="601" spans="1:20">
      <c r="A601" s="4">
        <v>44557</v>
      </c>
      <c r="B601">
        <v>2021</v>
      </c>
      <c r="C601">
        <v>12</v>
      </c>
      <c r="D601" s="5" t="s">
        <v>54</v>
      </c>
      <c r="E601" s="5" t="s">
        <v>70</v>
      </c>
      <c r="F601" s="5" t="s">
        <v>71</v>
      </c>
      <c r="G601" s="5" t="s">
        <v>72</v>
      </c>
      <c r="H601" s="5" t="s">
        <v>39</v>
      </c>
      <c r="I601" s="5" t="s">
        <v>40</v>
      </c>
      <c r="J601" s="5" t="s">
        <v>41</v>
      </c>
      <c r="K601">
        <v>7</v>
      </c>
      <c r="L601">
        <v>561803</v>
      </c>
      <c r="M601" s="26">
        <v>3932621</v>
      </c>
      <c r="N601">
        <v>32998</v>
      </c>
      <c r="O601" s="26">
        <v>384650.55</v>
      </c>
      <c r="P601" s="5" t="s">
        <v>42</v>
      </c>
      <c r="Q601" s="5" t="s">
        <v>51</v>
      </c>
      <c r="R601">
        <v>3.9</v>
      </c>
      <c r="S601">
        <v>9</v>
      </c>
      <c r="T601">
        <f t="shared" si="9"/>
        <v>1</v>
      </c>
    </row>
    <row r="602" spans="1:20">
      <c r="A602" s="4">
        <v>44563</v>
      </c>
      <c r="B602">
        <v>2022</v>
      </c>
      <c r="C602">
        <v>1</v>
      </c>
      <c r="D602" s="5" t="s">
        <v>44</v>
      </c>
      <c r="E602" s="5" t="s">
        <v>45</v>
      </c>
      <c r="F602" s="5" t="s">
        <v>46</v>
      </c>
      <c r="G602" s="5" t="s">
        <v>47</v>
      </c>
      <c r="H602" s="5" t="s">
        <v>39</v>
      </c>
      <c r="I602" s="5" t="s">
        <v>40</v>
      </c>
      <c r="J602" s="5" t="s">
        <v>41</v>
      </c>
      <c r="K602">
        <v>21</v>
      </c>
      <c r="L602">
        <v>605437</v>
      </c>
      <c r="M602" s="26">
        <v>12714177</v>
      </c>
      <c r="N602">
        <v>24180</v>
      </c>
      <c r="O602" s="26">
        <v>1539601.63</v>
      </c>
      <c r="P602" s="5" t="s">
        <v>42</v>
      </c>
      <c r="Q602" s="5" t="s">
        <v>43</v>
      </c>
      <c r="R602">
        <v>4.9000000000000004</v>
      </c>
      <c r="S602">
        <v>7</v>
      </c>
      <c r="T602">
        <f t="shared" si="9"/>
        <v>1</v>
      </c>
    </row>
    <row r="603" spans="1:20">
      <c r="A603" s="4">
        <v>44580</v>
      </c>
      <c r="B603">
        <v>2022</v>
      </c>
      <c r="C603">
        <v>1</v>
      </c>
      <c r="D603" s="5" t="s">
        <v>44</v>
      </c>
      <c r="E603" s="5" t="s">
        <v>45</v>
      </c>
      <c r="F603" s="5" t="s">
        <v>46</v>
      </c>
      <c r="G603" s="5" t="s">
        <v>47</v>
      </c>
      <c r="H603" s="5" t="s">
        <v>80</v>
      </c>
      <c r="I603" s="5" t="s">
        <v>81</v>
      </c>
      <c r="J603" s="5" t="s">
        <v>41</v>
      </c>
      <c r="K603">
        <v>42</v>
      </c>
      <c r="L603">
        <v>554761</v>
      </c>
      <c r="M603" s="26">
        <v>23299962</v>
      </c>
      <c r="N603">
        <v>40874</v>
      </c>
      <c r="O603" s="26">
        <v>2235122.7999999998</v>
      </c>
      <c r="P603" s="5" t="s">
        <v>42</v>
      </c>
      <c r="Q603" s="5" t="s">
        <v>43</v>
      </c>
      <c r="R603">
        <v>3.6</v>
      </c>
      <c r="S603">
        <v>21</v>
      </c>
      <c r="T603">
        <f t="shared" si="9"/>
        <v>1</v>
      </c>
    </row>
    <row r="604" spans="1:20">
      <c r="A604" s="4">
        <v>44575</v>
      </c>
      <c r="B604">
        <v>2022</v>
      </c>
      <c r="C604">
        <v>1</v>
      </c>
      <c r="D604" s="5" t="s">
        <v>35</v>
      </c>
      <c r="E604" s="5" t="s">
        <v>76</v>
      </c>
      <c r="F604" s="5" t="s">
        <v>77</v>
      </c>
      <c r="G604" s="5" t="s">
        <v>78</v>
      </c>
      <c r="H604" s="5" t="s">
        <v>39</v>
      </c>
      <c r="I604" s="5" t="s">
        <v>40</v>
      </c>
      <c r="J604" s="5" t="s">
        <v>41</v>
      </c>
      <c r="K604">
        <v>46</v>
      </c>
      <c r="L604">
        <v>561112</v>
      </c>
      <c r="M604" s="26">
        <v>25811152</v>
      </c>
      <c r="N604">
        <v>14523</v>
      </c>
      <c r="O604" s="26">
        <v>3470760.75</v>
      </c>
      <c r="P604" s="5" t="s">
        <v>42</v>
      </c>
      <c r="Q604" s="5" t="s">
        <v>51</v>
      </c>
      <c r="R604">
        <v>4.9000000000000004</v>
      </c>
      <c r="S604">
        <v>8</v>
      </c>
      <c r="T604">
        <f t="shared" si="9"/>
        <v>1</v>
      </c>
    </row>
    <row r="605" spans="1:20">
      <c r="A605" s="4">
        <v>44563</v>
      </c>
      <c r="B605">
        <v>2022</v>
      </c>
      <c r="C605">
        <v>1</v>
      </c>
      <c r="D605" s="5" t="s">
        <v>35</v>
      </c>
      <c r="E605" s="5" t="s">
        <v>60</v>
      </c>
      <c r="F605" s="5" t="s">
        <v>61</v>
      </c>
      <c r="G605" s="5" t="s">
        <v>62</v>
      </c>
      <c r="H605" s="5" t="s">
        <v>80</v>
      </c>
      <c r="I605" s="5" t="s">
        <v>81</v>
      </c>
      <c r="J605" s="5" t="s">
        <v>41</v>
      </c>
      <c r="K605">
        <v>16</v>
      </c>
      <c r="L605">
        <v>577982</v>
      </c>
      <c r="M605" s="26">
        <v>9247712</v>
      </c>
      <c r="N605">
        <v>5057</v>
      </c>
      <c r="O605" s="26">
        <v>1305356.49</v>
      </c>
      <c r="P605" s="5" t="s">
        <v>50</v>
      </c>
      <c r="Q605" s="5" t="s">
        <v>75</v>
      </c>
      <c r="R605">
        <v>4.0999999999999996</v>
      </c>
      <c r="S605">
        <v>13</v>
      </c>
      <c r="T605">
        <f t="shared" si="9"/>
        <v>0</v>
      </c>
    </row>
    <row r="606" spans="1:20">
      <c r="A606" s="4">
        <v>44563</v>
      </c>
      <c r="B606">
        <v>2022</v>
      </c>
      <c r="C606">
        <v>1</v>
      </c>
      <c r="D606" s="5" t="s">
        <v>66</v>
      </c>
      <c r="E606" s="5" t="s">
        <v>67</v>
      </c>
      <c r="F606" s="5" t="s">
        <v>68</v>
      </c>
      <c r="G606" s="5" t="s">
        <v>69</v>
      </c>
      <c r="H606" s="5" t="s">
        <v>85</v>
      </c>
      <c r="I606" s="5" t="s">
        <v>58</v>
      </c>
      <c r="J606" s="5" t="s">
        <v>49</v>
      </c>
      <c r="K606">
        <v>58</v>
      </c>
      <c r="L606">
        <v>960567</v>
      </c>
      <c r="M606" s="26">
        <v>55712886</v>
      </c>
      <c r="N606">
        <v>5322</v>
      </c>
      <c r="O606" s="26">
        <v>8101695.8700000001</v>
      </c>
      <c r="P606" s="5" t="s">
        <v>50</v>
      </c>
      <c r="Q606" s="5" t="s">
        <v>75</v>
      </c>
      <c r="R606">
        <v>4.9000000000000004</v>
      </c>
      <c r="S606">
        <v>5</v>
      </c>
      <c r="T606">
        <f t="shared" si="9"/>
        <v>0</v>
      </c>
    </row>
    <row r="607" spans="1:20">
      <c r="A607" s="4">
        <v>44574</v>
      </c>
      <c r="B607">
        <v>2022</v>
      </c>
      <c r="C607">
        <v>1</v>
      </c>
      <c r="D607" s="5" t="s">
        <v>54</v>
      </c>
      <c r="E607" s="5" t="s">
        <v>70</v>
      </c>
      <c r="F607" s="5" t="s">
        <v>71</v>
      </c>
      <c r="G607" s="5" t="s">
        <v>72</v>
      </c>
      <c r="H607" s="5" t="s">
        <v>52</v>
      </c>
      <c r="I607" s="5" t="s">
        <v>53</v>
      </c>
      <c r="J607" s="5" t="s">
        <v>41</v>
      </c>
      <c r="K607">
        <v>40</v>
      </c>
      <c r="L607">
        <v>975285</v>
      </c>
      <c r="M607" s="26">
        <v>39011400</v>
      </c>
      <c r="N607">
        <v>44378</v>
      </c>
      <c r="O607" s="26">
        <v>3538019.58</v>
      </c>
      <c r="P607" s="5" t="s">
        <v>50</v>
      </c>
      <c r="Q607" s="5" t="s">
        <v>51</v>
      </c>
      <c r="R607">
        <v>4</v>
      </c>
      <c r="S607">
        <v>2</v>
      </c>
      <c r="T607">
        <f t="shared" si="9"/>
        <v>0</v>
      </c>
    </row>
    <row r="608" spans="1:20">
      <c r="A608" s="4">
        <v>44581</v>
      </c>
      <c r="B608">
        <v>2022</v>
      </c>
      <c r="C608">
        <v>1</v>
      </c>
      <c r="D608" s="5" t="s">
        <v>35</v>
      </c>
      <c r="E608" s="5" t="s">
        <v>60</v>
      </c>
      <c r="F608" s="5" t="s">
        <v>61</v>
      </c>
      <c r="G608" s="5" t="s">
        <v>62</v>
      </c>
      <c r="H608" s="5" t="s">
        <v>85</v>
      </c>
      <c r="I608" s="5" t="s">
        <v>58</v>
      </c>
      <c r="J608" s="5" t="s">
        <v>49</v>
      </c>
      <c r="K608">
        <v>30</v>
      </c>
      <c r="L608">
        <v>986810</v>
      </c>
      <c r="M608" s="26">
        <v>29604300</v>
      </c>
      <c r="N608">
        <v>10241</v>
      </c>
      <c r="O608" s="26">
        <v>3393880.04</v>
      </c>
      <c r="P608" s="5" t="s">
        <v>42</v>
      </c>
      <c r="Q608" s="5" t="s">
        <v>75</v>
      </c>
      <c r="R608">
        <v>4</v>
      </c>
      <c r="S608">
        <v>11</v>
      </c>
      <c r="T608">
        <f t="shared" si="9"/>
        <v>1</v>
      </c>
    </row>
    <row r="609" spans="1:20">
      <c r="A609" s="4">
        <v>44563</v>
      </c>
      <c r="B609">
        <v>2022</v>
      </c>
      <c r="C609">
        <v>1</v>
      </c>
      <c r="D609" s="5" t="s">
        <v>35</v>
      </c>
      <c r="E609" s="5" t="s">
        <v>76</v>
      </c>
      <c r="F609" s="5" t="s">
        <v>77</v>
      </c>
      <c r="G609" s="5" t="s">
        <v>78</v>
      </c>
      <c r="H609" s="5" t="s">
        <v>79</v>
      </c>
      <c r="I609" s="5" t="s">
        <v>58</v>
      </c>
      <c r="J609" s="5" t="s">
        <v>49</v>
      </c>
      <c r="K609">
        <v>36</v>
      </c>
      <c r="L609">
        <v>896490</v>
      </c>
      <c r="M609" s="26">
        <v>32273640</v>
      </c>
      <c r="N609">
        <v>29197</v>
      </c>
      <c r="O609" s="26">
        <v>2710547.6</v>
      </c>
      <c r="P609" s="5" t="s">
        <v>42</v>
      </c>
      <c r="Q609" s="5" t="s">
        <v>51</v>
      </c>
      <c r="R609">
        <v>4.0999999999999996</v>
      </c>
      <c r="S609">
        <v>7</v>
      </c>
      <c r="T609">
        <f t="shared" si="9"/>
        <v>1</v>
      </c>
    </row>
    <row r="610" spans="1:20">
      <c r="A610" s="4">
        <v>44572</v>
      </c>
      <c r="B610">
        <v>2022</v>
      </c>
      <c r="C610">
        <v>1</v>
      </c>
      <c r="D610" s="5" t="s">
        <v>35</v>
      </c>
      <c r="E610" s="5" t="s">
        <v>36</v>
      </c>
      <c r="F610" s="5" t="s">
        <v>37</v>
      </c>
      <c r="G610" s="5" t="s">
        <v>38</v>
      </c>
      <c r="H610" s="5" t="s">
        <v>52</v>
      </c>
      <c r="I610" s="5" t="s">
        <v>53</v>
      </c>
      <c r="J610" s="5" t="s">
        <v>41</v>
      </c>
      <c r="K610">
        <v>17</v>
      </c>
      <c r="L610">
        <v>929242</v>
      </c>
      <c r="M610" s="26">
        <v>15797114</v>
      </c>
      <c r="N610">
        <v>37231</v>
      </c>
      <c r="O610" s="26">
        <v>2418460.77</v>
      </c>
      <c r="P610" s="5" t="s">
        <v>50</v>
      </c>
      <c r="Q610" s="5" t="s">
        <v>43</v>
      </c>
      <c r="R610">
        <v>4.0999999999999996</v>
      </c>
      <c r="S610">
        <v>13</v>
      </c>
      <c r="T610">
        <f t="shared" si="9"/>
        <v>0</v>
      </c>
    </row>
    <row r="611" spans="1:20">
      <c r="A611" s="4">
        <v>44589</v>
      </c>
      <c r="B611">
        <v>2022</v>
      </c>
      <c r="C611">
        <v>1</v>
      </c>
      <c r="D611" s="5" t="s">
        <v>44</v>
      </c>
      <c r="E611" s="5" t="s">
        <v>45</v>
      </c>
      <c r="F611" s="5" t="s">
        <v>46</v>
      </c>
      <c r="G611" s="5" t="s">
        <v>47</v>
      </c>
      <c r="H611" s="5" t="s">
        <v>79</v>
      </c>
      <c r="I611" s="5" t="s">
        <v>58</v>
      </c>
      <c r="J611" s="5" t="s">
        <v>49</v>
      </c>
      <c r="K611">
        <v>13</v>
      </c>
      <c r="L611">
        <v>916863</v>
      </c>
      <c r="M611" s="26">
        <v>11919219</v>
      </c>
      <c r="N611">
        <v>47282</v>
      </c>
      <c r="O611" s="26">
        <v>1858269.4</v>
      </c>
      <c r="P611" s="5" t="s">
        <v>50</v>
      </c>
      <c r="Q611" s="5" t="s">
        <v>75</v>
      </c>
      <c r="R611">
        <v>4.5999999999999996</v>
      </c>
      <c r="S611">
        <v>10</v>
      </c>
      <c r="T611">
        <f t="shared" si="9"/>
        <v>0</v>
      </c>
    </row>
    <row r="612" spans="1:20">
      <c r="A612" s="4">
        <v>44568</v>
      </c>
      <c r="B612">
        <v>2022</v>
      </c>
      <c r="C612">
        <v>1</v>
      </c>
      <c r="D612" s="5" t="s">
        <v>54</v>
      </c>
      <c r="E612" s="5" t="s">
        <v>70</v>
      </c>
      <c r="F612" s="5" t="s">
        <v>71</v>
      </c>
      <c r="G612" s="5" t="s">
        <v>72</v>
      </c>
      <c r="H612" s="5" t="s">
        <v>74</v>
      </c>
      <c r="I612" s="5" t="s">
        <v>40</v>
      </c>
      <c r="J612" s="5" t="s">
        <v>49</v>
      </c>
      <c r="K612">
        <v>10</v>
      </c>
      <c r="L612">
        <v>628365</v>
      </c>
      <c r="M612" s="26">
        <v>6283650</v>
      </c>
      <c r="N612">
        <v>13997</v>
      </c>
      <c r="O612" s="26">
        <v>623303.37</v>
      </c>
      <c r="P612" s="5" t="s">
        <v>50</v>
      </c>
      <c r="Q612" s="5" t="s">
        <v>43</v>
      </c>
      <c r="R612">
        <v>3.8</v>
      </c>
      <c r="S612">
        <v>13</v>
      </c>
      <c r="T612">
        <f t="shared" si="9"/>
        <v>0</v>
      </c>
    </row>
    <row r="613" spans="1:20">
      <c r="A613" s="4">
        <v>44580</v>
      </c>
      <c r="B613">
        <v>2022</v>
      </c>
      <c r="C613">
        <v>1</v>
      </c>
      <c r="D613" s="5" t="s">
        <v>35</v>
      </c>
      <c r="E613" s="5" t="s">
        <v>36</v>
      </c>
      <c r="F613" s="5" t="s">
        <v>37</v>
      </c>
      <c r="G613" s="5" t="s">
        <v>38</v>
      </c>
      <c r="H613" s="5" t="s">
        <v>63</v>
      </c>
      <c r="I613" s="5" t="s">
        <v>64</v>
      </c>
      <c r="J613" s="5" t="s">
        <v>41</v>
      </c>
      <c r="K613">
        <v>55</v>
      </c>
      <c r="L613">
        <v>768901</v>
      </c>
      <c r="M613" s="26">
        <v>42289555</v>
      </c>
      <c r="N613">
        <v>17017</v>
      </c>
      <c r="O613" s="26">
        <v>4939885.6900000004</v>
      </c>
      <c r="P613" s="5" t="s">
        <v>50</v>
      </c>
      <c r="Q613" s="5" t="s">
        <v>51</v>
      </c>
      <c r="R613">
        <v>4.9000000000000004</v>
      </c>
      <c r="S613">
        <v>5</v>
      </c>
      <c r="T613">
        <f t="shared" si="9"/>
        <v>0</v>
      </c>
    </row>
    <row r="614" spans="1:20">
      <c r="A614" s="4">
        <v>44586</v>
      </c>
      <c r="B614">
        <v>2022</v>
      </c>
      <c r="C614">
        <v>1</v>
      </c>
      <c r="D614" s="5" t="s">
        <v>54</v>
      </c>
      <c r="E614" s="5" t="s">
        <v>55</v>
      </c>
      <c r="F614" s="5" t="s">
        <v>55</v>
      </c>
      <c r="G614" s="5" t="s">
        <v>56</v>
      </c>
      <c r="H614" s="5" t="s">
        <v>65</v>
      </c>
      <c r="I614" s="5" t="s">
        <v>53</v>
      </c>
      <c r="J614" s="5" t="s">
        <v>49</v>
      </c>
      <c r="K614">
        <v>14</v>
      </c>
      <c r="L614">
        <v>1247147</v>
      </c>
      <c r="M614" s="26">
        <v>17460058</v>
      </c>
      <c r="N614">
        <v>48237</v>
      </c>
      <c r="O614" s="26">
        <v>1804491.23</v>
      </c>
      <c r="P614" s="5" t="s">
        <v>50</v>
      </c>
      <c r="Q614" s="5" t="s">
        <v>75</v>
      </c>
      <c r="R614">
        <v>4.8</v>
      </c>
      <c r="S614">
        <v>21</v>
      </c>
      <c r="T614">
        <f t="shared" si="9"/>
        <v>0</v>
      </c>
    </row>
    <row r="615" spans="1:20">
      <c r="A615" s="4">
        <v>44576</v>
      </c>
      <c r="B615">
        <v>2022</v>
      </c>
      <c r="C615">
        <v>1</v>
      </c>
      <c r="D615" s="5" t="s">
        <v>66</v>
      </c>
      <c r="E615" s="5" t="s">
        <v>67</v>
      </c>
      <c r="F615" s="5" t="s">
        <v>68</v>
      </c>
      <c r="G615" s="5" t="s">
        <v>69</v>
      </c>
      <c r="H615" s="5" t="s">
        <v>65</v>
      </c>
      <c r="I615" s="5" t="s">
        <v>53</v>
      </c>
      <c r="J615" s="5" t="s">
        <v>49</v>
      </c>
      <c r="K615">
        <v>22</v>
      </c>
      <c r="L615">
        <v>1265377</v>
      </c>
      <c r="M615" s="26">
        <v>27838294</v>
      </c>
      <c r="N615">
        <v>35804</v>
      </c>
      <c r="O615" s="26">
        <v>3471923.87</v>
      </c>
      <c r="P615" s="5" t="s">
        <v>50</v>
      </c>
      <c r="Q615" s="5" t="s">
        <v>51</v>
      </c>
      <c r="R615">
        <v>4</v>
      </c>
      <c r="S615">
        <v>11</v>
      </c>
      <c r="T615">
        <f t="shared" si="9"/>
        <v>0</v>
      </c>
    </row>
    <row r="616" spans="1:20">
      <c r="A616" s="4">
        <v>44582</v>
      </c>
      <c r="B616">
        <v>2022</v>
      </c>
      <c r="C616">
        <v>1</v>
      </c>
      <c r="D616" s="5" t="s">
        <v>35</v>
      </c>
      <c r="E616" s="5" t="s">
        <v>76</v>
      </c>
      <c r="F616" s="5" t="s">
        <v>77</v>
      </c>
      <c r="G616" s="5" t="s">
        <v>78</v>
      </c>
      <c r="H616" s="5" t="s">
        <v>74</v>
      </c>
      <c r="I616" s="5" t="s">
        <v>40</v>
      </c>
      <c r="J616" s="5" t="s">
        <v>49</v>
      </c>
      <c r="K616">
        <v>20</v>
      </c>
      <c r="L616">
        <v>627600</v>
      </c>
      <c r="M616" s="26">
        <v>12552000</v>
      </c>
      <c r="N616">
        <v>18473</v>
      </c>
      <c r="O616" s="26">
        <v>1993219</v>
      </c>
      <c r="P616" s="5" t="s">
        <v>42</v>
      </c>
      <c r="Q616" s="5" t="s">
        <v>43</v>
      </c>
      <c r="R616">
        <v>4.4000000000000004</v>
      </c>
      <c r="S616">
        <v>20</v>
      </c>
      <c r="T616">
        <f t="shared" si="9"/>
        <v>1</v>
      </c>
    </row>
    <row r="617" spans="1:20">
      <c r="A617" s="4">
        <v>44580</v>
      </c>
      <c r="B617">
        <v>2022</v>
      </c>
      <c r="C617">
        <v>1</v>
      </c>
      <c r="D617" s="5" t="s">
        <v>35</v>
      </c>
      <c r="E617" s="5" t="s">
        <v>76</v>
      </c>
      <c r="F617" s="5" t="s">
        <v>77</v>
      </c>
      <c r="G617" s="5" t="s">
        <v>78</v>
      </c>
      <c r="H617" s="5" t="s">
        <v>57</v>
      </c>
      <c r="I617" s="5" t="s">
        <v>58</v>
      </c>
      <c r="J617" s="5" t="s">
        <v>59</v>
      </c>
      <c r="K617">
        <v>46</v>
      </c>
      <c r="L617">
        <v>1383543</v>
      </c>
      <c r="M617" s="26">
        <v>63642978</v>
      </c>
      <c r="N617">
        <v>36970</v>
      </c>
      <c r="O617" s="26">
        <v>9545972.9299999997</v>
      </c>
      <c r="P617" s="5" t="s">
        <v>50</v>
      </c>
      <c r="Q617" s="5" t="s">
        <v>51</v>
      </c>
      <c r="R617">
        <v>4.9000000000000004</v>
      </c>
      <c r="S617">
        <v>5</v>
      </c>
      <c r="T617">
        <f t="shared" si="9"/>
        <v>0</v>
      </c>
    </row>
    <row r="618" spans="1:20">
      <c r="A618" s="4">
        <v>44587</v>
      </c>
      <c r="B618">
        <v>2022</v>
      </c>
      <c r="C618">
        <v>1</v>
      </c>
      <c r="D618" s="5" t="s">
        <v>66</v>
      </c>
      <c r="E618" s="5" t="s">
        <v>67</v>
      </c>
      <c r="F618" s="5" t="s">
        <v>68</v>
      </c>
      <c r="G618" s="5" t="s">
        <v>69</v>
      </c>
      <c r="H618" s="5" t="s">
        <v>48</v>
      </c>
      <c r="I618" s="5" t="s">
        <v>40</v>
      </c>
      <c r="J618" s="5" t="s">
        <v>49</v>
      </c>
      <c r="K618">
        <v>27</v>
      </c>
      <c r="L618">
        <v>464000</v>
      </c>
      <c r="M618" s="26">
        <v>12528000</v>
      </c>
      <c r="N618">
        <v>6375</v>
      </c>
      <c r="O618" s="26">
        <v>1961175.85</v>
      </c>
      <c r="P618" s="5" t="s">
        <v>42</v>
      </c>
      <c r="Q618" s="5" t="s">
        <v>51</v>
      </c>
      <c r="R618">
        <v>4.2</v>
      </c>
      <c r="S618">
        <v>3</v>
      </c>
      <c r="T618">
        <f t="shared" si="9"/>
        <v>1</v>
      </c>
    </row>
    <row r="619" spans="1:20">
      <c r="A619" s="4">
        <v>44564</v>
      </c>
      <c r="B619">
        <v>2022</v>
      </c>
      <c r="C619">
        <v>1</v>
      </c>
      <c r="D619" s="5" t="s">
        <v>35</v>
      </c>
      <c r="E619" s="5" t="s">
        <v>76</v>
      </c>
      <c r="F619" s="5" t="s">
        <v>77</v>
      </c>
      <c r="G619" s="5" t="s">
        <v>78</v>
      </c>
      <c r="H619" s="5" t="s">
        <v>39</v>
      </c>
      <c r="I619" s="5" t="s">
        <v>40</v>
      </c>
      <c r="J619" s="5" t="s">
        <v>41</v>
      </c>
      <c r="K619">
        <v>23</v>
      </c>
      <c r="L619">
        <v>561365</v>
      </c>
      <c r="M619" s="26">
        <v>12911395</v>
      </c>
      <c r="N619">
        <v>38195</v>
      </c>
      <c r="O619" s="26">
        <v>1661880.66</v>
      </c>
      <c r="P619" s="5" t="s">
        <v>42</v>
      </c>
      <c r="Q619" s="5" t="s">
        <v>75</v>
      </c>
      <c r="R619">
        <v>4.9000000000000004</v>
      </c>
      <c r="S619">
        <v>10</v>
      </c>
      <c r="T619">
        <f t="shared" si="9"/>
        <v>1</v>
      </c>
    </row>
    <row r="620" spans="1:20">
      <c r="A620" s="4">
        <v>44564</v>
      </c>
      <c r="B620">
        <v>2022</v>
      </c>
      <c r="C620">
        <v>1</v>
      </c>
      <c r="D620" s="5" t="s">
        <v>44</v>
      </c>
      <c r="E620" s="5" t="s">
        <v>82</v>
      </c>
      <c r="F620" s="5" t="s">
        <v>83</v>
      </c>
      <c r="G620" s="5" t="s">
        <v>84</v>
      </c>
      <c r="H620" s="5" t="s">
        <v>80</v>
      </c>
      <c r="I620" s="5" t="s">
        <v>81</v>
      </c>
      <c r="J620" s="5" t="s">
        <v>41</v>
      </c>
      <c r="K620">
        <v>13</v>
      </c>
      <c r="L620">
        <v>555692</v>
      </c>
      <c r="M620" s="26">
        <v>7223996</v>
      </c>
      <c r="N620">
        <v>46831</v>
      </c>
      <c r="O620" s="26">
        <v>612222.71999999997</v>
      </c>
      <c r="P620" s="5" t="s">
        <v>50</v>
      </c>
      <c r="Q620" s="5" t="s">
        <v>51</v>
      </c>
      <c r="R620">
        <v>4.9000000000000004</v>
      </c>
      <c r="S620">
        <v>6</v>
      </c>
      <c r="T620">
        <f t="shared" si="9"/>
        <v>0</v>
      </c>
    </row>
    <row r="621" spans="1:20">
      <c r="A621" s="4">
        <v>44563</v>
      </c>
      <c r="B621">
        <v>2022</v>
      </c>
      <c r="C621">
        <v>1</v>
      </c>
      <c r="D621" s="5" t="s">
        <v>35</v>
      </c>
      <c r="E621" s="5" t="s">
        <v>36</v>
      </c>
      <c r="F621" s="5" t="s">
        <v>37</v>
      </c>
      <c r="G621" s="5" t="s">
        <v>38</v>
      </c>
      <c r="H621" s="5" t="s">
        <v>80</v>
      </c>
      <c r="I621" s="5" t="s">
        <v>81</v>
      </c>
      <c r="J621" s="5" t="s">
        <v>41</v>
      </c>
      <c r="K621">
        <v>54</v>
      </c>
      <c r="L621">
        <v>521604</v>
      </c>
      <c r="M621" s="26">
        <v>28166616</v>
      </c>
      <c r="N621">
        <v>45373</v>
      </c>
      <c r="O621" s="26">
        <v>3458977.49</v>
      </c>
      <c r="P621" s="5" t="s">
        <v>50</v>
      </c>
      <c r="Q621" s="5" t="s">
        <v>51</v>
      </c>
      <c r="R621">
        <v>4</v>
      </c>
      <c r="S621">
        <v>17</v>
      </c>
      <c r="T621">
        <f t="shared" si="9"/>
        <v>0</v>
      </c>
    </row>
    <row r="622" spans="1:20">
      <c r="A622" s="4">
        <v>44564</v>
      </c>
      <c r="B622">
        <v>2022</v>
      </c>
      <c r="C622">
        <v>1</v>
      </c>
      <c r="D622" s="5" t="s">
        <v>54</v>
      </c>
      <c r="E622" s="5" t="s">
        <v>55</v>
      </c>
      <c r="F622" s="5" t="s">
        <v>55</v>
      </c>
      <c r="G622" s="5" t="s">
        <v>56</v>
      </c>
      <c r="H622" s="5" t="s">
        <v>80</v>
      </c>
      <c r="I622" s="5" t="s">
        <v>81</v>
      </c>
      <c r="J622" s="5" t="s">
        <v>41</v>
      </c>
      <c r="K622">
        <v>60</v>
      </c>
      <c r="L622">
        <v>554391</v>
      </c>
      <c r="M622" s="26">
        <v>33263460</v>
      </c>
      <c r="N622">
        <v>47459</v>
      </c>
      <c r="O622" s="26">
        <v>4450683.0999999996</v>
      </c>
      <c r="P622" s="5" t="s">
        <v>42</v>
      </c>
      <c r="Q622" s="5" t="s">
        <v>43</v>
      </c>
      <c r="R622">
        <v>4.4000000000000004</v>
      </c>
      <c r="S622">
        <v>2</v>
      </c>
      <c r="T622">
        <f t="shared" si="9"/>
        <v>1</v>
      </c>
    </row>
    <row r="623" spans="1:20">
      <c r="A623" s="4">
        <v>44567</v>
      </c>
      <c r="B623">
        <v>2022</v>
      </c>
      <c r="C623">
        <v>1</v>
      </c>
      <c r="D623" s="5" t="s">
        <v>44</v>
      </c>
      <c r="E623" s="5" t="s">
        <v>82</v>
      </c>
      <c r="F623" s="5" t="s">
        <v>83</v>
      </c>
      <c r="G623" s="5" t="s">
        <v>84</v>
      </c>
      <c r="H623" s="5" t="s">
        <v>52</v>
      </c>
      <c r="I623" s="5" t="s">
        <v>53</v>
      </c>
      <c r="J623" s="5" t="s">
        <v>41</v>
      </c>
      <c r="K623">
        <v>33</v>
      </c>
      <c r="L623">
        <v>925266</v>
      </c>
      <c r="M623" s="26">
        <v>30533778</v>
      </c>
      <c r="N623">
        <v>27751</v>
      </c>
      <c r="O623" s="26">
        <v>2599946.81</v>
      </c>
      <c r="P623" s="5" t="s">
        <v>50</v>
      </c>
      <c r="Q623" s="5" t="s">
        <v>51</v>
      </c>
      <c r="R623">
        <v>4.0999999999999996</v>
      </c>
      <c r="S623">
        <v>20</v>
      </c>
      <c r="T623">
        <f t="shared" si="9"/>
        <v>0</v>
      </c>
    </row>
    <row r="624" spans="1:20">
      <c r="A624" s="4">
        <v>44583</v>
      </c>
      <c r="B624">
        <v>2022</v>
      </c>
      <c r="C624">
        <v>1</v>
      </c>
      <c r="D624" s="5" t="s">
        <v>35</v>
      </c>
      <c r="E624" s="5" t="s">
        <v>76</v>
      </c>
      <c r="F624" s="5" t="s">
        <v>77</v>
      </c>
      <c r="G624" s="5" t="s">
        <v>78</v>
      </c>
      <c r="H624" s="5" t="s">
        <v>86</v>
      </c>
      <c r="I624" s="5" t="s">
        <v>40</v>
      </c>
      <c r="J624" s="5" t="s">
        <v>41</v>
      </c>
      <c r="K624">
        <v>36</v>
      </c>
      <c r="L624">
        <v>578043</v>
      </c>
      <c r="M624" s="26">
        <v>20809548</v>
      </c>
      <c r="N624">
        <v>27799</v>
      </c>
      <c r="O624" s="26">
        <v>2536418.65</v>
      </c>
      <c r="P624" s="5" t="s">
        <v>42</v>
      </c>
      <c r="Q624" s="5" t="s">
        <v>51</v>
      </c>
      <c r="R624">
        <v>3.7</v>
      </c>
      <c r="S624">
        <v>21</v>
      </c>
      <c r="T624">
        <f t="shared" si="9"/>
        <v>1</v>
      </c>
    </row>
    <row r="625" spans="1:20">
      <c r="A625" s="4">
        <v>44581</v>
      </c>
      <c r="B625">
        <v>2022</v>
      </c>
      <c r="C625">
        <v>1</v>
      </c>
      <c r="D625" s="5" t="s">
        <v>35</v>
      </c>
      <c r="E625" s="5" t="s">
        <v>36</v>
      </c>
      <c r="F625" s="5" t="s">
        <v>37</v>
      </c>
      <c r="G625" s="5" t="s">
        <v>38</v>
      </c>
      <c r="H625" s="5" t="s">
        <v>57</v>
      </c>
      <c r="I625" s="5" t="s">
        <v>58</v>
      </c>
      <c r="J625" s="5" t="s">
        <v>59</v>
      </c>
      <c r="K625">
        <v>24</v>
      </c>
      <c r="L625">
        <v>1376377</v>
      </c>
      <c r="M625" s="26">
        <v>33033048</v>
      </c>
      <c r="N625">
        <v>24658</v>
      </c>
      <c r="O625" s="26">
        <v>2876105.21</v>
      </c>
      <c r="P625" s="5" t="s">
        <v>50</v>
      </c>
      <c r="Q625" s="5" t="s">
        <v>51</v>
      </c>
      <c r="R625">
        <v>4</v>
      </c>
      <c r="S625">
        <v>16</v>
      </c>
      <c r="T625">
        <f t="shared" si="9"/>
        <v>0</v>
      </c>
    </row>
    <row r="626" spans="1:20">
      <c r="A626" s="4">
        <v>44587</v>
      </c>
      <c r="B626">
        <v>2022</v>
      </c>
      <c r="C626">
        <v>1</v>
      </c>
      <c r="D626" s="5" t="s">
        <v>44</v>
      </c>
      <c r="E626" s="5" t="s">
        <v>82</v>
      </c>
      <c r="F626" s="5" t="s">
        <v>83</v>
      </c>
      <c r="G626" s="5" t="s">
        <v>84</v>
      </c>
      <c r="H626" s="5" t="s">
        <v>48</v>
      </c>
      <c r="I626" s="5" t="s">
        <v>40</v>
      </c>
      <c r="J626" s="5" t="s">
        <v>49</v>
      </c>
      <c r="K626">
        <v>23</v>
      </c>
      <c r="L626">
        <v>469604</v>
      </c>
      <c r="M626" s="26">
        <v>10800892</v>
      </c>
      <c r="N626">
        <v>38180</v>
      </c>
      <c r="O626" s="26">
        <v>1243577.98</v>
      </c>
      <c r="P626" s="5" t="s">
        <v>42</v>
      </c>
      <c r="Q626" s="5" t="s">
        <v>51</v>
      </c>
      <c r="R626">
        <v>3.7</v>
      </c>
      <c r="S626">
        <v>20</v>
      </c>
      <c r="T626">
        <f t="shared" si="9"/>
        <v>1</v>
      </c>
    </row>
    <row r="627" spans="1:20">
      <c r="A627" s="4">
        <v>44589</v>
      </c>
      <c r="B627">
        <v>2022</v>
      </c>
      <c r="C627">
        <v>1</v>
      </c>
      <c r="D627" s="5" t="s">
        <v>44</v>
      </c>
      <c r="E627" s="5" t="s">
        <v>82</v>
      </c>
      <c r="F627" s="5" t="s">
        <v>83</v>
      </c>
      <c r="G627" s="5" t="s">
        <v>84</v>
      </c>
      <c r="H627" s="5" t="s">
        <v>73</v>
      </c>
      <c r="I627" s="5" t="s">
        <v>40</v>
      </c>
      <c r="J627" s="5" t="s">
        <v>49</v>
      </c>
      <c r="K627">
        <v>57</v>
      </c>
      <c r="L627">
        <v>733726</v>
      </c>
      <c r="M627" s="26">
        <v>41822382</v>
      </c>
      <c r="N627">
        <v>23751</v>
      </c>
      <c r="O627" s="26">
        <v>3459222.27</v>
      </c>
      <c r="P627" s="5" t="s">
        <v>42</v>
      </c>
      <c r="Q627" s="5" t="s">
        <v>51</v>
      </c>
      <c r="R627">
        <v>3.7</v>
      </c>
      <c r="S627">
        <v>20</v>
      </c>
      <c r="T627">
        <f t="shared" si="9"/>
        <v>1</v>
      </c>
    </row>
    <row r="628" spans="1:20">
      <c r="A628" s="4">
        <v>44569</v>
      </c>
      <c r="B628">
        <v>2022</v>
      </c>
      <c r="C628">
        <v>1</v>
      </c>
      <c r="D628" s="5" t="s">
        <v>54</v>
      </c>
      <c r="E628" s="5" t="s">
        <v>70</v>
      </c>
      <c r="F628" s="5" t="s">
        <v>71</v>
      </c>
      <c r="G628" s="5" t="s">
        <v>72</v>
      </c>
      <c r="H628" s="5" t="s">
        <v>80</v>
      </c>
      <c r="I628" s="5" t="s">
        <v>81</v>
      </c>
      <c r="J628" s="5" t="s">
        <v>41</v>
      </c>
      <c r="K628">
        <v>21</v>
      </c>
      <c r="L628">
        <v>527964</v>
      </c>
      <c r="M628" s="26">
        <v>11087244</v>
      </c>
      <c r="N628">
        <v>42870</v>
      </c>
      <c r="O628" s="26">
        <v>1143686.8</v>
      </c>
      <c r="P628" s="5" t="s">
        <v>50</v>
      </c>
      <c r="Q628" s="5" t="s">
        <v>43</v>
      </c>
      <c r="R628">
        <v>4.3</v>
      </c>
      <c r="S628">
        <v>4</v>
      </c>
      <c r="T628">
        <f t="shared" si="9"/>
        <v>0</v>
      </c>
    </row>
    <row r="629" spans="1:20">
      <c r="A629" s="4">
        <v>44586</v>
      </c>
      <c r="B629">
        <v>2022</v>
      </c>
      <c r="C629">
        <v>1</v>
      </c>
      <c r="D629" s="5" t="s">
        <v>66</v>
      </c>
      <c r="E629" s="5" t="s">
        <v>67</v>
      </c>
      <c r="F629" s="5" t="s">
        <v>68</v>
      </c>
      <c r="G629" s="5" t="s">
        <v>69</v>
      </c>
      <c r="H629" s="5" t="s">
        <v>80</v>
      </c>
      <c r="I629" s="5" t="s">
        <v>81</v>
      </c>
      <c r="J629" s="5" t="s">
        <v>41</v>
      </c>
      <c r="K629">
        <v>13</v>
      </c>
      <c r="L629">
        <v>536632</v>
      </c>
      <c r="M629" s="26">
        <v>6976216</v>
      </c>
      <c r="N629">
        <v>7763</v>
      </c>
      <c r="O629" s="26">
        <v>938701.17</v>
      </c>
      <c r="P629" s="5" t="s">
        <v>50</v>
      </c>
      <c r="Q629" s="5" t="s">
        <v>43</v>
      </c>
      <c r="R629">
        <v>3.6</v>
      </c>
      <c r="S629">
        <v>10</v>
      </c>
      <c r="T629">
        <f t="shared" si="9"/>
        <v>0</v>
      </c>
    </row>
    <row r="630" spans="1:20">
      <c r="A630" s="4">
        <v>44575</v>
      </c>
      <c r="B630">
        <v>2022</v>
      </c>
      <c r="C630">
        <v>1</v>
      </c>
      <c r="D630" s="5" t="s">
        <v>66</v>
      </c>
      <c r="E630" s="5" t="s">
        <v>67</v>
      </c>
      <c r="F630" s="5" t="s">
        <v>68</v>
      </c>
      <c r="G630" s="5" t="s">
        <v>69</v>
      </c>
      <c r="H630" s="5" t="s">
        <v>73</v>
      </c>
      <c r="I630" s="5" t="s">
        <v>40</v>
      </c>
      <c r="J630" s="5" t="s">
        <v>49</v>
      </c>
      <c r="K630">
        <v>13</v>
      </c>
      <c r="L630">
        <v>705842</v>
      </c>
      <c r="M630" s="26">
        <v>9175946</v>
      </c>
      <c r="N630">
        <v>36860</v>
      </c>
      <c r="O630" s="26">
        <v>971954.92</v>
      </c>
      <c r="P630" s="5" t="s">
        <v>50</v>
      </c>
      <c r="Q630" s="5" t="s">
        <v>51</v>
      </c>
      <c r="R630">
        <v>4.4000000000000004</v>
      </c>
      <c r="S630">
        <v>3</v>
      </c>
      <c r="T630">
        <f t="shared" si="9"/>
        <v>0</v>
      </c>
    </row>
    <row r="631" spans="1:20">
      <c r="A631" s="4">
        <v>44570</v>
      </c>
      <c r="B631">
        <v>2022</v>
      </c>
      <c r="C631">
        <v>1</v>
      </c>
      <c r="D631" s="5" t="s">
        <v>66</v>
      </c>
      <c r="E631" s="5" t="s">
        <v>67</v>
      </c>
      <c r="F631" s="5" t="s">
        <v>68</v>
      </c>
      <c r="G631" s="5" t="s">
        <v>69</v>
      </c>
      <c r="H631" s="5" t="s">
        <v>85</v>
      </c>
      <c r="I631" s="5" t="s">
        <v>58</v>
      </c>
      <c r="J631" s="5" t="s">
        <v>49</v>
      </c>
      <c r="K631">
        <v>30</v>
      </c>
      <c r="L631">
        <v>987073</v>
      </c>
      <c r="M631" s="26">
        <v>29612190</v>
      </c>
      <c r="N631">
        <v>42409</v>
      </c>
      <c r="O631" s="26">
        <v>3980761.07</v>
      </c>
      <c r="P631" s="5" t="s">
        <v>50</v>
      </c>
      <c r="Q631" s="5" t="s">
        <v>75</v>
      </c>
      <c r="R631">
        <v>4.8</v>
      </c>
      <c r="S631">
        <v>14</v>
      </c>
      <c r="T631">
        <f t="shared" si="9"/>
        <v>0</v>
      </c>
    </row>
    <row r="632" spans="1:20">
      <c r="A632" s="4">
        <v>44562</v>
      </c>
      <c r="B632">
        <v>2022</v>
      </c>
      <c r="C632">
        <v>1</v>
      </c>
      <c r="D632" s="5" t="s">
        <v>54</v>
      </c>
      <c r="E632" s="5" t="s">
        <v>55</v>
      </c>
      <c r="F632" s="5" t="s">
        <v>55</v>
      </c>
      <c r="G632" s="5" t="s">
        <v>56</v>
      </c>
      <c r="H632" s="5" t="s">
        <v>74</v>
      </c>
      <c r="I632" s="5" t="s">
        <v>40</v>
      </c>
      <c r="J632" s="5" t="s">
        <v>49</v>
      </c>
      <c r="K632">
        <v>46</v>
      </c>
      <c r="L632">
        <v>674914</v>
      </c>
      <c r="M632" s="26">
        <v>31046044</v>
      </c>
      <c r="N632">
        <v>8515</v>
      </c>
      <c r="O632" s="26">
        <v>4935006.84</v>
      </c>
      <c r="P632" s="5" t="s">
        <v>42</v>
      </c>
      <c r="Q632" s="5" t="s">
        <v>51</v>
      </c>
      <c r="R632">
        <v>4.7</v>
      </c>
      <c r="S632">
        <v>12</v>
      </c>
      <c r="T632">
        <f t="shared" si="9"/>
        <v>1</v>
      </c>
    </row>
    <row r="633" spans="1:20">
      <c r="A633" s="4">
        <v>44568</v>
      </c>
      <c r="B633">
        <v>2022</v>
      </c>
      <c r="C633">
        <v>1</v>
      </c>
      <c r="D633" s="5" t="s">
        <v>35</v>
      </c>
      <c r="E633" s="5" t="s">
        <v>36</v>
      </c>
      <c r="F633" s="5" t="s">
        <v>37</v>
      </c>
      <c r="G633" s="5" t="s">
        <v>38</v>
      </c>
      <c r="H633" s="5" t="s">
        <v>65</v>
      </c>
      <c r="I633" s="5" t="s">
        <v>53</v>
      </c>
      <c r="J633" s="5" t="s">
        <v>49</v>
      </c>
      <c r="K633">
        <v>47</v>
      </c>
      <c r="L633">
        <v>1233700</v>
      </c>
      <c r="M633" s="26">
        <v>57983900</v>
      </c>
      <c r="N633">
        <v>33884</v>
      </c>
      <c r="O633" s="26">
        <v>7526572.9299999997</v>
      </c>
      <c r="P633" s="5" t="s">
        <v>50</v>
      </c>
      <c r="Q633" s="5" t="s">
        <v>43</v>
      </c>
      <c r="R633">
        <v>4</v>
      </c>
      <c r="S633">
        <v>16</v>
      </c>
      <c r="T633">
        <f t="shared" si="9"/>
        <v>0</v>
      </c>
    </row>
    <row r="634" spans="1:20">
      <c r="A634" s="4">
        <v>44581</v>
      </c>
      <c r="B634">
        <v>2022</v>
      </c>
      <c r="C634">
        <v>1</v>
      </c>
      <c r="D634" s="5" t="s">
        <v>44</v>
      </c>
      <c r="E634" s="5" t="s">
        <v>82</v>
      </c>
      <c r="F634" s="5" t="s">
        <v>83</v>
      </c>
      <c r="G634" s="5" t="s">
        <v>84</v>
      </c>
      <c r="H634" s="5" t="s">
        <v>63</v>
      </c>
      <c r="I634" s="5" t="s">
        <v>64</v>
      </c>
      <c r="J634" s="5" t="s">
        <v>41</v>
      </c>
      <c r="K634">
        <v>15</v>
      </c>
      <c r="L634">
        <v>749675</v>
      </c>
      <c r="M634" s="26">
        <v>11245125</v>
      </c>
      <c r="N634">
        <v>48907</v>
      </c>
      <c r="O634" s="26">
        <v>978194.91</v>
      </c>
      <c r="P634" s="5" t="s">
        <v>50</v>
      </c>
      <c r="Q634" s="5" t="s">
        <v>51</v>
      </c>
      <c r="R634">
        <v>4.4000000000000004</v>
      </c>
      <c r="S634">
        <v>20</v>
      </c>
      <c r="T634">
        <f t="shared" si="9"/>
        <v>0</v>
      </c>
    </row>
    <row r="635" spans="1:20">
      <c r="A635" s="4">
        <v>44567</v>
      </c>
      <c r="B635">
        <v>2022</v>
      </c>
      <c r="C635">
        <v>1</v>
      </c>
      <c r="D635" s="5" t="s">
        <v>35</v>
      </c>
      <c r="E635" s="5" t="s">
        <v>76</v>
      </c>
      <c r="F635" s="5" t="s">
        <v>77</v>
      </c>
      <c r="G635" s="5" t="s">
        <v>78</v>
      </c>
      <c r="H635" s="5" t="s">
        <v>73</v>
      </c>
      <c r="I635" s="5" t="s">
        <v>40</v>
      </c>
      <c r="J635" s="5" t="s">
        <v>49</v>
      </c>
      <c r="K635">
        <v>36</v>
      </c>
      <c r="L635">
        <v>697867</v>
      </c>
      <c r="M635" s="26">
        <v>25123212</v>
      </c>
      <c r="N635">
        <v>34486</v>
      </c>
      <c r="O635" s="26">
        <v>3026131.06</v>
      </c>
      <c r="P635" s="5" t="s">
        <v>50</v>
      </c>
      <c r="Q635" s="5" t="s">
        <v>51</v>
      </c>
      <c r="R635">
        <v>5</v>
      </c>
      <c r="S635">
        <v>12</v>
      </c>
      <c r="T635">
        <f t="shared" si="9"/>
        <v>0</v>
      </c>
    </row>
    <row r="636" spans="1:20">
      <c r="A636" s="4">
        <v>44569</v>
      </c>
      <c r="B636">
        <v>2022</v>
      </c>
      <c r="C636">
        <v>1</v>
      </c>
      <c r="D636" s="5" t="s">
        <v>66</v>
      </c>
      <c r="E636" s="5" t="s">
        <v>67</v>
      </c>
      <c r="F636" s="5" t="s">
        <v>68</v>
      </c>
      <c r="G636" s="5" t="s">
        <v>69</v>
      </c>
      <c r="H636" s="5" t="s">
        <v>39</v>
      </c>
      <c r="I636" s="5" t="s">
        <v>40</v>
      </c>
      <c r="J636" s="5" t="s">
        <v>41</v>
      </c>
      <c r="K636">
        <v>19</v>
      </c>
      <c r="L636">
        <v>584138</v>
      </c>
      <c r="M636" s="26">
        <v>11098622</v>
      </c>
      <c r="N636">
        <v>11280</v>
      </c>
      <c r="O636" s="26">
        <v>1584738.7</v>
      </c>
      <c r="P636" s="5" t="s">
        <v>50</v>
      </c>
      <c r="Q636" s="5" t="s">
        <v>75</v>
      </c>
      <c r="R636">
        <v>5</v>
      </c>
      <c r="S636">
        <v>10</v>
      </c>
      <c r="T636">
        <f t="shared" si="9"/>
        <v>0</v>
      </c>
    </row>
    <row r="637" spans="1:20">
      <c r="A637" s="4">
        <v>44569</v>
      </c>
      <c r="B637">
        <v>2022</v>
      </c>
      <c r="C637">
        <v>1</v>
      </c>
      <c r="D637" s="5" t="s">
        <v>44</v>
      </c>
      <c r="E637" s="5" t="s">
        <v>82</v>
      </c>
      <c r="F637" s="5" t="s">
        <v>83</v>
      </c>
      <c r="G637" s="5" t="s">
        <v>84</v>
      </c>
      <c r="H637" s="5" t="s">
        <v>74</v>
      </c>
      <c r="I637" s="5" t="s">
        <v>40</v>
      </c>
      <c r="J637" s="5" t="s">
        <v>49</v>
      </c>
      <c r="K637">
        <v>26</v>
      </c>
      <c r="L637">
        <v>659613</v>
      </c>
      <c r="M637" s="26">
        <v>17149938</v>
      </c>
      <c r="N637">
        <v>49651</v>
      </c>
      <c r="O637" s="26">
        <v>2464989.25</v>
      </c>
      <c r="P637" s="5" t="s">
        <v>42</v>
      </c>
      <c r="Q637" s="5" t="s">
        <v>75</v>
      </c>
      <c r="R637">
        <v>4.3</v>
      </c>
      <c r="S637">
        <v>16</v>
      </c>
      <c r="T637">
        <f t="shared" si="9"/>
        <v>1</v>
      </c>
    </row>
    <row r="638" spans="1:20">
      <c r="A638" s="4">
        <v>44564</v>
      </c>
      <c r="B638">
        <v>2022</v>
      </c>
      <c r="C638">
        <v>1</v>
      </c>
      <c r="D638" s="5" t="s">
        <v>44</v>
      </c>
      <c r="E638" s="5" t="s">
        <v>45</v>
      </c>
      <c r="F638" s="5" t="s">
        <v>46</v>
      </c>
      <c r="G638" s="5" t="s">
        <v>47</v>
      </c>
      <c r="H638" s="5" t="s">
        <v>48</v>
      </c>
      <c r="I638" s="5" t="s">
        <v>40</v>
      </c>
      <c r="J638" s="5" t="s">
        <v>49</v>
      </c>
      <c r="K638">
        <v>21</v>
      </c>
      <c r="L638">
        <v>446836</v>
      </c>
      <c r="M638" s="26">
        <v>9383556</v>
      </c>
      <c r="N638">
        <v>40420</v>
      </c>
      <c r="O638" s="26">
        <v>1183846.3500000001</v>
      </c>
      <c r="P638" s="5" t="s">
        <v>50</v>
      </c>
      <c r="Q638" s="5" t="s">
        <v>43</v>
      </c>
      <c r="R638">
        <v>4.9000000000000004</v>
      </c>
      <c r="S638">
        <v>10</v>
      </c>
      <c r="T638">
        <f t="shared" si="9"/>
        <v>0</v>
      </c>
    </row>
    <row r="639" spans="1:20">
      <c r="A639" s="4">
        <v>44583</v>
      </c>
      <c r="B639">
        <v>2022</v>
      </c>
      <c r="C639">
        <v>1</v>
      </c>
      <c r="D639" s="5" t="s">
        <v>66</v>
      </c>
      <c r="E639" s="5" t="s">
        <v>67</v>
      </c>
      <c r="F639" s="5" t="s">
        <v>68</v>
      </c>
      <c r="G639" s="5" t="s">
        <v>69</v>
      </c>
      <c r="H639" s="5" t="s">
        <v>74</v>
      </c>
      <c r="I639" s="5" t="s">
        <v>40</v>
      </c>
      <c r="J639" s="5" t="s">
        <v>49</v>
      </c>
      <c r="K639">
        <v>10</v>
      </c>
      <c r="L639">
        <v>655670</v>
      </c>
      <c r="M639" s="26">
        <v>6556700</v>
      </c>
      <c r="N639">
        <v>27556</v>
      </c>
      <c r="O639" s="26">
        <v>563721.61</v>
      </c>
      <c r="P639" s="5" t="s">
        <v>42</v>
      </c>
      <c r="Q639" s="5" t="s">
        <v>43</v>
      </c>
      <c r="R639">
        <v>4.5999999999999996</v>
      </c>
      <c r="S639">
        <v>7</v>
      </c>
      <c r="T639">
        <f t="shared" si="9"/>
        <v>1</v>
      </c>
    </row>
    <row r="640" spans="1:20">
      <c r="A640" s="4">
        <v>44576</v>
      </c>
      <c r="B640">
        <v>2022</v>
      </c>
      <c r="C640">
        <v>1</v>
      </c>
      <c r="D640" s="5" t="s">
        <v>66</v>
      </c>
      <c r="E640" s="5" t="s">
        <v>67</v>
      </c>
      <c r="F640" s="5" t="s">
        <v>68</v>
      </c>
      <c r="G640" s="5" t="s">
        <v>69</v>
      </c>
      <c r="H640" s="5" t="s">
        <v>74</v>
      </c>
      <c r="I640" s="5" t="s">
        <v>40</v>
      </c>
      <c r="J640" s="5" t="s">
        <v>49</v>
      </c>
      <c r="K640">
        <v>21</v>
      </c>
      <c r="L640">
        <v>646110</v>
      </c>
      <c r="M640" s="26">
        <v>13568310</v>
      </c>
      <c r="N640">
        <v>49258</v>
      </c>
      <c r="O640" s="26">
        <v>1510813.34</v>
      </c>
      <c r="P640" s="5" t="s">
        <v>50</v>
      </c>
      <c r="Q640" s="5" t="s">
        <v>51</v>
      </c>
      <c r="R640">
        <v>4.5</v>
      </c>
      <c r="S640">
        <v>19</v>
      </c>
      <c r="T640">
        <f t="shared" si="9"/>
        <v>0</v>
      </c>
    </row>
    <row r="641" spans="1:20">
      <c r="A641" s="4">
        <v>44586</v>
      </c>
      <c r="B641">
        <v>2022</v>
      </c>
      <c r="C641">
        <v>1</v>
      </c>
      <c r="D641" s="5" t="s">
        <v>35</v>
      </c>
      <c r="E641" s="5" t="s">
        <v>36</v>
      </c>
      <c r="F641" s="5" t="s">
        <v>37</v>
      </c>
      <c r="G641" s="5" t="s">
        <v>38</v>
      </c>
      <c r="H641" s="5" t="s">
        <v>73</v>
      </c>
      <c r="I641" s="5" t="s">
        <v>40</v>
      </c>
      <c r="J641" s="5" t="s">
        <v>49</v>
      </c>
      <c r="K641">
        <v>36</v>
      </c>
      <c r="L641">
        <v>716484</v>
      </c>
      <c r="M641" s="26">
        <v>25793424</v>
      </c>
      <c r="N641">
        <v>18731</v>
      </c>
      <c r="O641" s="26">
        <v>2284834.84</v>
      </c>
      <c r="P641" s="5" t="s">
        <v>42</v>
      </c>
      <c r="Q641" s="5" t="s">
        <v>75</v>
      </c>
      <c r="R641">
        <v>4.0999999999999996</v>
      </c>
      <c r="S641">
        <v>14</v>
      </c>
      <c r="T641">
        <f t="shared" si="9"/>
        <v>1</v>
      </c>
    </row>
    <row r="642" spans="1:20">
      <c r="A642" s="4">
        <v>44577</v>
      </c>
      <c r="B642">
        <v>2022</v>
      </c>
      <c r="C642">
        <v>1</v>
      </c>
      <c r="D642" s="5" t="s">
        <v>66</v>
      </c>
      <c r="E642" s="5" t="s">
        <v>67</v>
      </c>
      <c r="F642" s="5" t="s">
        <v>68</v>
      </c>
      <c r="G642" s="5" t="s">
        <v>69</v>
      </c>
      <c r="H642" s="5" t="s">
        <v>74</v>
      </c>
      <c r="I642" s="5" t="s">
        <v>40</v>
      </c>
      <c r="J642" s="5" t="s">
        <v>49</v>
      </c>
      <c r="K642">
        <v>56</v>
      </c>
      <c r="L642">
        <v>638398</v>
      </c>
      <c r="M642" s="26">
        <v>35750288</v>
      </c>
      <c r="N642">
        <v>6435</v>
      </c>
      <c r="O642" s="26">
        <v>5080064.88</v>
      </c>
      <c r="P642" s="5" t="s">
        <v>42</v>
      </c>
      <c r="Q642" s="5" t="s">
        <v>75</v>
      </c>
      <c r="R642">
        <v>4.7</v>
      </c>
      <c r="S642">
        <v>7</v>
      </c>
      <c r="T642">
        <f t="shared" ref="T642:T705" si="10">IF(AND(OR($B642=Sel_Year,Sel_Year="All"),OR($C642=Sel_Month,Sel_Month="All"),OR($D642=Sel_Region,Sel_Region="All"),OR($E642=Sel_State,Sel_State="All"),OR($F642=Sel_City,Sel_City="All"),OR($G642=Sel_Dealer,Sel_Dealer="All"),OR($H642=Sel_Model,Sel_Model="All"),OR($I642=Sel_Segment,Sel_Segment="All"),OR($J642=Sel_Fuel,Sel_Fuel="All"),OR($P642=Sel_CustType,Sel_CustType="All"),OR($Q642=Sel_Payment,Sel_Payment="All")),1,0)</f>
        <v>1</v>
      </c>
    </row>
    <row r="643" spans="1:20">
      <c r="A643" s="4">
        <v>44564</v>
      </c>
      <c r="B643">
        <v>2022</v>
      </c>
      <c r="C643">
        <v>1</v>
      </c>
      <c r="D643" s="5" t="s">
        <v>35</v>
      </c>
      <c r="E643" s="5" t="s">
        <v>76</v>
      </c>
      <c r="F643" s="5" t="s">
        <v>77</v>
      </c>
      <c r="G643" s="5" t="s">
        <v>78</v>
      </c>
      <c r="H643" s="5" t="s">
        <v>57</v>
      </c>
      <c r="I643" s="5" t="s">
        <v>58</v>
      </c>
      <c r="J643" s="5" t="s">
        <v>59</v>
      </c>
      <c r="K643">
        <v>29</v>
      </c>
      <c r="L643">
        <v>1424139</v>
      </c>
      <c r="M643" s="26">
        <v>41300031</v>
      </c>
      <c r="N643">
        <v>23603</v>
      </c>
      <c r="O643" s="26">
        <v>6216842.5499999998</v>
      </c>
      <c r="P643" s="5" t="s">
        <v>50</v>
      </c>
      <c r="Q643" s="5" t="s">
        <v>43</v>
      </c>
      <c r="R643">
        <v>4.5999999999999996</v>
      </c>
      <c r="S643">
        <v>16</v>
      </c>
      <c r="T643">
        <f t="shared" si="10"/>
        <v>0</v>
      </c>
    </row>
    <row r="644" spans="1:20">
      <c r="A644" s="4">
        <v>44563</v>
      </c>
      <c r="B644">
        <v>2022</v>
      </c>
      <c r="C644">
        <v>1</v>
      </c>
      <c r="D644" s="5" t="s">
        <v>35</v>
      </c>
      <c r="E644" s="5" t="s">
        <v>36</v>
      </c>
      <c r="F644" s="5" t="s">
        <v>37</v>
      </c>
      <c r="G644" s="5" t="s">
        <v>38</v>
      </c>
      <c r="H644" s="5" t="s">
        <v>63</v>
      </c>
      <c r="I644" s="5" t="s">
        <v>64</v>
      </c>
      <c r="J644" s="5" t="s">
        <v>41</v>
      </c>
      <c r="K644">
        <v>7</v>
      </c>
      <c r="L644">
        <v>772603</v>
      </c>
      <c r="M644" s="26">
        <v>5408221</v>
      </c>
      <c r="N644">
        <v>24707</v>
      </c>
      <c r="O644" s="26">
        <v>685831.88</v>
      </c>
      <c r="P644" s="5" t="s">
        <v>42</v>
      </c>
      <c r="Q644" s="5" t="s">
        <v>43</v>
      </c>
      <c r="R644">
        <v>3.5</v>
      </c>
      <c r="S644">
        <v>4</v>
      </c>
      <c r="T644">
        <f t="shared" si="10"/>
        <v>1</v>
      </c>
    </row>
    <row r="645" spans="1:20">
      <c r="A645" s="4">
        <v>44574</v>
      </c>
      <c r="B645">
        <v>2022</v>
      </c>
      <c r="C645">
        <v>1</v>
      </c>
      <c r="D645" s="5" t="s">
        <v>35</v>
      </c>
      <c r="E645" s="5" t="s">
        <v>36</v>
      </c>
      <c r="F645" s="5" t="s">
        <v>37</v>
      </c>
      <c r="G645" s="5" t="s">
        <v>38</v>
      </c>
      <c r="H645" s="5" t="s">
        <v>65</v>
      </c>
      <c r="I645" s="5" t="s">
        <v>53</v>
      </c>
      <c r="J645" s="5" t="s">
        <v>49</v>
      </c>
      <c r="K645">
        <v>45</v>
      </c>
      <c r="L645">
        <v>1271013</v>
      </c>
      <c r="M645" s="26">
        <v>57195585</v>
      </c>
      <c r="N645">
        <v>49409</v>
      </c>
      <c r="O645" s="26">
        <v>8018128.46</v>
      </c>
      <c r="P645" s="5" t="s">
        <v>42</v>
      </c>
      <c r="Q645" s="5" t="s">
        <v>43</v>
      </c>
      <c r="R645">
        <v>4.7</v>
      </c>
      <c r="S645">
        <v>2</v>
      </c>
      <c r="T645">
        <f t="shared" si="10"/>
        <v>1</v>
      </c>
    </row>
    <row r="646" spans="1:20">
      <c r="A646" s="4">
        <v>44572</v>
      </c>
      <c r="B646">
        <v>2022</v>
      </c>
      <c r="C646">
        <v>1</v>
      </c>
      <c r="D646" s="5" t="s">
        <v>66</v>
      </c>
      <c r="E646" s="5" t="s">
        <v>67</v>
      </c>
      <c r="F646" s="5" t="s">
        <v>68</v>
      </c>
      <c r="G646" s="5" t="s">
        <v>69</v>
      </c>
      <c r="H646" s="5" t="s">
        <v>74</v>
      </c>
      <c r="I646" s="5" t="s">
        <v>40</v>
      </c>
      <c r="J646" s="5" t="s">
        <v>49</v>
      </c>
      <c r="K646">
        <v>23</v>
      </c>
      <c r="L646">
        <v>670660</v>
      </c>
      <c r="M646" s="26">
        <v>15425180</v>
      </c>
      <c r="N646">
        <v>8219</v>
      </c>
      <c r="O646" s="26">
        <v>1662244.29</v>
      </c>
      <c r="P646" s="5" t="s">
        <v>50</v>
      </c>
      <c r="Q646" s="5" t="s">
        <v>75</v>
      </c>
      <c r="R646">
        <v>3.7</v>
      </c>
      <c r="S646">
        <v>4</v>
      </c>
      <c r="T646">
        <f t="shared" si="10"/>
        <v>0</v>
      </c>
    </row>
    <row r="647" spans="1:20">
      <c r="A647" s="4">
        <v>44580</v>
      </c>
      <c r="B647">
        <v>2022</v>
      </c>
      <c r="C647">
        <v>1</v>
      </c>
      <c r="D647" s="5" t="s">
        <v>54</v>
      </c>
      <c r="E647" s="5" t="s">
        <v>55</v>
      </c>
      <c r="F647" s="5" t="s">
        <v>55</v>
      </c>
      <c r="G647" s="5" t="s">
        <v>56</v>
      </c>
      <c r="H647" s="5" t="s">
        <v>73</v>
      </c>
      <c r="I647" s="5" t="s">
        <v>40</v>
      </c>
      <c r="J647" s="5" t="s">
        <v>49</v>
      </c>
      <c r="K647">
        <v>58</v>
      </c>
      <c r="L647">
        <v>700127</v>
      </c>
      <c r="M647" s="26">
        <v>40607366</v>
      </c>
      <c r="N647">
        <v>25137</v>
      </c>
      <c r="O647" s="26">
        <v>4275014.0599999996</v>
      </c>
      <c r="P647" s="5" t="s">
        <v>42</v>
      </c>
      <c r="Q647" s="5" t="s">
        <v>75</v>
      </c>
      <c r="R647">
        <v>4.0999999999999996</v>
      </c>
      <c r="S647">
        <v>19</v>
      </c>
      <c r="T647">
        <f t="shared" si="10"/>
        <v>1</v>
      </c>
    </row>
    <row r="648" spans="1:20">
      <c r="A648" s="4">
        <v>44565</v>
      </c>
      <c r="B648">
        <v>2022</v>
      </c>
      <c r="C648">
        <v>1</v>
      </c>
      <c r="D648" s="5" t="s">
        <v>66</v>
      </c>
      <c r="E648" s="5" t="s">
        <v>67</v>
      </c>
      <c r="F648" s="5" t="s">
        <v>68</v>
      </c>
      <c r="G648" s="5" t="s">
        <v>69</v>
      </c>
      <c r="H648" s="5" t="s">
        <v>85</v>
      </c>
      <c r="I648" s="5" t="s">
        <v>58</v>
      </c>
      <c r="J648" s="5" t="s">
        <v>49</v>
      </c>
      <c r="K648">
        <v>52</v>
      </c>
      <c r="L648">
        <v>984432</v>
      </c>
      <c r="M648" s="26">
        <v>51190464</v>
      </c>
      <c r="N648">
        <v>14327</v>
      </c>
      <c r="O648" s="26">
        <v>6347942.0099999998</v>
      </c>
      <c r="P648" s="5" t="s">
        <v>42</v>
      </c>
      <c r="Q648" s="5" t="s">
        <v>51</v>
      </c>
      <c r="R648">
        <v>4.0999999999999996</v>
      </c>
      <c r="S648">
        <v>19</v>
      </c>
      <c r="T648">
        <f t="shared" si="10"/>
        <v>1</v>
      </c>
    </row>
    <row r="649" spans="1:20">
      <c r="A649" s="4">
        <v>44572</v>
      </c>
      <c r="B649">
        <v>2022</v>
      </c>
      <c r="C649">
        <v>1</v>
      </c>
      <c r="D649" s="5" t="s">
        <v>54</v>
      </c>
      <c r="E649" s="5" t="s">
        <v>55</v>
      </c>
      <c r="F649" s="5" t="s">
        <v>55</v>
      </c>
      <c r="G649" s="5" t="s">
        <v>56</v>
      </c>
      <c r="H649" s="5" t="s">
        <v>39</v>
      </c>
      <c r="I649" s="5" t="s">
        <v>40</v>
      </c>
      <c r="J649" s="5" t="s">
        <v>41</v>
      </c>
      <c r="K649">
        <v>59</v>
      </c>
      <c r="L649">
        <v>604254</v>
      </c>
      <c r="M649" s="26">
        <v>35650986</v>
      </c>
      <c r="N649">
        <v>42452</v>
      </c>
      <c r="O649" s="26">
        <v>5653540.5499999998</v>
      </c>
      <c r="P649" s="5" t="s">
        <v>42</v>
      </c>
      <c r="Q649" s="5" t="s">
        <v>43</v>
      </c>
      <c r="R649">
        <v>4.8</v>
      </c>
      <c r="S649">
        <v>8</v>
      </c>
      <c r="T649">
        <f t="shared" si="10"/>
        <v>1</v>
      </c>
    </row>
    <row r="650" spans="1:20">
      <c r="A650" s="4">
        <v>44585</v>
      </c>
      <c r="B650">
        <v>2022</v>
      </c>
      <c r="C650">
        <v>1</v>
      </c>
      <c r="D650" s="5" t="s">
        <v>35</v>
      </c>
      <c r="E650" s="5" t="s">
        <v>36</v>
      </c>
      <c r="F650" s="5" t="s">
        <v>37</v>
      </c>
      <c r="G650" s="5" t="s">
        <v>38</v>
      </c>
      <c r="H650" s="5" t="s">
        <v>79</v>
      </c>
      <c r="I650" s="5" t="s">
        <v>58</v>
      </c>
      <c r="J650" s="5" t="s">
        <v>49</v>
      </c>
      <c r="K650">
        <v>57</v>
      </c>
      <c r="L650">
        <v>881576</v>
      </c>
      <c r="M650" s="26">
        <v>50249832</v>
      </c>
      <c r="N650">
        <v>12168</v>
      </c>
      <c r="O650" s="26">
        <v>6302335.4299999997</v>
      </c>
      <c r="P650" s="5" t="s">
        <v>42</v>
      </c>
      <c r="Q650" s="5" t="s">
        <v>75</v>
      </c>
      <c r="R650">
        <v>4.8</v>
      </c>
      <c r="S650">
        <v>17</v>
      </c>
      <c r="T650">
        <f t="shared" si="10"/>
        <v>1</v>
      </c>
    </row>
    <row r="651" spans="1:20">
      <c r="A651" s="4">
        <v>44582</v>
      </c>
      <c r="B651">
        <v>2022</v>
      </c>
      <c r="C651">
        <v>1</v>
      </c>
      <c r="D651" s="5" t="s">
        <v>35</v>
      </c>
      <c r="E651" s="5" t="s">
        <v>60</v>
      </c>
      <c r="F651" s="5" t="s">
        <v>61</v>
      </c>
      <c r="G651" s="5" t="s">
        <v>62</v>
      </c>
      <c r="H651" s="5" t="s">
        <v>57</v>
      </c>
      <c r="I651" s="5" t="s">
        <v>58</v>
      </c>
      <c r="J651" s="5" t="s">
        <v>59</v>
      </c>
      <c r="K651">
        <v>15</v>
      </c>
      <c r="L651">
        <v>1427869</v>
      </c>
      <c r="M651" s="26">
        <v>21418035</v>
      </c>
      <c r="N651">
        <v>43538</v>
      </c>
      <c r="O651" s="26">
        <v>3189115.25</v>
      </c>
      <c r="P651" s="5" t="s">
        <v>50</v>
      </c>
      <c r="Q651" s="5" t="s">
        <v>43</v>
      </c>
      <c r="R651">
        <v>3.6</v>
      </c>
      <c r="S651">
        <v>18</v>
      </c>
      <c r="T651">
        <f t="shared" si="10"/>
        <v>0</v>
      </c>
    </row>
    <row r="652" spans="1:20">
      <c r="A652" s="4">
        <v>44601</v>
      </c>
      <c r="B652">
        <v>2022</v>
      </c>
      <c r="C652">
        <v>2</v>
      </c>
      <c r="D652" s="5" t="s">
        <v>54</v>
      </c>
      <c r="E652" s="5" t="s">
        <v>70</v>
      </c>
      <c r="F652" s="5" t="s">
        <v>71</v>
      </c>
      <c r="G652" s="5" t="s">
        <v>72</v>
      </c>
      <c r="H652" s="5" t="s">
        <v>85</v>
      </c>
      <c r="I652" s="5" t="s">
        <v>58</v>
      </c>
      <c r="J652" s="5" t="s">
        <v>49</v>
      </c>
      <c r="K652">
        <v>46</v>
      </c>
      <c r="L652">
        <v>1002095</v>
      </c>
      <c r="M652" s="26">
        <v>46096370</v>
      </c>
      <c r="N652">
        <v>44979</v>
      </c>
      <c r="O652" s="26">
        <v>5738728.7800000003</v>
      </c>
      <c r="P652" s="5" t="s">
        <v>50</v>
      </c>
      <c r="Q652" s="5" t="s">
        <v>51</v>
      </c>
      <c r="R652">
        <v>4.7</v>
      </c>
      <c r="S652">
        <v>3</v>
      </c>
      <c r="T652">
        <f t="shared" si="10"/>
        <v>0</v>
      </c>
    </row>
    <row r="653" spans="1:20">
      <c r="A653" s="4">
        <v>44616</v>
      </c>
      <c r="B653">
        <v>2022</v>
      </c>
      <c r="C653">
        <v>2</v>
      </c>
      <c r="D653" s="5" t="s">
        <v>35</v>
      </c>
      <c r="E653" s="5" t="s">
        <v>60</v>
      </c>
      <c r="F653" s="5" t="s">
        <v>61</v>
      </c>
      <c r="G653" s="5" t="s">
        <v>62</v>
      </c>
      <c r="H653" s="5" t="s">
        <v>52</v>
      </c>
      <c r="I653" s="5" t="s">
        <v>53</v>
      </c>
      <c r="J653" s="5" t="s">
        <v>41</v>
      </c>
      <c r="K653">
        <v>13</v>
      </c>
      <c r="L653">
        <v>976757</v>
      </c>
      <c r="M653" s="26">
        <v>12697841</v>
      </c>
      <c r="N653">
        <v>45512</v>
      </c>
      <c r="O653" s="26">
        <v>1268288.58</v>
      </c>
      <c r="P653" s="5" t="s">
        <v>50</v>
      </c>
      <c r="Q653" s="5" t="s">
        <v>43</v>
      </c>
      <c r="R653">
        <v>4.2</v>
      </c>
      <c r="S653">
        <v>3</v>
      </c>
      <c r="T653">
        <f t="shared" si="10"/>
        <v>0</v>
      </c>
    </row>
    <row r="654" spans="1:20">
      <c r="A654" s="4">
        <v>44608</v>
      </c>
      <c r="B654">
        <v>2022</v>
      </c>
      <c r="C654">
        <v>2</v>
      </c>
      <c r="D654" s="5" t="s">
        <v>35</v>
      </c>
      <c r="E654" s="5" t="s">
        <v>36</v>
      </c>
      <c r="F654" s="5" t="s">
        <v>37</v>
      </c>
      <c r="G654" s="5" t="s">
        <v>38</v>
      </c>
      <c r="H654" s="5" t="s">
        <v>57</v>
      </c>
      <c r="I654" s="5" t="s">
        <v>58</v>
      </c>
      <c r="J654" s="5" t="s">
        <v>59</v>
      </c>
      <c r="K654">
        <v>29</v>
      </c>
      <c r="L654">
        <v>1423015</v>
      </c>
      <c r="M654" s="26">
        <v>41267435</v>
      </c>
      <c r="N654">
        <v>48724</v>
      </c>
      <c r="O654" s="26">
        <v>5548480.7400000002</v>
      </c>
      <c r="P654" s="5" t="s">
        <v>42</v>
      </c>
      <c r="Q654" s="5" t="s">
        <v>43</v>
      </c>
      <c r="R654">
        <v>3.9</v>
      </c>
      <c r="S654">
        <v>13</v>
      </c>
      <c r="T654">
        <f t="shared" si="10"/>
        <v>1</v>
      </c>
    </row>
    <row r="655" spans="1:20">
      <c r="A655" s="4">
        <v>44615</v>
      </c>
      <c r="B655">
        <v>2022</v>
      </c>
      <c r="C655">
        <v>2</v>
      </c>
      <c r="D655" s="5" t="s">
        <v>54</v>
      </c>
      <c r="E655" s="5" t="s">
        <v>70</v>
      </c>
      <c r="F655" s="5" t="s">
        <v>71</v>
      </c>
      <c r="G655" s="5" t="s">
        <v>72</v>
      </c>
      <c r="H655" s="5" t="s">
        <v>73</v>
      </c>
      <c r="I655" s="5" t="s">
        <v>40</v>
      </c>
      <c r="J655" s="5" t="s">
        <v>49</v>
      </c>
      <c r="K655">
        <v>53</v>
      </c>
      <c r="L655">
        <v>747450</v>
      </c>
      <c r="M655" s="26">
        <v>39614850</v>
      </c>
      <c r="N655">
        <v>33131</v>
      </c>
      <c r="O655" s="26">
        <v>5746750.1100000003</v>
      </c>
      <c r="P655" s="5" t="s">
        <v>42</v>
      </c>
      <c r="Q655" s="5" t="s">
        <v>75</v>
      </c>
      <c r="R655">
        <v>4.9000000000000004</v>
      </c>
      <c r="S655">
        <v>13</v>
      </c>
      <c r="T655">
        <f t="shared" si="10"/>
        <v>1</v>
      </c>
    </row>
    <row r="656" spans="1:20">
      <c r="A656" s="4">
        <v>44614</v>
      </c>
      <c r="B656">
        <v>2022</v>
      </c>
      <c r="C656">
        <v>2</v>
      </c>
      <c r="D656" s="5" t="s">
        <v>35</v>
      </c>
      <c r="E656" s="5" t="s">
        <v>76</v>
      </c>
      <c r="F656" s="5" t="s">
        <v>77</v>
      </c>
      <c r="G656" s="5" t="s">
        <v>78</v>
      </c>
      <c r="H656" s="5" t="s">
        <v>65</v>
      </c>
      <c r="I656" s="5" t="s">
        <v>53</v>
      </c>
      <c r="J656" s="5" t="s">
        <v>49</v>
      </c>
      <c r="K656">
        <v>9</v>
      </c>
      <c r="L656">
        <v>1244020</v>
      </c>
      <c r="M656" s="26">
        <v>11196180</v>
      </c>
      <c r="N656">
        <v>49333</v>
      </c>
      <c r="O656" s="26">
        <v>1374257.58</v>
      </c>
      <c r="P656" s="5" t="s">
        <v>42</v>
      </c>
      <c r="Q656" s="5" t="s">
        <v>75</v>
      </c>
      <c r="R656">
        <v>4.8</v>
      </c>
      <c r="S656">
        <v>13</v>
      </c>
      <c r="T656">
        <f t="shared" si="10"/>
        <v>1</v>
      </c>
    </row>
    <row r="657" spans="1:20">
      <c r="A657" s="4">
        <v>44611</v>
      </c>
      <c r="B657">
        <v>2022</v>
      </c>
      <c r="C657">
        <v>2</v>
      </c>
      <c r="D657" s="5" t="s">
        <v>54</v>
      </c>
      <c r="E657" s="5" t="s">
        <v>55</v>
      </c>
      <c r="F657" s="5" t="s">
        <v>55</v>
      </c>
      <c r="G657" s="5" t="s">
        <v>56</v>
      </c>
      <c r="H657" s="5" t="s">
        <v>79</v>
      </c>
      <c r="I657" s="5" t="s">
        <v>58</v>
      </c>
      <c r="J657" s="5" t="s">
        <v>49</v>
      </c>
      <c r="K657">
        <v>47</v>
      </c>
      <c r="L657">
        <v>876291</v>
      </c>
      <c r="M657" s="26">
        <v>41185677</v>
      </c>
      <c r="N657">
        <v>5146</v>
      </c>
      <c r="O657" s="26">
        <v>6014810.6299999999</v>
      </c>
      <c r="P657" s="5" t="s">
        <v>50</v>
      </c>
      <c r="Q657" s="5" t="s">
        <v>43</v>
      </c>
      <c r="R657">
        <v>3.7</v>
      </c>
      <c r="S657">
        <v>13</v>
      </c>
      <c r="T657">
        <f t="shared" si="10"/>
        <v>0</v>
      </c>
    </row>
    <row r="658" spans="1:20">
      <c r="A658" s="4">
        <v>44612</v>
      </c>
      <c r="B658">
        <v>2022</v>
      </c>
      <c r="C658">
        <v>2</v>
      </c>
      <c r="D658" s="5" t="s">
        <v>44</v>
      </c>
      <c r="E658" s="5" t="s">
        <v>45</v>
      </c>
      <c r="F658" s="5" t="s">
        <v>46</v>
      </c>
      <c r="G658" s="5" t="s">
        <v>47</v>
      </c>
      <c r="H658" s="5" t="s">
        <v>57</v>
      </c>
      <c r="I658" s="5" t="s">
        <v>58</v>
      </c>
      <c r="J658" s="5" t="s">
        <v>59</v>
      </c>
      <c r="K658">
        <v>13</v>
      </c>
      <c r="L658">
        <v>1396259</v>
      </c>
      <c r="M658" s="26">
        <v>18151367</v>
      </c>
      <c r="N658">
        <v>17078</v>
      </c>
      <c r="O658" s="26">
        <v>2087864.54</v>
      </c>
      <c r="P658" s="5" t="s">
        <v>50</v>
      </c>
      <c r="Q658" s="5" t="s">
        <v>51</v>
      </c>
      <c r="R658">
        <v>4.9000000000000004</v>
      </c>
      <c r="S658">
        <v>17</v>
      </c>
      <c r="T658">
        <f t="shared" si="10"/>
        <v>0</v>
      </c>
    </row>
    <row r="659" spans="1:20">
      <c r="A659" s="4">
        <v>44595</v>
      </c>
      <c r="B659">
        <v>2022</v>
      </c>
      <c r="C659">
        <v>2</v>
      </c>
      <c r="D659" s="5" t="s">
        <v>35</v>
      </c>
      <c r="E659" s="5" t="s">
        <v>36</v>
      </c>
      <c r="F659" s="5" t="s">
        <v>37</v>
      </c>
      <c r="G659" s="5" t="s">
        <v>38</v>
      </c>
      <c r="H659" s="5" t="s">
        <v>52</v>
      </c>
      <c r="I659" s="5" t="s">
        <v>53</v>
      </c>
      <c r="J659" s="5" t="s">
        <v>41</v>
      </c>
      <c r="K659">
        <v>47</v>
      </c>
      <c r="L659">
        <v>929895</v>
      </c>
      <c r="M659" s="26">
        <v>43705065</v>
      </c>
      <c r="N659">
        <v>12925</v>
      </c>
      <c r="O659" s="26">
        <v>5763286.8799999999</v>
      </c>
      <c r="P659" s="5" t="s">
        <v>42</v>
      </c>
      <c r="Q659" s="5" t="s">
        <v>75</v>
      </c>
      <c r="R659">
        <v>3.8</v>
      </c>
      <c r="S659">
        <v>11</v>
      </c>
      <c r="T659">
        <f t="shared" si="10"/>
        <v>1</v>
      </c>
    </row>
    <row r="660" spans="1:20">
      <c r="A660" s="4">
        <v>44599</v>
      </c>
      <c r="B660">
        <v>2022</v>
      </c>
      <c r="C660">
        <v>2</v>
      </c>
      <c r="D660" s="5" t="s">
        <v>44</v>
      </c>
      <c r="E660" s="5" t="s">
        <v>45</v>
      </c>
      <c r="F660" s="5" t="s">
        <v>46</v>
      </c>
      <c r="G660" s="5" t="s">
        <v>47</v>
      </c>
      <c r="H660" s="5" t="s">
        <v>74</v>
      </c>
      <c r="I660" s="5" t="s">
        <v>40</v>
      </c>
      <c r="J660" s="5" t="s">
        <v>49</v>
      </c>
      <c r="K660">
        <v>43</v>
      </c>
      <c r="L660">
        <v>634266</v>
      </c>
      <c r="M660" s="26">
        <v>27273438</v>
      </c>
      <c r="N660">
        <v>5414</v>
      </c>
      <c r="O660" s="26">
        <v>3480366.4</v>
      </c>
      <c r="P660" s="5" t="s">
        <v>50</v>
      </c>
      <c r="Q660" s="5" t="s">
        <v>51</v>
      </c>
      <c r="R660">
        <v>4.2</v>
      </c>
      <c r="S660">
        <v>8</v>
      </c>
      <c r="T660">
        <f t="shared" si="10"/>
        <v>0</v>
      </c>
    </row>
    <row r="661" spans="1:20">
      <c r="A661" s="4">
        <v>44605</v>
      </c>
      <c r="B661">
        <v>2022</v>
      </c>
      <c r="C661">
        <v>2</v>
      </c>
      <c r="D661" s="5" t="s">
        <v>66</v>
      </c>
      <c r="E661" s="5" t="s">
        <v>67</v>
      </c>
      <c r="F661" s="5" t="s">
        <v>68</v>
      </c>
      <c r="G661" s="5" t="s">
        <v>69</v>
      </c>
      <c r="H661" s="5" t="s">
        <v>63</v>
      </c>
      <c r="I661" s="5" t="s">
        <v>64</v>
      </c>
      <c r="J661" s="5" t="s">
        <v>41</v>
      </c>
      <c r="K661">
        <v>14</v>
      </c>
      <c r="L661">
        <v>785644</v>
      </c>
      <c r="M661" s="26">
        <v>10999016</v>
      </c>
      <c r="N661">
        <v>27235</v>
      </c>
      <c r="O661" s="26">
        <v>1207101.98</v>
      </c>
      <c r="P661" s="5" t="s">
        <v>50</v>
      </c>
      <c r="Q661" s="5" t="s">
        <v>51</v>
      </c>
      <c r="R661">
        <v>4.4000000000000004</v>
      </c>
      <c r="S661">
        <v>12</v>
      </c>
      <c r="T661">
        <f t="shared" si="10"/>
        <v>0</v>
      </c>
    </row>
    <row r="662" spans="1:20">
      <c r="A662" s="4">
        <v>44609</v>
      </c>
      <c r="B662">
        <v>2022</v>
      </c>
      <c r="C662">
        <v>2</v>
      </c>
      <c r="D662" s="5" t="s">
        <v>54</v>
      </c>
      <c r="E662" s="5" t="s">
        <v>55</v>
      </c>
      <c r="F662" s="5" t="s">
        <v>55</v>
      </c>
      <c r="G662" s="5" t="s">
        <v>56</v>
      </c>
      <c r="H662" s="5" t="s">
        <v>79</v>
      </c>
      <c r="I662" s="5" t="s">
        <v>58</v>
      </c>
      <c r="J662" s="5" t="s">
        <v>49</v>
      </c>
      <c r="K662">
        <v>33</v>
      </c>
      <c r="L662">
        <v>917323</v>
      </c>
      <c r="M662" s="26">
        <v>30271659</v>
      </c>
      <c r="N662">
        <v>17656</v>
      </c>
      <c r="O662" s="26">
        <v>2822319.89</v>
      </c>
      <c r="P662" s="5" t="s">
        <v>42</v>
      </c>
      <c r="Q662" s="5" t="s">
        <v>43</v>
      </c>
      <c r="R662">
        <v>3.8</v>
      </c>
      <c r="S662">
        <v>4</v>
      </c>
      <c r="T662">
        <f t="shared" si="10"/>
        <v>1</v>
      </c>
    </row>
    <row r="663" spans="1:20">
      <c r="A663" s="4">
        <v>44618</v>
      </c>
      <c r="B663">
        <v>2022</v>
      </c>
      <c r="C663">
        <v>2</v>
      </c>
      <c r="D663" s="5" t="s">
        <v>44</v>
      </c>
      <c r="E663" s="5" t="s">
        <v>45</v>
      </c>
      <c r="F663" s="5" t="s">
        <v>46</v>
      </c>
      <c r="G663" s="5" t="s">
        <v>47</v>
      </c>
      <c r="H663" s="5" t="s">
        <v>85</v>
      </c>
      <c r="I663" s="5" t="s">
        <v>58</v>
      </c>
      <c r="J663" s="5" t="s">
        <v>49</v>
      </c>
      <c r="K663">
        <v>43</v>
      </c>
      <c r="L663">
        <v>997435</v>
      </c>
      <c r="M663" s="26">
        <v>42889705</v>
      </c>
      <c r="N663">
        <v>14188</v>
      </c>
      <c r="O663" s="26">
        <v>6581813.0599999996</v>
      </c>
      <c r="P663" s="5" t="s">
        <v>50</v>
      </c>
      <c r="Q663" s="5" t="s">
        <v>51</v>
      </c>
      <c r="R663">
        <v>4.8</v>
      </c>
      <c r="S663">
        <v>13</v>
      </c>
      <c r="T663">
        <f t="shared" si="10"/>
        <v>0</v>
      </c>
    </row>
    <row r="664" spans="1:20">
      <c r="A664" s="4">
        <v>44596</v>
      </c>
      <c r="B664">
        <v>2022</v>
      </c>
      <c r="C664">
        <v>2</v>
      </c>
      <c r="D664" s="5" t="s">
        <v>54</v>
      </c>
      <c r="E664" s="5" t="s">
        <v>55</v>
      </c>
      <c r="F664" s="5" t="s">
        <v>55</v>
      </c>
      <c r="G664" s="5" t="s">
        <v>56</v>
      </c>
      <c r="H664" s="5" t="s">
        <v>39</v>
      </c>
      <c r="I664" s="5" t="s">
        <v>40</v>
      </c>
      <c r="J664" s="5" t="s">
        <v>41</v>
      </c>
      <c r="K664">
        <v>37</v>
      </c>
      <c r="L664">
        <v>562967</v>
      </c>
      <c r="M664" s="26">
        <v>20829779</v>
      </c>
      <c r="N664">
        <v>34480</v>
      </c>
      <c r="O664" s="26">
        <v>1720029.71</v>
      </c>
      <c r="P664" s="5" t="s">
        <v>50</v>
      </c>
      <c r="Q664" s="5" t="s">
        <v>43</v>
      </c>
      <c r="R664">
        <v>3.7</v>
      </c>
      <c r="S664">
        <v>17</v>
      </c>
      <c r="T664">
        <f t="shared" si="10"/>
        <v>0</v>
      </c>
    </row>
    <row r="665" spans="1:20">
      <c r="A665" s="4">
        <v>44610</v>
      </c>
      <c r="B665">
        <v>2022</v>
      </c>
      <c r="C665">
        <v>2</v>
      </c>
      <c r="D665" s="5" t="s">
        <v>35</v>
      </c>
      <c r="E665" s="5" t="s">
        <v>76</v>
      </c>
      <c r="F665" s="5" t="s">
        <v>77</v>
      </c>
      <c r="G665" s="5" t="s">
        <v>78</v>
      </c>
      <c r="H665" s="5" t="s">
        <v>85</v>
      </c>
      <c r="I665" s="5" t="s">
        <v>58</v>
      </c>
      <c r="J665" s="5" t="s">
        <v>49</v>
      </c>
      <c r="K665">
        <v>8</v>
      </c>
      <c r="L665">
        <v>974350</v>
      </c>
      <c r="M665" s="26">
        <v>7794800</v>
      </c>
      <c r="N665">
        <v>16074</v>
      </c>
      <c r="O665" s="26">
        <v>1161693.47</v>
      </c>
      <c r="P665" s="5" t="s">
        <v>50</v>
      </c>
      <c r="Q665" s="5" t="s">
        <v>43</v>
      </c>
      <c r="R665">
        <v>4.7</v>
      </c>
      <c r="S665">
        <v>9</v>
      </c>
      <c r="T665">
        <f t="shared" si="10"/>
        <v>0</v>
      </c>
    </row>
    <row r="666" spans="1:20">
      <c r="A666" s="4">
        <v>44610</v>
      </c>
      <c r="B666">
        <v>2022</v>
      </c>
      <c r="C666">
        <v>2</v>
      </c>
      <c r="D666" s="5" t="s">
        <v>44</v>
      </c>
      <c r="E666" s="5" t="s">
        <v>82</v>
      </c>
      <c r="F666" s="5" t="s">
        <v>83</v>
      </c>
      <c r="G666" s="5" t="s">
        <v>84</v>
      </c>
      <c r="H666" s="5" t="s">
        <v>52</v>
      </c>
      <c r="I666" s="5" t="s">
        <v>53</v>
      </c>
      <c r="J666" s="5" t="s">
        <v>41</v>
      </c>
      <c r="K666">
        <v>53</v>
      </c>
      <c r="L666">
        <v>970107</v>
      </c>
      <c r="M666" s="26">
        <v>51415671</v>
      </c>
      <c r="N666">
        <v>46613</v>
      </c>
      <c r="O666" s="26">
        <v>7352464.8499999996</v>
      </c>
      <c r="P666" s="5" t="s">
        <v>50</v>
      </c>
      <c r="Q666" s="5" t="s">
        <v>43</v>
      </c>
      <c r="R666">
        <v>4.4000000000000004</v>
      </c>
      <c r="S666">
        <v>5</v>
      </c>
      <c r="T666">
        <f t="shared" si="10"/>
        <v>0</v>
      </c>
    </row>
    <row r="667" spans="1:20">
      <c r="A667" s="4">
        <v>44606</v>
      </c>
      <c r="B667">
        <v>2022</v>
      </c>
      <c r="C667">
        <v>2</v>
      </c>
      <c r="D667" s="5" t="s">
        <v>54</v>
      </c>
      <c r="E667" s="5" t="s">
        <v>55</v>
      </c>
      <c r="F667" s="5" t="s">
        <v>55</v>
      </c>
      <c r="G667" s="5" t="s">
        <v>56</v>
      </c>
      <c r="H667" s="5" t="s">
        <v>52</v>
      </c>
      <c r="I667" s="5" t="s">
        <v>53</v>
      </c>
      <c r="J667" s="5" t="s">
        <v>41</v>
      </c>
      <c r="K667">
        <v>24</v>
      </c>
      <c r="L667">
        <v>956455</v>
      </c>
      <c r="M667" s="26">
        <v>22954920</v>
      </c>
      <c r="N667">
        <v>16703</v>
      </c>
      <c r="O667" s="26">
        <v>3195047.41</v>
      </c>
      <c r="P667" s="5" t="s">
        <v>42</v>
      </c>
      <c r="Q667" s="5" t="s">
        <v>51</v>
      </c>
      <c r="R667">
        <v>3.9</v>
      </c>
      <c r="S667">
        <v>2</v>
      </c>
      <c r="T667">
        <f t="shared" si="10"/>
        <v>1</v>
      </c>
    </row>
    <row r="668" spans="1:20">
      <c r="A668" s="4">
        <v>44596</v>
      </c>
      <c r="B668">
        <v>2022</v>
      </c>
      <c r="C668">
        <v>2</v>
      </c>
      <c r="D668" s="5" t="s">
        <v>35</v>
      </c>
      <c r="E668" s="5" t="s">
        <v>76</v>
      </c>
      <c r="F668" s="5" t="s">
        <v>77</v>
      </c>
      <c r="G668" s="5" t="s">
        <v>78</v>
      </c>
      <c r="H668" s="5" t="s">
        <v>74</v>
      </c>
      <c r="I668" s="5" t="s">
        <v>40</v>
      </c>
      <c r="J668" s="5" t="s">
        <v>49</v>
      </c>
      <c r="K668">
        <v>25</v>
      </c>
      <c r="L668">
        <v>651267</v>
      </c>
      <c r="M668" s="26">
        <v>16281675</v>
      </c>
      <c r="N668">
        <v>8324</v>
      </c>
      <c r="O668" s="26">
        <v>1569102.15</v>
      </c>
      <c r="P668" s="5" t="s">
        <v>42</v>
      </c>
      <c r="Q668" s="5" t="s">
        <v>51</v>
      </c>
      <c r="R668">
        <v>4.4000000000000004</v>
      </c>
      <c r="S668">
        <v>14</v>
      </c>
      <c r="T668">
        <f t="shared" si="10"/>
        <v>1</v>
      </c>
    </row>
    <row r="669" spans="1:20">
      <c r="A669" s="4">
        <v>44613</v>
      </c>
      <c r="B669">
        <v>2022</v>
      </c>
      <c r="C669">
        <v>2</v>
      </c>
      <c r="D669" s="5" t="s">
        <v>35</v>
      </c>
      <c r="E669" s="5" t="s">
        <v>60</v>
      </c>
      <c r="F669" s="5" t="s">
        <v>61</v>
      </c>
      <c r="G669" s="5" t="s">
        <v>62</v>
      </c>
      <c r="H669" s="5" t="s">
        <v>57</v>
      </c>
      <c r="I669" s="5" t="s">
        <v>58</v>
      </c>
      <c r="J669" s="5" t="s">
        <v>59</v>
      </c>
      <c r="K669">
        <v>40</v>
      </c>
      <c r="L669">
        <v>1383267</v>
      </c>
      <c r="M669" s="26">
        <v>55330680</v>
      </c>
      <c r="N669">
        <v>34328</v>
      </c>
      <c r="O669" s="26">
        <v>4900800.47</v>
      </c>
      <c r="P669" s="5" t="s">
        <v>50</v>
      </c>
      <c r="Q669" s="5" t="s">
        <v>51</v>
      </c>
      <c r="R669">
        <v>3.8</v>
      </c>
      <c r="S669">
        <v>10</v>
      </c>
      <c r="T669">
        <f t="shared" si="10"/>
        <v>0</v>
      </c>
    </row>
    <row r="670" spans="1:20">
      <c r="A670" s="4">
        <v>44593</v>
      </c>
      <c r="B670">
        <v>2022</v>
      </c>
      <c r="C670">
        <v>2</v>
      </c>
      <c r="D670" s="5" t="s">
        <v>44</v>
      </c>
      <c r="E670" s="5" t="s">
        <v>82</v>
      </c>
      <c r="F670" s="5" t="s">
        <v>83</v>
      </c>
      <c r="G670" s="5" t="s">
        <v>84</v>
      </c>
      <c r="H670" s="5" t="s">
        <v>74</v>
      </c>
      <c r="I670" s="5" t="s">
        <v>40</v>
      </c>
      <c r="J670" s="5" t="s">
        <v>49</v>
      </c>
      <c r="K670">
        <v>9</v>
      </c>
      <c r="L670">
        <v>673227</v>
      </c>
      <c r="M670" s="26">
        <v>6059043</v>
      </c>
      <c r="N670">
        <v>48759</v>
      </c>
      <c r="O670" s="26">
        <v>807421.11</v>
      </c>
      <c r="P670" s="5" t="s">
        <v>50</v>
      </c>
      <c r="Q670" s="5" t="s">
        <v>51</v>
      </c>
      <c r="R670">
        <v>4</v>
      </c>
      <c r="S670">
        <v>20</v>
      </c>
      <c r="T670">
        <f t="shared" si="10"/>
        <v>0</v>
      </c>
    </row>
    <row r="671" spans="1:20">
      <c r="A671" s="4">
        <v>44609</v>
      </c>
      <c r="B671">
        <v>2022</v>
      </c>
      <c r="C671">
        <v>2</v>
      </c>
      <c r="D671" s="5" t="s">
        <v>35</v>
      </c>
      <c r="E671" s="5" t="s">
        <v>76</v>
      </c>
      <c r="F671" s="5" t="s">
        <v>77</v>
      </c>
      <c r="G671" s="5" t="s">
        <v>78</v>
      </c>
      <c r="H671" s="5" t="s">
        <v>48</v>
      </c>
      <c r="I671" s="5" t="s">
        <v>40</v>
      </c>
      <c r="J671" s="5" t="s">
        <v>49</v>
      </c>
      <c r="K671">
        <v>40</v>
      </c>
      <c r="L671">
        <v>429697</v>
      </c>
      <c r="M671" s="26">
        <v>17187880</v>
      </c>
      <c r="N671">
        <v>34637</v>
      </c>
      <c r="O671" s="26">
        <v>1432092.29</v>
      </c>
      <c r="P671" s="5" t="s">
        <v>42</v>
      </c>
      <c r="Q671" s="5" t="s">
        <v>43</v>
      </c>
      <c r="R671">
        <v>3.6</v>
      </c>
      <c r="S671">
        <v>3</v>
      </c>
      <c r="T671">
        <f t="shared" si="10"/>
        <v>1</v>
      </c>
    </row>
    <row r="672" spans="1:20">
      <c r="A672" s="4">
        <v>44608</v>
      </c>
      <c r="B672">
        <v>2022</v>
      </c>
      <c r="C672">
        <v>2</v>
      </c>
      <c r="D672" s="5" t="s">
        <v>44</v>
      </c>
      <c r="E672" s="5" t="s">
        <v>82</v>
      </c>
      <c r="F672" s="5" t="s">
        <v>83</v>
      </c>
      <c r="G672" s="5" t="s">
        <v>84</v>
      </c>
      <c r="H672" s="5" t="s">
        <v>52</v>
      </c>
      <c r="I672" s="5" t="s">
        <v>53</v>
      </c>
      <c r="J672" s="5" t="s">
        <v>41</v>
      </c>
      <c r="K672">
        <v>19</v>
      </c>
      <c r="L672">
        <v>967656</v>
      </c>
      <c r="M672" s="26">
        <v>18385464</v>
      </c>
      <c r="N672">
        <v>17869</v>
      </c>
      <c r="O672" s="26">
        <v>2146951.5499999998</v>
      </c>
      <c r="P672" s="5" t="s">
        <v>42</v>
      </c>
      <c r="Q672" s="5" t="s">
        <v>75</v>
      </c>
      <c r="R672">
        <v>4.7</v>
      </c>
      <c r="S672">
        <v>19</v>
      </c>
      <c r="T672">
        <f t="shared" si="10"/>
        <v>1</v>
      </c>
    </row>
    <row r="673" spans="1:20">
      <c r="A673" s="4">
        <v>44606</v>
      </c>
      <c r="B673">
        <v>2022</v>
      </c>
      <c r="C673">
        <v>2</v>
      </c>
      <c r="D673" s="5" t="s">
        <v>35</v>
      </c>
      <c r="E673" s="5" t="s">
        <v>76</v>
      </c>
      <c r="F673" s="5" t="s">
        <v>77</v>
      </c>
      <c r="G673" s="5" t="s">
        <v>78</v>
      </c>
      <c r="H673" s="5" t="s">
        <v>73</v>
      </c>
      <c r="I673" s="5" t="s">
        <v>40</v>
      </c>
      <c r="J673" s="5" t="s">
        <v>49</v>
      </c>
      <c r="K673">
        <v>25</v>
      </c>
      <c r="L673">
        <v>743272</v>
      </c>
      <c r="M673" s="26">
        <v>18581800</v>
      </c>
      <c r="N673">
        <v>24627</v>
      </c>
      <c r="O673" s="26">
        <v>2941791.58</v>
      </c>
      <c r="P673" s="5" t="s">
        <v>50</v>
      </c>
      <c r="Q673" s="5" t="s">
        <v>51</v>
      </c>
      <c r="R673">
        <v>4.5999999999999996</v>
      </c>
      <c r="S673">
        <v>10</v>
      </c>
      <c r="T673">
        <f t="shared" si="10"/>
        <v>0</v>
      </c>
    </row>
    <row r="674" spans="1:20">
      <c r="A674" s="4">
        <v>44596</v>
      </c>
      <c r="B674">
        <v>2022</v>
      </c>
      <c r="C674">
        <v>2</v>
      </c>
      <c r="D674" s="5" t="s">
        <v>44</v>
      </c>
      <c r="E674" s="5" t="s">
        <v>82</v>
      </c>
      <c r="F674" s="5" t="s">
        <v>83</v>
      </c>
      <c r="G674" s="5" t="s">
        <v>84</v>
      </c>
      <c r="H674" s="5" t="s">
        <v>80</v>
      </c>
      <c r="I674" s="5" t="s">
        <v>81</v>
      </c>
      <c r="J674" s="5" t="s">
        <v>41</v>
      </c>
      <c r="K674">
        <v>40</v>
      </c>
      <c r="L674">
        <v>577216</v>
      </c>
      <c r="M674" s="26">
        <v>23088640</v>
      </c>
      <c r="N674">
        <v>43327</v>
      </c>
      <c r="O674" s="26">
        <v>2538903.2400000002</v>
      </c>
      <c r="P674" s="5" t="s">
        <v>42</v>
      </c>
      <c r="Q674" s="5" t="s">
        <v>43</v>
      </c>
      <c r="R674">
        <v>4.3</v>
      </c>
      <c r="S674">
        <v>16</v>
      </c>
      <c r="T674">
        <f t="shared" si="10"/>
        <v>1</v>
      </c>
    </row>
    <row r="675" spans="1:20">
      <c r="A675" s="4">
        <v>44612</v>
      </c>
      <c r="B675">
        <v>2022</v>
      </c>
      <c r="C675">
        <v>2</v>
      </c>
      <c r="D675" s="5" t="s">
        <v>35</v>
      </c>
      <c r="E675" s="5" t="s">
        <v>60</v>
      </c>
      <c r="F675" s="5" t="s">
        <v>61</v>
      </c>
      <c r="G675" s="5" t="s">
        <v>62</v>
      </c>
      <c r="H675" s="5" t="s">
        <v>85</v>
      </c>
      <c r="I675" s="5" t="s">
        <v>58</v>
      </c>
      <c r="J675" s="5" t="s">
        <v>49</v>
      </c>
      <c r="K675">
        <v>11</v>
      </c>
      <c r="L675">
        <v>961585</v>
      </c>
      <c r="M675" s="26">
        <v>10577435</v>
      </c>
      <c r="N675">
        <v>38883</v>
      </c>
      <c r="O675" s="26">
        <v>1350127.4</v>
      </c>
      <c r="P675" s="5" t="s">
        <v>42</v>
      </c>
      <c r="Q675" s="5" t="s">
        <v>75</v>
      </c>
      <c r="R675">
        <v>3.7</v>
      </c>
      <c r="S675">
        <v>14</v>
      </c>
      <c r="T675">
        <f t="shared" si="10"/>
        <v>1</v>
      </c>
    </row>
    <row r="676" spans="1:20">
      <c r="A676" s="4">
        <v>44614</v>
      </c>
      <c r="B676">
        <v>2022</v>
      </c>
      <c r="C676">
        <v>2</v>
      </c>
      <c r="D676" s="5" t="s">
        <v>66</v>
      </c>
      <c r="E676" s="5" t="s">
        <v>67</v>
      </c>
      <c r="F676" s="5" t="s">
        <v>68</v>
      </c>
      <c r="G676" s="5" t="s">
        <v>69</v>
      </c>
      <c r="H676" s="5" t="s">
        <v>63</v>
      </c>
      <c r="I676" s="5" t="s">
        <v>64</v>
      </c>
      <c r="J676" s="5" t="s">
        <v>41</v>
      </c>
      <c r="K676">
        <v>17</v>
      </c>
      <c r="L676">
        <v>772916</v>
      </c>
      <c r="M676" s="26">
        <v>13139572</v>
      </c>
      <c r="N676">
        <v>49565</v>
      </c>
      <c r="O676" s="26">
        <v>1568533.27</v>
      </c>
      <c r="P676" s="5" t="s">
        <v>42</v>
      </c>
      <c r="Q676" s="5" t="s">
        <v>51</v>
      </c>
      <c r="R676">
        <v>4.0999999999999996</v>
      </c>
      <c r="S676">
        <v>18</v>
      </c>
      <c r="T676">
        <f t="shared" si="10"/>
        <v>1</v>
      </c>
    </row>
    <row r="677" spans="1:20">
      <c r="A677" s="4">
        <v>44612</v>
      </c>
      <c r="B677">
        <v>2022</v>
      </c>
      <c r="C677">
        <v>2</v>
      </c>
      <c r="D677" s="5" t="s">
        <v>44</v>
      </c>
      <c r="E677" s="5" t="s">
        <v>45</v>
      </c>
      <c r="F677" s="5" t="s">
        <v>46</v>
      </c>
      <c r="G677" s="5" t="s">
        <v>47</v>
      </c>
      <c r="H677" s="5" t="s">
        <v>39</v>
      </c>
      <c r="I677" s="5" t="s">
        <v>40</v>
      </c>
      <c r="J677" s="5" t="s">
        <v>41</v>
      </c>
      <c r="K677">
        <v>5</v>
      </c>
      <c r="L677">
        <v>565556</v>
      </c>
      <c r="M677" s="26">
        <v>2827780</v>
      </c>
      <c r="N677">
        <v>37022</v>
      </c>
      <c r="O677" s="26">
        <v>313398.14</v>
      </c>
      <c r="P677" s="5" t="s">
        <v>42</v>
      </c>
      <c r="Q677" s="5" t="s">
        <v>75</v>
      </c>
      <c r="R677">
        <v>3.7</v>
      </c>
      <c r="S677">
        <v>5</v>
      </c>
      <c r="T677">
        <f t="shared" si="10"/>
        <v>1</v>
      </c>
    </row>
    <row r="678" spans="1:20">
      <c r="A678" s="4">
        <v>44620</v>
      </c>
      <c r="B678">
        <v>2022</v>
      </c>
      <c r="C678">
        <v>2</v>
      </c>
      <c r="D678" s="5" t="s">
        <v>54</v>
      </c>
      <c r="E678" s="5" t="s">
        <v>55</v>
      </c>
      <c r="F678" s="5" t="s">
        <v>55</v>
      </c>
      <c r="G678" s="5" t="s">
        <v>56</v>
      </c>
      <c r="H678" s="5" t="s">
        <v>85</v>
      </c>
      <c r="I678" s="5" t="s">
        <v>58</v>
      </c>
      <c r="J678" s="5" t="s">
        <v>49</v>
      </c>
      <c r="K678">
        <v>59</v>
      </c>
      <c r="L678">
        <v>972599</v>
      </c>
      <c r="M678" s="26">
        <v>57383341</v>
      </c>
      <c r="N678">
        <v>16797</v>
      </c>
      <c r="O678" s="26">
        <v>5389609.9000000004</v>
      </c>
      <c r="P678" s="5" t="s">
        <v>42</v>
      </c>
      <c r="Q678" s="5" t="s">
        <v>51</v>
      </c>
      <c r="R678">
        <v>3.7</v>
      </c>
      <c r="S678">
        <v>2</v>
      </c>
      <c r="T678">
        <f t="shared" si="10"/>
        <v>1</v>
      </c>
    </row>
    <row r="679" spans="1:20">
      <c r="A679" s="4">
        <v>44603</v>
      </c>
      <c r="B679">
        <v>2022</v>
      </c>
      <c r="C679">
        <v>2</v>
      </c>
      <c r="D679" s="5" t="s">
        <v>66</v>
      </c>
      <c r="E679" s="5" t="s">
        <v>67</v>
      </c>
      <c r="F679" s="5" t="s">
        <v>68</v>
      </c>
      <c r="G679" s="5" t="s">
        <v>69</v>
      </c>
      <c r="H679" s="5" t="s">
        <v>63</v>
      </c>
      <c r="I679" s="5" t="s">
        <v>64</v>
      </c>
      <c r="J679" s="5" t="s">
        <v>41</v>
      </c>
      <c r="K679">
        <v>15</v>
      </c>
      <c r="L679">
        <v>739556</v>
      </c>
      <c r="M679" s="26">
        <v>11093340</v>
      </c>
      <c r="N679">
        <v>42984</v>
      </c>
      <c r="O679" s="26">
        <v>1005907.49</v>
      </c>
      <c r="P679" s="5" t="s">
        <v>50</v>
      </c>
      <c r="Q679" s="5" t="s">
        <v>75</v>
      </c>
      <c r="R679">
        <v>4</v>
      </c>
      <c r="S679">
        <v>17</v>
      </c>
      <c r="T679">
        <f t="shared" si="10"/>
        <v>0</v>
      </c>
    </row>
    <row r="680" spans="1:20">
      <c r="A680" s="4">
        <v>44612</v>
      </c>
      <c r="B680">
        <v>2022</v>
      </c>
      <c r="C680">
        <v>2</v>
      </c>
      <c r="D680" s="5" t="s">
        <v>35</v>
      </c>
      <c r="E680" s="5" t="s">
        <v>76</v>
      </c>
      <c r="F680" s="5" t="s">
        <v>77</v>
      </c>
      <c r="G680" s="5" t="s">
        <v>78</v>
      </c>
      <c r="H680" s="5" t="s">
        <v>63</v>
      </c>
      <c r="I680" s="5" t="s">
        <v>64</v>
      </c>
      <c r="J680" s="5" t="s">
        <v>41</v>
      </c>
      <c r="K680">
        <v>44</v>
      </c>
      <c r="L680">
        <v>775887</v>
      </c>
      <c r="M680" s="26">
        <v>34139028</v>
      </c>
      <c r="N680">
        <v>7567</v>
      </c>
      <c r="O680" s="26">
        <v>4689846.82</v>
      </c>
      <c r="P680" s="5" t="s">
        <v>50</v>
      </c>
      <c r="Q680" s="5" t="s">
        <v>75</v>
      </c>
      <c r="R680">
        <v>4</v>
      </c>
      <c r="S680">
        <v>18</v>
      </c>
      <c r="T680">
        <f t="shared" si="10"/>
        <v>0</v>
      </c>
    </row>
    <row r="681" spans="1:20">
      <c r="A681" s="4">
        <v>44611</v>
      </c>
      <c r="B681">
        <v>2022</v>
      </c>
      <c r="C681">
        <v>2</v>
      </c>
      <c r="D681" s="5" t="s">
        <v>35</v>
      </c>
      <c r="E681" s="5" t="s">
        <v>76</v>
      </c>
      <c r="F681" s="5" t="s">
        <v>77</v>
      </c>
      <c r="G681" s="5" t="s">
        <v>78</v>
      </c>
      <c r="H681" s="5" t="s">
        <v>85</v>
      </c>
      <c r="I681" s="5" t="s">
        <v>58</v>
      </c>
      <c r="J681" s="5" t="s">
        <v>49</v>
      </c>
      <c r="K681">
        <v>46</v>
      </c>
      <c r="L681">
        <v>1008399</v>
      </c>
      <c r="M681" s="26">
        <v>46386354</v>
      </c>
      <c r="N681">
        <v>32775</v>
      </c>
      <c r="O681" s="26">
        <v>4121975.47</v>
      </c>
      <c r="P681" s="5" t="s">
        <v>42</v>
      </c>
      <c r="Q681" s="5" t="s">
        <v>75</v>
      </c>
      <c r="R681">
        <v>3.5</v>
      </c>
      <c r="S681">
        <v>18</v>
      </c>
      <c r="T681">
        <f t="shared" si="10"/>
        <v>1</v>
      </c>
    </row>
    <row r="682" spans="1:20">
      <c r="A682" s="4">
        <v>44603</v>
      </c>
      <c r="B682">
        <v>2022</v>
      </c>
      <c r="C682">
        <v>2</v>
      </c>
      <c r="D682" s="5" t="s">
        <v>44</v>
      </c>
      <c r="E682" s="5" t="s">
        <v>82</v>
      </c>
      <c r="F682" s="5" t="s">
        <v>83</v>
      </c>
      <c r="G682" s="5" t="s">
        <v>84</v>
      </c>
      <c r="H682" s="5" t="s">
        <v>79</v>
      </c>
      <c r="I682" s="5" t="s">
        <v>58</v>
      </c>
      <c r="J682" s="5" t="s">
        <v>49</v>
      </c>
      <c r="K682">
        <v>39</v>
      </c>
      <c r="L682">
        <v>895295</v>
      </c>
      <c r="M682" s="26">
        <v>34916505</v>
      </c>
      <c r="N682">
        <v>31494</v>
      </c>
      <c r="O682" s="26">
        <v>2970787.77</v>
      </c>
      <c r="P682" s="5" t="s">
        <v>50</v>
      </c>
      <c r="Q682" s="5" t="s">
        <v>43</v>
      </c>
      <c r="R682">
        <v>4.8</v>
      </c>
      <c r="S682">
        <v>21</v>
      </c>
      <c r="T682">
        <f t="shared" si="10"/>
        <v>0</v>
      </c>
    </row>
    <row r="683" spans="1:20">
      <c r="A683" s="4">
        <v>44617</v>
      </c>
      <c r="B683">
        <v>2022</v>
      </c>
      <c r="C683">
        <v>2</v>
      </c>
      <c r="D683" s="5" t="s">
        <v>35</v>
      </c>
      <c r="E683" s="5" t="s">
        <v>60</v>
      </c>
      <c r="F683" s="5" t="s">
        <v>61</v>
      </c>
      <c r="G683" s="5" t="s">
        <v>62</v>
      </c>
      <c r="H683" s="5" t="s">
        <v>86</v>
      </c>
      <c r="I683" s="5" t="s">
        <v>40</v>
      </c>
      <c r="J683" s="5" t="s">
        <v>41</v>
      </c>
      <c r="K683">
        <v>34</v>
      </c>
      <c r="L683">
        <v>582551</v>
      </c>
      <c r="M683" s="26">
        <v>19806734</v>
      </c>
      <c r="N683">
        <v>30144</v>
      </c>
      <c r="O683" s="26">
        <v>2328201.96</v>
      </c>
      <c r="P683" s="5" t="s">
        <v>42</v>
      </c>
      <c r="Q683" s="5" t="s">
        <v>51</v>
      </c>
      <c r="R683">
        <v>3.7</v>
      </c>
      <c r="S683">
        <v>7</v>
      </c>
      <c r="T683">
        <f t="shared" si="10"/>
        <v>1</v>
      </c>
    </row>
    <row r="684" spans="1:20">
      <c r="A684" s="4">
        <v>44602</v>
      </c>
      <c r="B684">
        <v>2022</v>
      </c>
      <c r="C684">
        <v>2</v>
      </c>
      <c r="D684" s="5" t="s">
        <v>44</v>
      </c>
      <c r="E684" s="5" t="s">
        <v>82</v>
      </c>
      <c r="F684" s="5" t="s">
        <v>83</v>
      </c>
      <c r="G684" s="5" t="s">
        <v>84</v>
      </c>
      <c r="H684" s="5" t="s">
        <v>63</v>
      </c>
      <c r="I684" s="5" t="s">
        <v>64</v>
      </c>
      <c r="J684" s="5" t="s">
        <v>41</v>
      </c>
      <c r="K684">
        <v>60</v>
      </c>
      <c r="L684">
        <v>756891</v>
      </c>
      <c r="M684" s="26">
        <v>45413460</v>
      </c>
      <c r="N684">
        <v>24286</v>
      </c>
      <c r="O684" s="26">
        <v>6331541.1600000001</v>
      </c>
      <c r="P684" s="5" t="s">
        <v>50</v>
      </c>
      <c r="Q684" s="5" t="s">
        <v>43</v>
      </c>
      <c r="R684">
        <v>4.5</v>
      </c>
      <c r="S684">
        <v>6</v>
      </c>
      <c r="T684">
        <f t="shared" si="10"/>
        <v>0</v>
      </c>
    </row>
    <row r="685" spans="1:20">
      <c r="A685" s="4">
        <v>44606</v>
      </c>
      <c r="B685">
        <v>2022</v>
      </c>
      <c r="C685">
        <v>2</v>
      </c>
      <c r="D685" s="5" t="s">
        <v>35</v>
      </c>
      <c r="E685" s="5" t="s">
        <v>76</v>
      </c>
      <c r="F685" s="5" t="s">
        <v>77</v>
      </c>
      <c r="G685" s="5" t="s">
        <v>78</v>
      </c>
      <c r="H685" s="5" t="s">
        <v>57</v>
      </c>
      <c r="I685" s="5" t="s">
        <v>58</v>
      </c>
      <c r="J685" s="5" t="s">
        <v>59</v>
      </c>
      <c r="K685">
        <v>60</v>
      </c>
      <c r="L685">
        <v>1412170</v>
      </c>
      <c r="M685" s="26">
        <v>84730200</v>
      </c>
      <c r="N685">
        <v>11824</v>
      </c>
      <c r="O685" s="26">
        <v>12357434</v>
      </c>
      <c r="P685" s="5" t="s">
        <v>50</v>
      </c>
      <c r="Q685" s="5" t="s">
        <v>43</v>
      </c>
      <c r="R685">
        <v>4.5999999999999996</v>
      </c>
      <c r="S685">
        <v>19</v>
      </c>
      <c r="T685">
        <f t="shared" si="10"/>
        <v>0</v>
      </c>
    </row>
    <row r="686" spans="1:20">
      <c r="A686" s="4">
        <v>44618</v>
      </c>
      <c r="B686">
        <v>2022</v>
      </c>
      <c r="C686">
        <v>2</v>
      </c>
      <c r="D686" s="5" t="s">
        <v>35</v>
      </c>
      <c r="E686" s="5" t="s">
        <v>76</v>
      </c>
      <c r="F686" s="5" t="s">
        <v>77</v>
      </c>
      <c r="G686" s="5" t="s">
        <v>78</v>
      </c>
      <c r="H686" s="5" t="s">
        <v>86</v>
      </c>
      <c r="I686" s="5" t="s">
        <v>40</v>
      </c>
      <c r="J686" s="5" t="s">
        <v>41</v>
      </c>
      <c r="K686">
        <v>47</v>
      </c>
      <c r="L686">
        <v>628268</v>
      </c>
      <c r="M686" s="26">
        <v>29528596</v>
      </c>
      <c r="N686">
        <v>41972</v>
      </c>
      <c r="O686" s="26">
        <v>3926316.68</v>
      </c>
      <c r="P686" s="5" t="s">
        <v>42</v>
      </c>
      <c r="Q686" s="5" t="s">
        <v>75</v>
      </c>
      <c r="R686">
        <v>4.5999999999999996</v>
      </c>
      <c r="S686">
        <v>16</v>
      </c>
      <c r="T686">
        <f t="shared" si="10"/>
        <v>1</v>
      </c>
    </row>
    <row r="687" spans="1:20">
      <c r="A687" s="4">
        <v>44612</v>
      </c>
      <c r="B687">
        <v>2022</v>
      </c>
      <c r="C687">
        <v>2</v>
      </c>
      <c r="D687" s="5" t="s">
        <v>44</v>
      </c>
      <c r="E687" s="5" t="s">
        <v>82</v>
      </c>
      <c r="F687" s="5" t="s">
        <v>83</v>
      </c>
      <c r="G687" s="5" t="s">
        <v>84</v>
      </c>
      <c r="H687" s="5" t="s">
        <v>80</v>
      </c>
      <c r="I687" s="5" t="s">
        <v>81</v>
      </c>
      <c r="J687" s="5" t="s">
        <v>41</v>
      </c>
      <c r="K687">
        <v>50</v>
      </c>
      <c r="L687">
        <v>523837</v>
      </c>
      <c r="M687" s="26">
        <v>26191850</v>
      </c>
      <c r="N687">
        <v>48503</v>
      </c>
      <c r="O687" s="26">
        <v>3942670.9</v>
      </c>
      <c r="P687" s="5" t="s">
        <v>50</v>
      </c>
      <c r="Q687" s="5" t="s">
        <v>75</v>
      </c>
      <c r="R687">
        <v>4.5999999999999996</v>
      </c>
      <c r="S687">
        <v>4</v>
      </c>
      <c r="T687">
        <f t="shared" si="10"/>
        <v>0</v>
      </c>
    </row>
    <row r="688" spans="1:20">
      <c r="A688" s="4">
        <v>44619</v>
      </c>
      <c r="B688">
        <v>2022</v>
      </c>
      <c r="C688">
        <v>2</v>
      </c>
      <c r="D688" s="5" t="s">
        <v>35</v>
      </c>
      <c r="E688" s="5" t="s">
        <v>36</v>
      </c>
      <c r="F688" s="5" t="s">
        <v>37</v>
      </c>
      <c r="G688" s="5" t="s">
        <v>38</v>
      </c>
      <c r="H688" s="5" t="s">
        <v>80</v>
      </c>
      <c r="I688" s="5" t="s">
        <v>81</v>
      </c>
      <c r="J688" s="5" t="s">
        <v>41</v>
      </c>
      <c r="K688">
        <v>16</v>
      </c>
      <c r="L688">
        <v>532554</v>
      </c>
      <c r="M688" s="26">
        <v>8520864</v>
      </c>
      <c r="N688">
        <v>17289</v>
      </c>
      <c r="O688" s="26">
        <v>1295694.49</v>
      </c>
      <c r="P688" s="5" t="s">
        <v>50</v>
      </c>
      <c r="Q688" s="5" t="s">
        <v>51</v>
      </c>
      <c r="R688">
        <v>4.4000000000000004</v>
      </c>
      <c r="S688">
        <v>21</v>
      </c>
      <c r="T688">
        <f t="shared" si="10"/>
        <v>0</v>
      </c>
    </row>
    <row r="689" spans="1:20">
      <c r="A689" s="4">
        <v>44600</v>
      </c>
      <c r="B689">
        <v>2022</v>
      </c>
      <c r="C689">
        <v>2</v>
      </c>
      <c r="D689" s="5" t="s">
        <v>54</v>
      </c>
      <c r="E689" s="5" t="s">
        <v>55</v>
      </c>
      <c r="F689" s="5" t="s">
        <v>55</v>
      </c>
      <c r="G689" s="5" t="s">
        <v>56</v>
      </c>
      <c r="H689" s="5" t="s">
        <v>80</v>
      </c>
      <c r="I689" s="5" t="s">
        <v>81</v>
      </c>
      <c r="J689" s="5" t="s">
        <v>41</v>
      </c>
      <c r="K689">
        <v>31</v>
      </c>
      <c r="L689">
        <v>552382</v>
      </c>
      <c r="M689" s="26">
        <v>17123842</v>
      </c>
      <c r="N689">
        <v>46108</v>
      </c>
      <c r="O689" s="26">
        <v>1452014.43</v>
      </c>
      <c r="P689" s="5" t="s">
        <v>50</v>
      </c>
      <c r="Q689" s="5" t="s">
        <v>51</v>
      </c>
      <c r="R689">
        <v>3.7</v>
      </c>
      <c r="S689">
        <v>12</v>
      </c>
      <c r="T689">
        <f t="shared" si="10"/>
        <v>0</v>
      </c>
    </row>
    <row r="690" spans="1:20">
      <c r="A690" s="4">
        <v>44602</v>
      </c>
      <c r="B690">
        <v>2022</v>
      </c>
      <c r="C690">
        <v>2</v>
      </c>
      <c r="D690" s="5" t="s">
        <v>66</v>
      </c>
      <c r="E690" s="5" t="s">
        <v>67</v>
      </c>
      <c r="F690" s="5" t="s">
        <v>68</v>
      </c>
      <c r="G690" s="5" t="s">
        <v>69</v>
      </c>
      <c r="H690" s="5" t="s">
        <v>86</v>
      </c>
      <c r="I690" s="5" t="s">
        <v>40</v>
      </c>
      <c r="J690" s="5" t="s">
        <v>41</v>
      </c>
      <c r="K690">
        <v>7</v>
      </c>
      <c r="L690">
        <v>629311</v>
      </c>
      <c r="M690" s="26">
        <v>4405177</v>
      </c>
      <c r="N690">
        <v>38775</v>
      </c>
      <c r="O690" s="26">
        <v>570007.44999999995</v>
      </c>
      <c r="P690" s="5" t="s">
        <v>42</v>
      </c>
      <c r="Q690" s="5" t="s">
        <v>75</v>
      </c>
      <c r="R690">
        <v>4.9000000000000004</v>
      </c>
      <c r="S690">
        <v>12</v>
      </c>
      <c r="T690">
        <f t="shared" si="10"/>
        <v>1</v>
      </c>
    </row>
    <row r="691" spans="1:20">
      <c r="A691" s="4">
        <v>44598</v>
      </c>
      <c r="B691">
        <v>2022</v>
      </c>
      <c r="C691">
        <v>2</v>
      </c>
      <c r="D691" s="5" t="s">
        <v>66</v>
      </c>
      <c r="E691" s="5" t="s">
        <v>67</v>
      </c>
      <c r="F691" s="5" t="s">
        <v>68</v>
      </c>
      <c r="G691" s="5" t="s">
        <v>69</v>
      </c>
      <c r="H691" s="5" t="s">
        <v>48</v>
      </c>
      <c r="I691" s="5" t="s">
        <v>40</v>
      </c>
      <c r="J691" s="5" t="s">
        <v>49</v>
      </c>
      <c r="K691">
        <v>36</v>
      </c>
      <c r="L691">
        <v>451028</v>
      </c>
      <c r="M691" s="26">
        <v>16237008</v>
      </c>
      <c r="N691">
        <v>28283</v>
      </c>
      <c r="O691" s="26">
        <v>2239239.37</v>
      </c>
      <c r="P691" s="5" t="s">
        <v>42</v>
      </c>
      <c r="Q691" s="5" t="s">
        <v>75</v>
      </c>
      <c r="R691">
        <v>4.5</v>
      </c>
      <c r="S691">
        <v>18</v>
      </c>
      <c r="T691">
        <f t="shared" si="10"/>
        <v>1</v>
      </c>
    </row>
    <row r="692" spans="1:20">
      <c r="A692" s="4">
        <v>44608</v>
      </c>
      <c r="B692">
        <v>2022</v>
      </c>
      <c r="C692">
        <v>2</v>
      </c>
      <c r="D692" s="5" t="s">
        <v>54</v>
      </c>
      <c r="E692" s="5" t="s">
        <v>70</v>
      </c>
      <c r="F692" s="5" t="s">
        <v>71</v>
      </c>
      <c r="G692" s="5" t="s">
        <v>72</v>
      </c>
      <c r="H692" s="5" t="s">
        <v>63</v>
      </c>
      <c r="I692" s="5" t="s">
        <v>64</v>
      </c>
      <c r="J692" s="5" t="s">
        <v>41</v>
      </c>
      <c r="K692">
        <v>41</v>
      </c>
      <c r="L692">
        <v>733145</v>
      </c>
      <c r="M692" s="26">
        <v>30058945</v>
      </c>
      <c r="N692">
        <v>7037</v>
      </c>
      <c r="O692" s="26">
        <v>3328235.58</v>
      </c>
      <c r="P692" s="5" t="s">
        <v>50</v>
      </c>
      <c r="Q692" s="5" t="s">
        <v>43</v>
      </c>
      <c r="R692">
        <v>4.7</v>
      </c>
      <c r="S692">
        <v>21</v>
      </c>
      <c r="T692">
        <f t="shared" si="10"/>
        <v>0</v>
      </c>
    </row>
    <row r="693" spans="1:20">
      <c r="A693" s="4">
        <v>44620</v>
      </c>
      <c r="B693">
        <v>2022</v>
      </c>
      <c r="C693">
        <v>2</v>
      </c>
      <c r="D693" s="5" t="s">
        <v>35</v>
      </c>
      <c r="E693" s="5" t="s">
        <v>60</v>
      </c>
      <c r="F693" s="5" t="s">
        <v>61</v>
      </c>
      <c r="G693" s="5" t="s">
        <v>62</v>
      </c>
      <c r="H693" s="5" t="s">
        <v>86</v>
      </c>
      <c r="I693" s="5" t="s">
        <v>40</v>
      </c>
      <c r="J693" s="5" t="s">
        <v>41</v>
      </c>
      <c r="K693">
        <v>19</v>
      </c>
      <c r="L693">
        <v>603706</v>
      </c>
      <c r="M693" s="26">
        <v>11470414</v>
      </c>
      <c r="N693">
        <v>8907</v>
      </c>
      <c r="O693" s="26">
        <v>1684301.44</v>
      </c>
      <c r="P693" s="5" t="s">
        <v>50</v>
      </c>
      <c r="Q693" s="5" t="s">
        <v>43</v>
      </c>
      <c r="R693">
        <v>4.2</v>
      </c>
      <c r="S693">
        <v>20</v>
      </c>
      <c r="T693">
        <f t="shared" si="10"/>
        <v>0</v>
      </c>
    </row>
    <row r="694" spans="1:20">
      <c r="A694" s="4">
        <v>44615</v>
      </c>
      <c r="B694">
        <v>2022</v>
      </c>
      <c r="C694">
        <v>2</v>
      </c>
      <c r="D694" s="5" t="s">
        <v>54</v>
      </c>
      <c r="E694" s="5" t="s">
        <v>55</v>
      </c>
      <c r="F694" s="5" t="s">
        <v>55</v>
      </c>
      <c r="G694" s="5" t="s">
        <v>56</v>
      </c>
      <c r="H694" s="5" t="s">
        <v>85</v>
      </c>
      <c r="I694" s="5" t="s">
        <v>58</v>
      </c>
      <c r="J694" s="5" t="s">
        <v>49</v>
      </c>
      <c r="K694">
        <v>7</v>
      </c>
      <c r="L694">
        <v>987123</v>
      </c>
      <c r="M694" s="26">
        <v>6909861</v>
      </c>
      <c r="N694">
        <v>45656</v>
      </c>
      <c r="O694" s="26">
        <v>771979.4</v>
      </c>
      <c r="P694" s="5" t="s">
        <v>42</v>
      </c>
      <c r="Q694" s="5" t="s">
        <v>75</v>
      </c>
      <c r="R694">
        <v>4.8</v>
      </c>
      <c r="S694">
        <v>9</v>
      </c>
      <c r="T694">
        <f t="shared" si="10"/>
        <v>1</v>
      </c>
    </row>
    <row r="695" spans="1:20">
      <c r="A695" s="4">
        <v>44603</v>
      </c>
      <c r="B695">
        <v>2022</v>
      </c>
      <c r="C695">
        <v>2</v>
      </c>
      <c r="D695" s="5" t="s">
        <v>66</v>
      </c>
      <c r="E695" s="5" t="s">
        <v>67</v>
      </c>
      <c r="F695" s="5" t="s">
        <v>68</v>
      </c>
      <c r="G695" s="5" t="s">
        <v>69</v>
      </c>
      <c r="H695" s="5" t="s">
        <v>52</v>
      </c>
      <c r="I695" s="5" t="s">
        <v>53</v>
      </c>
      <c r="J695" s="5" t="s">
        <v>41</v>
      </c>
      <c r="K695">
        <v>18</v>
      </c>
      <c r="L695">
        <v>926711</v>
      </c>
      <c r="M695" s="26">
        <v>16680798</v>
      </c>
      <c r="N695">
        <v>47907</v>
      </c>
      <c r="O695" s="26">
        <v>1853621.05</v>
      </c>
      <c r="P695" s="5" t="s">
        <v>50</v>
      </c>
      <c r="Q695" s="5" t="s">
        <v>51</v>
      </c>
      <c r="R695">
        <v>3.6</v>
      </c>
      <c r="S695">
        <v>13</v>
      </c>
      <c r="T695">
        <f t="shared" si="10"/>
        <v>0</v>
      </c>
    </row>
    <row r="696" spans="1:20">
      <c r="A696" s="4">
        <v>44602</v>
      </c>
      <c r="B696">
        <v>2022</v>
      </c>
      <c r="C696">
        <v>2</v>
      </c>
      <c r="D696" s="5" t="s">
        <v>54</v>
      </c>
      <c r="E696" s="5" t="s">
        <v>70</v>
      </c>
      <c r="F696" s="5" t="s">
        <v>71</v>
      </c>
      <c r="G696" s="5" t="s">
        <v>72</v>
      </c>
      <c r="H696" s="5" t="s">
        <v>65</v>
      </c>
      <c r="I696" s="5" t="s">
        <v>53</v>
      </c>
      <c r="J696" s="5" t="s">
        <v>49</v>
      </c>
      <c r="K696">
        <v>7</v>
      </c>
      <c r="L696">
        <v>1262327</v>
      </c>
      <c r="M696" s="26">
        <v>8836289</v>
      </c>
      <c r="N696">
        <v>33015</v>
      </c>
      <c r="O696" s="26">
        <v>1125306.53</v>
      </c>
      <c r="P696" s="5" t="s">
        <v>42</v>
      </c>
      <c r="Q696" s="5" t="s">
        <v>43</v>
      </c>
      <c r="R696">
        <v>4.5</v>
      </c>
      <c r="S696">
        <v>7</v>
      </c>
      <c r="T696">
        <f t="shared" si="10"/>
        <v>1</v>
      </c>
    </row>
    <row r="697" spans="1:20">
      <c r="A697" s="4">
        <v>44593</v>
      </c>
      <c r="B697">
        <v>2022</v>
      </c>
      <c r="C697">
        <v>2</v>
      </c>
      <c r="D697" s="5" t="s">
        <v>35</v>
      </c>
      <c r="E697" s="5" t="s">
        <v>36</v>
      </c>
      <c r="F697" s="5" t="s">
        <v>37</v>
      </c>
      <c r="G697" s="5" t="s">
        <v>38</v>
      </c>
      <c r="H697" s="5" t="s">
        <v>57</v>
      </c>
      <c r="I697" s="5" t="s">
        <v>58</v>
      </c>
      <c r="J697" s="5" t="s">
        <v>59</v>
      </c>
      <c r="K697">
        <v>41</v>
      </c>
      <c r="L697">
        <v>1378792</v>
      </c>
      <c r="M697" s="26">
        <v>56530472</v>
      </c>
      <c r="N697">
        <v>48105</v>
      </c>
      <c r="O697" s="26">
        <v>8239939.8700000001</v>
      </c>
      <c r="P697" s="5" t="s">
        <v>50</v>
      </c>
      <c r="Q697" s="5" t="s">
        <v>43</v>
      </c>
      <c r="R697">
        <v>3.8</v>
      </c>
      <c r="S697">
        <v>9</v>
      </c>
      <c r="T697">
        <f t="shared" si="10"/>
        <v>0</v>
      </c>
    </row>
    <row r="698" spans="1:20">
      <c r="A698" s="4">
        <v>44609</v>
      </c>
      <c r="B698">
        <v>2022</v>
      </c>
      <c r="C698">
        <v>2</v>
      </c>
      <c r="D698" s="5" t="s">
        <v>35</v>
      </c>
      <c r="E698" s="5" t="s">
        <v>60</v>
      </c>
      <c r="F698" s="5" t="s">
        <v>61</v>
      </c>
      <c r="G698" s="5" t="s">
        <v>62</v>
      </c>
      <c r="H698" s="5" t="s">
        <v>73</v>
      </c>
      <c r="I698" s="5" t="s">
        <v>40</v>
      </c>
      <c r="J698" s="5" t="s">
        <v>49</v>
      </c>
      <c r="K698">
        <v>5</v>
      </c>
      <c r="L698">
        <v>718592</v>
      </c>
      <c r="M698" s="26">
        <v>3592960</v>
      </c>
      <c r="N698">
        <v>15440</v>
      </c>
      <c r="O698" s="26">
        <v>445335.08</v>
      </c>
      <c r="P698" s="5" t="s">
        <v>42</v>
      </c>
      <c r="Q698" s="5" t="s">
        <v>51</v>
      </c>
      <c r="R698">
        <v>4.8</v>
      </c>
      <c r="S698">
        <v>7</v>
      </c>
      <c r="T698">
        <f t="shared" si="10"/>
        <v>1</v>
      </c>
    </row>
    <row r="699" spans="1:20">
      <c r="A699" s="4">
        <v>44613</v>
      </c>
      <c r="B699">
        <v>2022</v>
      </c>
      <c r="C699">
        <v>2</v>
      </c>
      <c r="D699" s="5" t="s">
        <v>66</v>
      </c>
      <c r="E699" s="5" t="s">
        <v>67</v>
      </c>
      <c r="F699" s="5" t="s">
        <v>68</v>
      </c>
      <c r="G699" s="5" t="s">
        <v>69</v>
      </c>
      <c r="H699" s="5" t="s">
        <v>85</v>
      </c>
      <c r="I699" s="5" t="s">
        <v>58</v>
      </c>
      <c r="J699" s="5" t="s">
        <v>49</v>
      </c>
      <c r="K699">
        <v>56</v>
      </c>
      <c r="L699">
        <v>1002524</v>
      </c>
      <c r="M699" s="26">
        <v>56141344</v>
      </c>
      <c r="N699">
        <v>24009</v>
      </c>
      <c r="O699" s="26">
        <v>5914286.8499999996</v>
      </c>
      <c r="P699" s="5" t="s">
        <v>50</v>
      </c>
      <c r="Q699" s="5" t="s">
        <v>51</v>
      </c>
      <c r="R699">
        <v>3.7</v>
      </c>
      <c r="S699">
        <v>3</v>
      </c>
      <c r="T699">
        <f t="shared" si="10"/>
        <v>0</v>
      </c>
    </row>
    <row r="700" spans="1:20">
      <c r="A700" s="4">
        <v>44601</v>
      </c>
      <c r="B700">
        <v>2022</v>
      </c>
      <c r="C700">
        <v>2</v>
      </c>
      <c r="D700" s="5" t="s">
        <v>66</v>
      </c>
      <c r="E700" s="5" t="s">
        <v>67</v>
      </c>
      <c r="F700" s="5" t="s">
        <v>68</v>
      </c>
      <c r="G700" s="5" t="s">
        <v>69</v>
      </c>
      <c r="H700" s="5" t="s">
        <v>52</v>
      </c>
      <c r="I700" s="5" t="s">
        <v>53</v>
      </c>
      <c r="J700" s="5" t="s">
        <v>41</v>
      </c>
      <c r="K700">
        <v>40</v>
      </c>
      <c r="L700">
        <v>978672</v>
      </c>
      <c r="M700" s="26">
        <v>39146880</v>
      </c>
      <c r="N700">
        <v>8622</v>
      </c>
      <c r="O700" s="26">
        <v>3462748.22</v>
      </c>
      <c r="P700" s="5" t="s">
        <v>50</v>
      </c>
      <c r="Q700" s="5" t="s">
        <v>51</v>
      </c>
      <c r="R700">
        <v>4</v>
      </c>
      <c r="S700">
        <v>16</v>
      </c>
      <c r="T700">
        <f t="shared" si="10"/>
        <v>0</v>
      </c>
    </row>
    <row r="701" spans="1:20">
      <c r="A701" s="4">
        <v>44620</v>
      </c>
      <c r="B701">
        <v>2022</v>
      </c>
      <c r="C701">
        <v>2</v>
      </c>
      <c r="D701" s="5" t="s">
        <v>35</v>
      </c>
      <c r="E701" s="5" t="s">
        <v>36</v>
      </c>
      <c r="F701" s="5" t="s">
        <v>37</v>
      </c>
      <c r="G701" s="5" t="s">
        <v>38</v>
      </c>
      <c r="H701" s="5" t="s">
        <v>63</v>
      </c>
      <c r="I701" s="5" t="s">
        <v>64</v>
      </c>
      <c r="J701" s="5" t="s">
        <v>41</v>
      </c>
      <c r="K701">
        <v>34</v>
      </c>
      <c r="L701">
        <v>733133</v>
      </c>
      <c r="M701" s="26">
        <v>24926522</v>
      </c>
      <c r="N701">
        <v>13304</v>
      </c>
      <c r="O701" s="26">
        <v>2568781.29</v>
      </c>
      <c r="P701" s="5" t="s">
        <v>50</v>
      </c>
      <c r="Q701" s="5" t="s">
        <v>51</v>
      </c>
      <c r="R701">
        <v>3.7</v>
      </c>
      <c r="S701">
        <v>4</v>
      </c>
      <c r="T701">
        <f t="shared" si="10"/>
        <v>0</v>
      </c>
    </row>
    <row r="702" spans="1:20">
      <c r="A702" s="4">
        <v>44639</v>
      </c>
      <c r="B702">
        <v>2022</v>
      </c>
      <c r="C702">
        <v>3</v>
      </c>
      <c r="D702" s="5" t="s">
        <v>66</v>
      </c>
      <c r="E702" s="5" t="s">
        <v>67</v>
      </c>
      <c r="F702" s="5" t="s">
        <v>68</v>
      </c>
      <c r="G702" s="5" t="s">
        <v>69</v>
      </c>
      <c r="H702" s="5" t="s">
        <v>79</v>
      </c>
      <c r="I702" s="5" t="s">
        <v>58</v>
      </c>
      <c r="J702" s="5" t="s">
        <v>49</v>
      </c>
      <c r="K702">
        <v>37</v>
      </c>
      <c r="L702">
        <v>875617</v>
      </c>
      <c r="M702" s="26">
        <v>32397829</v>
      </c>
      <c r="N702">
        <v>32714</v>
      </c>
      <c r="O702" s="26">
        <v>3514351.7</v>
      </c>
      <c r="P702" s="5" t="s">
        <v>50</v>
      </c>
      <c r="Q702" s="5" t="s">
        <v>51</v>
      </c>
      <c r="R702">
        <v>4.4000000000000004</v>
      </c>
      <c r="S702">
        <v>17</v>
      </c>
      <c r="T702">
        <f t="shared" si="10"/>
        <v>0</v>
      </c>
    </row>
    <row r="703" spans="1:20">
      <c r="A703" s="4">
        <v>44639</v>
      </c>
      <c r="B703">
        <v>2022</v>
      </c>
      <c r="C703">
        <v>3</v>
      </c>
      <c r="D703" s="5" t="s">
        <v>66</v>
      </c>
      <c r="E703" s="5" t="s">
        <v>67</v>
      </c>
      <c r="F703" s="5" t="s">
        <v>68</v>
      </c>
      <c r="G703" s="5" t="s">
        <v>69</v>
      </c>
      <c r="H703" s="5" t="s">
        <v>63</v>
      </c>
      <c r="I703" s="5" t="s">
        <v>64</v>
      </c>
      <c r="J703" s="5" t="s">
        <v>41</v>
      </c>
      <c r="K703">
        <v>53</v>
      </c>
      <c r="L703">
        <v>760275</v>
      </c>
      <c r="M703" s="26">
        <v>40294575</v>
      </c>
      <c r="N703">
        <v>35620</v>
      </c>
      <c r="O703" s="26">
        <v>4003503.32</v>
      </c>
      <c r="P703" s="5" t="s">
        <v>50</v>
      </c>
      <c r="Q703" s="5" t="s">
        <v>75</v>
      </c>
      <c r="R703">
        <v>3.6</v>
      </c>
      <c r="S703">
        <v>10</v>
      </c>
      <c r="T703">
        <f t="shared" si="10"/>
        <v>0</v>
      </c>
    </row>
    <row r="704" spans="1:20">
      <c r="A704" s="4">
        <v>44638</v>
      </c>
      <c r="B704">
        <v>2022</v>
      </c>
      <c r="C704">
        <v>3</v>
      </c>
      <c r="D704" s="5" t="s">
        <v>54</v>
      </c>
      <c r="E704" s="5" t="s">
        <v>55</v>
      </c>
      <c r="F704" s="5" t="s">
        <v>55</v>
      </c>
      <c r="G704" s="5" t="s">
        <v>56</v>
      </c>
      <c r="H704" s="5" t="s">
        <v>48</v>
      </c>
      <c r="I704" s="5" t="s">
        <v>40</v>
      </c>
      <c r="J704" s="5" t="s">
        <v>49</v>
      </c>
      <c r="K704">
        <v>33</v>
      </c>
      <c r="L704">
        <v>463717</v>
      </c>
      <c r="M704" s="26">
        <v>15302661</v>
      </c>
      <c r="N704">
        <v>16498</v>
      </c>
      <c r="O704" s="26">
        <v>1479368.4</v>
      </c>
      <c r="P704" s="5" t="s">
        <v>42</v>
      </c>
      <c r="Q704" s="5" t="s">
        <v>75</v>
      </c>
      <c r="R704">
        <v>3.6</v>
      </c>
      <c r="S704">
        <v>7</v>
      </c>
      <c r="T704">
        <f t="shared" si="10"/>
        <v>1</v>
      </c>
    </row>
    <row r="705" spans="1:20">
      <c r="A705" s="4">
        <v>44627</v>
      </c>
      <c r="B705">
        <v>2022</v>
      </c>
      <c r="C705">
        <v>3</v>
      </c>
      <c r="D705" s="5" t="s">
        <v>44</v>
      </c>
      <c r="E705" s="5" t="s">
        <v>45</v>
      </c>
      <c r="F705" s="5" t="s">
        <v>46</v>
      </c>
      <c r="G705" s="5" t="s">
        <v>47</v>
      </c>
      <c r="H705" s="5" t="s">
        <v>80</v>
      </c>
      <c r="I705" s="5" t="s">
        <v>81</v>
      </c>
      <c r="J705" s="5" t="s">
        <v>41</v>
      </c>
      <c r="K705">
        <v>15</v>
      </c>
      <c r="L705">
        <v>531173</v>
      </c>
      <c r="M705" s="26">
        <v>7967595</v>
      </c>
      <c r="N705">
        <v>31693</v>
      </c>
      <c r="O705" s="26">
        <v>744642.99</v>
      </c>
      <c r="P705" s="5" t="s">
        <v>42</v>
      </c>
      <c r="Q705" s="5" t="s">
        <v>43</v>
      </c>
      <c r="R705">
        <v>4</v>
      </c>
      <c r="S705">
        <v>6</v>
      </c>
      <c r="T705">
        <f t="shared" si="10"/>
        <v>1</v>
      </c>
    </row>
    <row r="706" spans="1:20">
      <c r="A706" s="4">
        <v>44644</v>
      </c>
      <c r="B706">
        <v>2022</v>
      </c>
      <c r="C706">
        <v>3</v>
      </c>
      <c r="D706" s="5" t="s">
        <v>35</v>
      </c>
      <c r="E706" s="5" t="s">
        <v>76</v>
      </c>
      <c r="F706" s="5" t="s">
        <v>77</v>
      </c>
      <c r="G706" s="5" t="s">
        <v>78</v>
      </c>
      <c r="H706" s="5" t="s">
        <v>79</v>
      </c>
      <c r="I706" s="5" t="s">
        <v>58</v>
      </c>
      <c r="J706" s="5" t="s">
        <v>49</v>
      </c>
      <c r="K706">
        <v>26</v>
      </c>
      <c r="L706">
        <v>918777</v>
      </c>
      <c r="M706" s="26">
        <v>23888202</v>
      </c>
      <c r="N706">
        <v>5749</v>
      </c>
      <c r="O706" s="26">
        <v>3390952.75</v>
      </c>
      <c r="P706" s="5" t="s">
        <v>50</v>
      </c>
      <c r="Q706" s="5" t="s">
        <v>75</v>
      </c>
      <c r="R706">
        <v>4.4000000000000004</v>
      </c>
      <c r="S706">
        <v>3</v>
      </c>
      <c r="T706">
        <f t="shared" ref="T706:T769" si="11">IF(AND(OR($B706=Sel_Year,Sel_Year="All"),OR($C706=Sel_Month,Sel_Month="All"),OR($D706=Sel_Region,Sel_Region="All"),OR($E706=Sel_State,Sel_State="All"),OR($F706=Sel_City,Sel_City="All"),OR($G706=Sel_Dealer,Sel_Dealer="All"),OR($H706=Sel_Model,Sel_Model="All"),OR($I706=Sel_Segment,Sel_Segment="All"),OR($J706=Sel_Fuel,Sel_Fuel="All"),OR($P706=Sel_CustType,Sel_CustType="All"),OR($Q706=Sel_Payment,Sel_Payment="All")),1,0)</f>
        <v>0</v>
      </c>
    </row>
    <row r="707" spans="1:20">
      <c r="A707" s="4">
        <v>44621</v>
      </c>
      <c r="B707">
        <v>2022</v>
      </c>
      <c r="C707">
        <v>3</v>
      </c>
      <c r="D707" s="5" t="s">
        <v>44</v>
      </c>
      <c r="E707" s="5" t="s">
        <v>45</v>
      </c>
      <c r="F707" s="5" t="s">
        <v>46</v>
      </c>
      <c r="G707" s="5" t="s">
        <v>47</v>
      </c>
      <c r="H707" s="5" t="s">
        <v>85</v>
      </c>
      <c r="I707" s="5" t="s">
        <v>58</v>
      </c>
      <c r="J707" s="5" t="s">
        <v>49</v>
      </c>
      <c r="K707">
        <v>44</v>
      </c>
      <c r="L707">
        <v>994370</v>
      </c>
      <c r="M707" s="26">
        <v>43752280</v>
      </c>
      <c r="N707">
        <v>6988</v>
      </c>
      <c r="O707" s="26">
        <v>4993006.0599999996</v>
      </c>
      <c r="P707" s="5" t="s">
        <v>50</v>
      </c>
      <c r="Q707" s="5" t="s">
        <v>75</v>
      </c>
      <c r="R707">
        <v>4.5</v>
      </c>
      <c r="S707">
        <v>21</v>
      </c>
      <c r="T707">
        <f t="shared" si="11"/>
        <v>0</v>
      </c>
    </row>
    <row r="708" spans="1:20">
      <c r="A708" s="4">
        <v>44625</v>
      </c>
      <c r="B708">
        <v>2022</v>
      </c>
      <c r="C708">
        <v>3</v>
      </c>
      <c r="D708" s="5" t="s">
        <v>54</v>
      </c>
      <c r="E708" s="5" t="s">
        <v>55</v>
      </c>
      <c r="F708" s="5" t="s">
        <v>55</v>
      </c>
      <c r="G708" s="5" t="s">
        <v>56</v>
      </c>
      <c r="H708" s="5" t="s">
        <v>57</v>
      </c>
      <c r="I708" s="5" t="s">
        <v>58</v>
      </c>
      <c r="J708" s="5" t="s">
        <v>59</v>
      </c>
      <c r="K708">
        <v>33</v>
      </c>
      <c r="L708">
        <v>1417510</v>
      </c>
      <c r="M708" s="26">
        <v>46777830</v>
      </c>
      <c r="N708">
        <v>32752</v>
      </c>
      <c r="O708" s="26">
        <v>7227723.71</v>
      </c>
      <c r="P708" s="5" t="s">
        <v>42</v>
      </c>
      <c r="Q708" s="5" t="s">
        <v>43</v>
      </c>
      <c r="R708">
        <v>4.8</v>
      </c>
      <c r="S708">
        <v>20</v>
      </c>
      <c r="T708">
        <f t="shared" si="11"/>
        <v>1</v>
      </c>
    </row>
    <row r="709" spans="1:20">
      <c r="A709" s="4">
        <v>44644</v>
      </c>
      <c r="B709">
        <v>2022</v>
      </c>
      <c r="C709">
        <v>3</v>
      </c>
      <c r="D709" s="5" t="s">
        <v>35</v>
      </c>
      <c r="E709" s="5" t="s">
        <v>60</v>
      </c>
      <c r="F709" s="5" t="s">
        <v>61</v>
      </c>
      <c r="G709" s="5" t="s">
        <v>62</v>
      </c>
      <c r="H709" s="5" t="s">
        <v>65</v>
      </c>
      <c r="I709" s="5" t="s">
        <v>53</v>
      </c>
      <c r="J709" s="5" t="s">
        <v>49</v>
      </c>
      <c r="K709">
        <v>40</v>
      </c>
      <c r="L709">
        <v>1261604</v>
      </c>
      <c r="M709" s="26">
        <v>50464160</v>
      </c>
      <c r="N709">
        <v>23305</v>
      </c>
      <c r="O709" s="26">
        <v>4529698.3</v>
      </c>
      <c r="P709" s="5" t="s">
        <v>42</v>
      </c>
      <c r="Q709" s="5" t="s">
        <v>75</v>
      </c>
      <c r="R709">
        <v>3.9</v>
      </c>
      <c r="S709">
        <v>18</v>
      </c>
      <c r="T709">
        <f t="shared" si="11"/>
        <v>1</v>
      </c>
    </row>
    <row r="710" spans="1:20">
      <c r="A710" s="4">
        <v>44642</v>
      </c>
      <c r="B710">
        <v>2022</v>
      </c>
      <c r="C710">
        <v>3</v>
      </c>
      <c r="D710" s="5" t="s">
        <v>54</v>
      </c>
      <c r="E710" s="5" t="s">
        <v>55</v>
      </c>
      <c r="F710" s="5" t="s">
        <v>55</v>
      </c>
      <c r="G710" s="5" t="s">
        <v>56</v>
      </c>
      <c r="H710" s="5" t="s">
        <v>63</v>
      </c>
      <c r="I710" s="5" t="s">
        <v>64</v>
      </c>
      <c r="J710" s="5" t="s">
        <v>41</v>
      </c>
      <c r="K710">
        <v>8</v>
      </c>
      <c r="L710">
        <v>736047</v>
      </c>
      <c r="M710" s="26">
        <v>5888376</v>
      </c>
      <c r="N710">
        <v>29271</v>
      </c>
      <c r="O710" s="26">
        <v>638774.31999999995</v>
      </c>
      <c r="P710" s="5" t="s">
        <v>42</v>
      </c>
      <c r="Q710" s="5" t="s">
        <v>43</v>
      </c>
      <c r="R710">
        <v>4.9000000000000004</v>
      </c>
      <c r="S710">
        <v>3</v>
      </c>
      <c r="T710">
        <f t="shared" si="11"/>
        <v>1</v>
      </c>
    </row>
    <row r="711" spans="1:20">
      <c r="A711" s="4">
        <v>44629</v>
      </c>
      <c r="B711">
        <v>2022</v>
      </c>
      <c r="C711">
        <v>3</v>
      </c>
      <c r="D711" s="5" t="s">
        <v>54</v>
      </c>
      <c r="E711" s="5" t="s">
        <v>55</v>
      </c>
      <c r="F711" s="5" t="s">
        <v>55</v>
      </c>
      <c r="G711" s="5" t="s">
        <v>56</v>
      </c>
      <c r="H711" s="5" t="s">
        <v>57</v>
      </c>
      <c r="I711" s="5" t="s">
        <v>58</v>
      </c>
      <c r="J711" s="5" t="s">
        <v>59</v>
      </c>
      <c r="K711">
        <v>22</v>
      </c>
      <c r="L711">
        <v>1392194</v>
      </c>
      <c r="M711" s="26">
        <v>30628268</v>
      </c>
      <c r="N711">
        <v>27851</v>
      </c>
      <c r="O711" s="26">
        <v>3050952.83</v>
      </c>
      <c r="P711" s="5" t="s">
        <v>42</v>
      </c>
      <c r="Q711" s="5" t="s">
        <v>43</v>
      </c>
      <c r="R711">
        <v>4.5999999999999996</v>
      </c>
      <c r="S711">
        <v>4</v>
      </c>
      <c r="T711">
        <f t="shared" si="11"/>
        <v>1</v>
      </c>
    </row>
    <row r="712" spans="1:20">
      <c r="A712" s="4">
        <v>44634</v>
      </c>
      <c r="B712">
        <v>2022</v>
      </c>
      <c r="C712">
        <v>3</v>
      </c>
      <c r="D712" s="5" t="s">
        <v>35</v>
      </c>
      <c r="E712" s="5" t="s">
        <v>76</v>
      </c>
      <c r="F712" s="5" t="s">
        <v>77</v>
      </c>
      <c r="G712" s="5" t="s">
        <v>78</v>
      </c>
      <c r="H712" s="5" t="s">
        <v>79</v>
      </c>
      <c r="I712" s="5" t="s">
        <v>58</v>
      </c>
      <c r="J712" s="5" t="s">
        <v>49</v>
      </c>
      <c r="K712">
        <v>29</v>
      </c>
      <c r="L712">
        <v>900796</v>
      </c>
      <c r="M712" s="26">
        <v>26123084</v>
      </c>
      <c r="N712">
        <v>15626</v>
      </c>
      <c r="O712" s="26">
        <v>3819419.54</v>
      </c>
      <c r="P712" s="5" t="s">
        <v>42</v>
      </c>
      <c r="Q712" s="5" t="s">
        <v>43</v>
      </c>
      <c r="R712">
        <v>3.8</v>
      </c>
      <c r="S712">
        <v>18</v>
      </c>
      <c r="T712">
        <f t="shared" si="11"/>
        <v>1</v>
      </c>
    </row>
    <row r="713" spans="1:20">
      <c r="A713" s="4">
        <v>44640</v>
      </c>
      <c r="B713">
        <v>2022</v>
      </c>
      <c r="C713">
        <v>3</v>
      </c>
      <c r="D713" s="5" t="s">
        <v>44</v>
      </c>
      <c r="E713" s="5" t="s">
        <v>45</v>
      </c>
      <c r="F713" s="5" t="s">
        <v>46</v>
      </c>
      <c r="G713" s="5" t="s">
        <v>47</v>
      </c>
      <c r="H713" s="5" t="s">
        <v>65</v>
      </c>
      <c r="I713" s="5" t="s">
        <v>53</v>
      </c>
      <c r="J713" s="5" t="s">
        <v>49</v>
      </c>
      <c r="K713">
        <v>37</v>
      </c>
      <c r="L713">
        <v>1245856</v>
      </c>
      <c r="M713" s="26">
        <v>46096672</v>
      </c>
      <c r="N713">
        <v>29897</v>
      </c>
      <c r="O713" s="26">
        <v>4383467.1500000004</v>
      </c>
      <c r="P713" s="5" t="s">
        <v>50</v>
      </c>
      <c r="Q713" s="5" t="s">
        <v>75</v>
      </c>
      <c r="R713">
        <v>4.4000000000000004</v>
      </c>
      <c r="S713">
        <v>16</v>
      </c>
      <c r="T713">
        <f t="shared" si="11"/>
        <v>0</v>
      </c>
    </row>
    <row r="714" spans="1:20">
      <c r="A714" s="4">
        <v>44624</v>
      </c>
      <c r="B714">
        <v>2022</v>
      </c>
      <c r="C714">
        <v>3</v>
      </c>
      <c r="D714" s="5" t="s">
        <v>54</v>
      </c>
      <c r="E714" s="5" t="s">
        <v>70</v>
      </c>
      <c r="F714" s="5" t="s">
        <v>71</v>
      </c>
      <c r="G714" s="5" t="s">
        <v>72</v>
      </c>
      <c r="H714" s="5" t="s">
        <v>52</v>
      </c>
      <c r="I714" s="5" t="s">
        <v>53</v>
      </c>
      <c r="J714" s="5" t="s">
        <v>41</v>
      </c>
      <c r="K714">
        <v>59</v>
      </c>
      <c r="L714">
        <v>972476</v>
      </c>
      <c r="M714" s="26">
        <v>57376084</v>
      </c>
      <c r="N714">
        <v>49714</v>
      </c>
      <c r="O714" s="26">
        <v>8240912.29</v>
      </c>
      <c r="P714" s="5" t="s">
        <v>42</v>
      </c>
      <c r="Q714" s="5" t="s">
        <v>75</v>
      </c>
      <c r="R714">
        <v>4</v>
      </c>
      <c r="S714">
        <v>11</v>
      </c>
      <c r="T714">
        <f t="shared" si="11"/>
        <v>1</v>
      </c>
    </row>
    <row r="715" spans="1:20">
      <c r="A715" s="4">
        <v>44631</v>
      </c>
      <c r="B715">
        <v>2022</v>
      </c>
      <c r="C715">
        <v>3</v>
      </c>
      <c r="D715" s="5" t="s">
        <v>54</v>
      </c>
      <c r="E715" s="5" t="s">
        <v>55</v>
      </c>
      <c r="F715" s="5" t="s">
        <v>55</v>
      </c>
      <c r="G715" s="5" t="s">
        <v>56</v>
      </c>
      <c r="H715" s="5" t="s">
        <v>80</v>
      </c>
      <c r="I715" s="5" t="s">
        <v>81</v>
      </c>
      <c r="J715" s="5" t="s">
        <v>41</v>
      </c>
      <c r="K715">
        <v>21</v>
      </c>
      <c r="L715">
        <v>548480</v>
      </c>
      <c r="M715" s="26">
        <v>11518080</v>
      </c>
      <c r="N715">
        <v>34822</v>
      </c>
      <c r="O715" s="26">
        <v>1166047.54</v>
      </c>
      <c r="P715" s="5" t="s">
        <v>50</v>
      </c>
      <c r="Q715" s="5" t="s">
        <v>51</v>
      </c>
      <c r="R715">
        <v>4.5999999999999996</v>
      </c>
      <c r="S715">
        <v>10</v>
      </c>
      <c r="T715">
        <f t="shared" si="11"/>
        <v>0</v>
      </c>
    </row>
    <row r="716" spans="1:20">
      <c r="A716" s="4">
        <v>44632</v>
      </c>
      <c r="B716">
        <v>2022</v>
      </c>
      <c r="C716">
        <v>3</v>
      </c>
      <c r="D716" s="5" t="s">
        <v>66</v>
      </c>
      <c r="E716" s="5" t="s">
        <v>67</v>
      </c>
      <c r="F716" s="5" t="s">
        <v>68</v>
      </c>
      <c r="G716" s="5" t="s">
        <v>69</v>
      </c>
      <c r="H716" s="5" t="s">
        <v>65</v>
      </c>
      <c r="I716" s="5" t="s">
        <v>53</v>
      </c>
      <c r="J716" s="5" t="s">
        <v>49</v>
      </c>
      <c r="K716">
        <v>14</v>
      </c>
      <c r="L716">
        <v>1235151</v>
      </c>
      <c r="M716" s="26">
        <v>17292114</v>
      </c>
      <c r="N716">
        <v>44150</v>
      </c>
      <c r="O716" s="26">
        <v>2535286.13</v>
      </c>
      <c r="P716" s="5" t="s">
        <v>42</v>
      </c>
      <c r="Q716" s="5" t="s">
        <v>75</v>
      </c>
      <c r="R716">
        <v>3.9</v>
      </c>
      <c r="S716">
        <v>7</v>
      </c>
      <c r="T716">
        <f t="shared" si="11"/>
        <v>1</v>
      </c>
    </row>
    <row r="717" spans="1:20">
      <c r="A717" s="4">
        <v>44641</v>
      </c>
      <c r="B717">
        <v>2022</v>
      </c>
      <c r="C717">
        <v>3</v>
      </c>
      <c r="D717" s="5" t="s">
        <v>35</v>
      </c>
      <c r="E717" s="5" t="s">
        <v>76</v>
      </c>
      <c r="F717" s="5" t="s">
        <v>77</v>
      </c>
      <c r="G717" s="5" t="s">
        <v>78</v>
      </c>
      <c r="H717" s="5" t="s">
        <v>80</v>
      </c>
      <c r="I717" s="5" t="s">
        <v>81</v>
      </c>
      <c r="J717" s="5" t="s">
        <v>41</v>
      </c>
      <c r="K717">
        <v>12</v>
      </c>
      <c r="L717">
        <v>532578</v>
      </c>
      <c r="M717" s="26">
        <v>6390936</v>
      </c>
      <c r="N717">
        <v>11173</v>
      </c>
      <c r="O717" s="26">
        <v>609996</v>
      </c>
      <c r="P717" s="5" t="s">
        <v>50</v>
      </c>
      <c r="Q717" s="5" t="s">
        <v>75</v>
      </c>
      <c r="R717">
        <v>4.0999999999999996</v>
      </c>
      <c r="S717">
        <v>12</v>
      </c>
      <c r="T717">
        <f t="shared" si="11"/>
        <v>0</v>
      </c>
    </row>
    <row r="718" spans="1:20">
      <c r="A718" s="4">
        <v>44640</v>
      </c>
      <c r="B718">
        <v>2022</v>
      </c>
      <c r="C718">
        <v>3</v>
      </c>
      <c r="D718" s="5" t="s">
        <v>35</v>
      </c>
      <c r="E718" s="5" t="s">
        <v>36</v>
      </c>
      <c r="F718" s="5" t="s">
        <v>37</v>
      </c>
      <c r="G718" s="5" t="s">
        <v>38</v>
      </c>
      <c r="H718" s="5" t="s">
        <v>65</v>
      </c>
      <c r="I718" s="5" t="s">
        <v>53</v>
      </c>
      <c r="J718" s="5" t="s">
        <v>49</v>
      </c>
      <c r="K718">
        <v>48</v>
      </c>
      <c r="L718">
        <v>1220826</v>
      </c>
      <c r="M718" s="26">
        <v>58599648</v>
      </c>
      <c r="N718">
        <v>35556</v>
      </c>
      <c r="O718" s="26">
        <v>7658125.0899999999</v>
      </c>
      <c r="P718" s="5" t="s">
        <v>50</v>
      </c>
      <c r="Q718" s="5" t="s">
        <v>75</v>
      </c>
      <c r="R718">
        <v>4.9000000000000004</v>
      </c>
      <c r="S718">
        <v>3</v>
      </c>
      <c r="T718">
        <f t="shared" si="11"/>
        <v>0</v>
      </c>
    </row>
    <row r="719" spans="1:20">
      <c r="A719" s="4">
        <v>44640</v>
      </c>
      <c r="B719">
        <v>2022</v>
      </c>
      <c r="C719">
        <v>3</v>
      </c>
      <c r="D719" s="5" t="s">
        <v>44</v>
      </c>
      <c r="E719" s="5" t="s">
        <v>45</v>
      </c>
      <c r="F719" s="5" t="s">
        <v>46</v>
      </c>
      <c r="G719" s="5" t="s">
        <v>47</v>
      </c>
      <c r="H719" s="5" t="s">
        <v>74</v>
      </c>
      <c r="I719" s="5" t="s">
        <v>40</v>
      </c>
      <c r="J719" s="5" t="s">
        <v>49</v>
      </c>
      <c r="K719">
        <v>17</v>
      </c>
      <c r="L719">
        <v>643166</v>
      </c>
      <c r="M719" s="26">
        <v>10933822</v>
      </c>
      <c r="N719">
        <v>9124</v>
      </c>
      <c r="O719" s="26">
        <v>1204054.28</v>
      </c>
      <c r="P719" s="5" t="s">
        <v>50</v>
      </c>
      <c r="Q719" s="5" t="s">
        <v>51</v>
      </c>
      <c r="R719">
        <v>4</v>
      </c>
      <c r="S719">
        <v>14</v>
      </c>
      <c r="T719">
        <f t="shared" si="11"/>
        <v>0</v>
      </c>
    </row>
    <row r="720" spans="1:20">
      <c r="A720" s="4">
        <v>44632</v>
      </c>
      <c r="B720">
        <v>2022</v>
      </c>
      <c r="C720">
        <v>3</v>
      </c>
      <c r="D720" s="5" t="s">
        <v>44</v>
      </c>
      <c r="E720" s="5" t="s">
        <v>82</v>
      </c>
      <c r="F720" s="5" t="s">
        <v>83</v>
      </c>
      <c r="G720" s="5" t="s">
        <v>84</v>
      </c>
      <c r="H720" s="5" t="s">
        <v>86</v>
      </c>
      <c r="I720" s="5" t="s">
        <v>40</v>
      </c>
      <c r="J720" s="5" t="s">
        <v>41</v>
      </c>
      <c r="K720">
        <v>43</v>
      </c>
      <c r="L720">
        <v>589144</v>
      </c>
      <c r="M720" s="26">
        <v>25333192</v>
      </c>
      <c r="N720">
        <v>25226</v>
      </c>
      <c r="O720" s="26">
        <v>2592588.48</v>
      </c>
      <c r="P720" s="5" t="s">
        <v>50</v>
      </c>
      <c r="Q720" s="5" t="s">
        <v>75</v>
      </c>
      <c r="R720">
        <v>3.7</v>
      </c>
      <c r="S720">
        <v>14</v>
      </c>
      <c r="T720">
        <f t="shared" si="11"/>
        <v>0</v>
      </c>
    </row>
    <row r="721" spans="1:20">
      <c r="A721" s="4">
        <v>44632</v>
      </c>
      <c r="B721">
        <v>2022</v>
      </c>
      <c r="C721">
        <v>3</v>
      </c>
      <c r="D721" s="5" t="s">
        <v>35</v>
      </c>
      <c r="E721" s="5" t="s">
        <v>36</v>
      </c>
      <c r="F721" s="5" t="s">
        <v>37</v>
      </c>
      <c r="G721" s="5" t="s">
        <v>38</v>
      </c>
      <c r="H721" s="5" t="s">
        <v>52</v>
      </c>
      <c r="I721" s="5" t="s">
        <v>53</v>
      </c>
      <c r="J721" s="5" t="s">
        <v>41</v>
      </c>
      <c r="K721">
        <v>23</v>
      </c>
      <c r="L721">
        <v>943043</v>
      </c>
      <c r="M721" s="26">
        <v>21689989</v>
      </c>
      <c r="N721">
        <v>44125</v>
      </c>
      <c r="O721" s="26">
        <v>2649445.9300000002</v>
      </c>
      <c r="P721" s="5" t="s">
        <v>50</v>
      </c>
      <c r="Q721" s="5" t="s">
        <v>51</v>
      </c>
      <c r="R721">
        <v>3.6</v>
      </c>
      <c r="S721">
        <v>15</v>
      </c>
      <c r="T721">
        <f t="shared" si="11"/>
        <v>0</v>
      </c>
    </row>
    <row r="722" spans="1:20">
      <c r="A722" s="4">
        <v>44637</v>
      </c>
      <c r="B722">
        <v>2022</v>
      </c>
      <c r="C722">
        <v>3</v>
      </c>
      <c r="D722" s="5" t="s">
        <v>54</v>
      </c>
      <c r="E722" s="5" t="s">
        <v>70</v>
      </c>
      <c r="F722" s="5" t="s">
        <v>71</v>
      </c>
      <c r="G722" s="5" t="s">
        <v>72</v>
      </c>
      <c r="H722" s="5" t="s">
        <v>57</v>
      </c>
      <c r="I722" s="5" t="s">
        <v>58</v>
      </c>
      <c r="J722" s="5" t="s">
        <v>59</v>
      </c>
      <c r="K722">
        <v>27</v>
      </c>
      <c r="L722">
        <v>1405413</v>
      </c>
      <c r="M722" s="26">
        <v>37946151</v>
      </c>
      <c r="N722">
        <v>20777</v>
      </c>
      <c r="O722" s="26">
        <v>5998803.2300000004</v>
      </c>
      <c r="P722" s="5" t="s">
        <v>42</v>
      </c>
      <c r="Q722" s="5" t="s">
        <v>43</v>
      </c>
      <c r="R722">
        <v>4.3</v>
      </c>
      <c r="S722">
        <v>12</v>
      </c>
      <c r="T722">
        <f t="shared" si="11"/>
        <v>1</v>
      </c>
    </row>
    <row r="723" spans="1:20">
      <c r="A723" s="4">
        <v>44642</v>
      </c>
      <c r="B723">
        <v>2022</v>
      </c>
      <c r="C723">
        <v>3</v>
      </c>
      <c r="D723" s="5" t="s">
        <v>35</v>
      </c>
      <c r="E723" s="5" t="s">
        <v>36</v>
      </c>
      <c r="F723" s="5" t="s">
        <v>37</v>
      </c>
      <c r="G723" s="5" t="s">
        <v>38</v>
      </c>
      <c r="H723" s="5" t="s">
        <v>86</v>
      </c>
      <c r="I723" s="5" t="s">
        <v>40</v>
      </c>
      <c r="J723" s="5" t="s">
        <v>41</v>
      </c>
      <c r="K723">
        <v>39</v>
      </c>
      <c r="L723">
        <v>576567</v>
      </c>
      <c r="M723" s="26">
        <v>22486113</v>
      </c>
      <c r="N723">
        <v>48288</v>
      </c>
      <c r="O723" s="26">
        <v>2897496.92</v>
      </c>
      <c r="P723" s="5" t="s">
        <v>50</v>
      </c>
      <c r="Q723" s="5" t="s">
        <v>51</v>
      </c>
      <c r="R723">
        <v>4</v>
      </c>
      <c r="S723">
        <v>15</v>
      </c>
      <c r="T723">
        <f t="shared" si="11"/>
        <v>0</v>
      </c>
    </row>
    <row r="724" spans="1:20">
      <c r="A724" s="4">
        <v>44642</v>
      </c>
      <c r="B724">
        <v>2022</v>
      </c>
      <c r="C724">
        <v>3</v>
      </c>
      <c r="D724" s="5" t="s">
        <v>44</v>
      </c>
      <c r="E724" s="5" t="s">
        <v>82</v>
      </c>
      <c r="F724" s="5" t="s">
        <v>83</v>
      </c>
      <c r="G724" s="5" t="s">
        <v>84</v>
      </c>
      <c r="H724" s="5" t="s">
        <v>57</v>
      </c>
      <c r="I724" s="5" t="s">
        <v>58</v>
      </c>
      <c r="J724" s="5" t="s">
        <v>59</v>
      </c>
      <c r="K724">
        <v>45</v>
      </c>
      <c r="L724">
        <v>1427086</v>
      </c>
      <c r="M724" s="26">
        <v>64218870</v>
      </c>
      <c r="N724">
        <v>45920</v>
      </c>
      <c r="O724" s="26">
        <v>9299137.0099999998</v>
      </c>
      <c r="P724" s="5" t="s">
        <v>42</v>
      </c>
      <c r="Q724" s="5" t="s">
        <v>43</v>
      </c>
      <c r="R724">
        <v>4.2</v>
      </c>
      <c r="S724">
        <v>3</v>
      </c>
      <c r="T724">
        <f t="shared" si="11"/>
        <v>1</v>
      </c>
    </row>
    <row r="725" spans="1:20">
      <c r="A725" s="4">
        <v>44630</v>
      </c>
      <c r="B725">
        <v>2022</v>
      </c>
      <c r="C725">
        <v>3</v>
      </c>
      <c r="D725" s="5" t="s">
        <v>35</v>
      </c>
      <c r="E725" s="5" t="s">
        <v>60</v>
      </c>
      <c r="F725" s="5" t="s">
        <v>61</v>
      </c>
      <c r="G725" s="5" t="s">
        <v>62</v>
      </c>
      <c r="H725" s="5" t="s">
        <v>57</v>
      </c>
      <c r="I725" s="5" t="s">
        <v>58</v>
      </c>
      <c r="J725" s="5" t="s">
        <v>59</v>
      </c>
      <c r="K725">
        <v>31</v>
      </c>
      <c r="L725">
        <v>1370016</v>
      </c>
      <c r="M725" s="26">
        <v>42470496</v>
      </c>
      <c r="N725">
        <v>42825</v>
      </c>
      <c r="O725" s="26">
        <v>6599080.4199999999</v>
      </c>
      <c r="P725" s="5" t="s">
        <v>50</v>
      </c>
      <c r="Q725" s="5" t="s">
        <v>51</v>
      </c>
      <c r="R725">
        <v>3.6</v>
      </c>
      <c r="S725">
        <v>9</v>
      </c>
      <c r="T725">
        <f t="shared" si="11"/>
        <v>0</v>
      </c>
    </row>
    <row r="726" spans="1:20">
      <c r="A726" s="4">
        <v>44647</v>
      </c>
      <c r="B726">
        <v>2022</v>
      </c>
      <c r="C726">
        <v>3</v>
      </c>
      <c r="D726" s="5" t="s">
        <v>54</v>
      </c>
      <c r="E726" s="5" t="s">
        <v>70</v>
      </c>
      <c r="F726" s="5" t="s">
        <v>71</v>
      </c>
      <c r="G726" s="5" t="s">
        <v>72</v>
      </c>
      <c r="H726" s="5" t="s">
        <v>48</v>
      </c>
      <c r="I726" s="5" t="s">
        <v>40</v>
      </c>
      <c r="J726" s="5" t="s">
        <v>49</v>
      </c>
      <c r="K726">
        <v>28</v>
      </c>
      <c r="L726">
        <v>463427</v>
      </c>
      <c r="M726" s="26">
        <v>12975956</v>
      </c>
      <c r="N726">
        <v>23971</v>
      </c>
      <c r="O726" s="26">
        <v>1194066.3</v>
      </c>
      <c r="P726" s="5" t="s">
        <v>50</v>
      </c>
      <c r="Q726" s="5" t="s">
        <v>51</v>
      </c>
      <c r="R726">
        <v>3.7</v>
      </c>
      <c r="S726">
        <v>17</v>
      </c>
      <c r="T726">
        <f t="shared" si="11"/>
        <v>0</v>
      </c>
    </row>
    <row r="727" spans="1:20">
      <c r="A727" s="4">
        <v>44624</v>
      </c>
      <c r="B727">
        <v>2022</v>
      </c>
      <c r="C727">
        <v>3</v>
      </c>
      <c r="D727" s="5" t="s">
        <v>54</v>
      </c>
      <c r="E727" s="5" t="s">
        <v>70</v>
      </c>
      <c r="F727" s="5" t="s">
        <v>71</v>
      </c>
      <c r="G727" s="5" t="s">
        <v>72</v>
      </c>
      <c r="H727" s="5" t="s">
        <v>57</v>
      </c>
      <c r="I727" s="5" t="s">
        <v>58</v>
      </c>
      <c r="J727" s="5" t="s">
        <v>59</v>
      </c>
      <c r="K727">
        <v>19</v>
      </c>
      <c r="L727">
        <v>1393090</v>
      </c>
      <c r="M727" s="26">
        <v>26468710</v>
      </c>
      <c r="N727">
        <v>7473</v>
      </c>
      <c r="O727" s="26">
        <v>2235381.13</v>
      </c>
      <c r="P727" s="5" t="s">
        <v>50</v>
      </c>
      <c r="Q727" s="5" t="s">
        <v>43</v>
      </c>
      <c r="R727">
        <v>4.2</v>
      </c>
      <c r="S727">
        <v>18</v>
      </c>
      <c r="T727">
        <f t="shared" si="11"/>
        <v>0</v>
      </c>
    </row>
    <row r="728" spans="1:20">
      <c r="A728" s="4">
        <v>44621</v>
      </c>
      <c r="B728">
        <v>2022</v>
      </c>
      <c r="C728">
        <v>3</v>
      </c>
      <c r="D728" s="5" t="s">
        <v>44</v>
      </c>
      <c r="E728" s="5" t="s">
        <v>45</v>
      </c>
      <c r="F728" s="5" t="s">
        <v>46</v>
      </c>
      <c r="G728" s="5" t="s">
        <v>47</v>
      </c>
      <c r="H728" s="5" t="s">
        <v>79</v>
      </c>
      <c r="I728" s="5" t="s">
        <v>58</v>
      </c>
      <c r="J728" s="5" t="s">
        <v>49</v>
      </c>
      <c r="K728">
        <v>8</v>
      </c>
      <c r="L728">
        <v>907580</v>
      </c>
      <c r="M728" s="26">
        <v>7260640</v>
      </c>
      <c r="N728">
        <v>14827</v>
      </c>
      <c r="O728" s="26">
        <v>622857.15</v>
      </c>
      <c r="P728" s="5" t="s">
        <v>42</v>
      </c>
      <c r="Q728" s="5" t="s">
        <v>75</v>
      </c>
      <c r="R728">
        <v>4.4000000000000004</v>
      </c>
      <c r="S728">
        <v>9</v>
      </c>
      <c r="T728">
        <f t="shared" si="11"/>
        <v>1</v>
      </c>
    </row>
    <row r="729" spans="1:20">
      <c r="A729" s="4">
        <v>44639</v>
      </c>
      <c r="B729">
        <v>2022</v>
      </c>
      <c r="C729">
        <v>3</v>
      </c>
      <c r="D729" s="5" t="s">
        <v>35</v>
      </c>
      <c r="E729" s="5" t="s">
        <v>76</v>
      </c>
      <c r="F729" s="5" t="s">
        <v>77</v>
      </c>
      <c r="G729" s="5" t="s">
        <v>78</v>
      </c>
      <c r="H729" s="5" t="s">
        <v>65</v>
      </c>
      <c r="I729" s="5" t="s">
        <v>53</v>
      </c>
      <c r="J729" s="5" t="s">
        <v>49</v>
      </c>
      <c r="K729">
        <v>13</v>
      </c>
      <c r="L729">
        <v>1256322</v>
      </c>
      <c r="M729" s="26">
        <v>16332186</v>
      </c>
      <c r="N729">
        <v>43048</v>
      </c>
      <c r="O729" s="26">
        <v>1836882.52</v>
      </c>
      <c r="P729" s="5" t="s">
        <v>50</v>
      </c>
      <c r="Q729" s="5" t="s">
        <v>75</v>
      </c>
      <c r="R729">
        <v>4</v>
      </c>
      <c r="S729">
        <v>3</v>
      </c>
      <c r="T729">
        <f t="shared" si="11"/>
        <v>0</v>
      </c>
    </row>
    <row r="730" spans="1:20">
      <c r="A730" s="4">
        <v>44623</v>
      </c>
      <c r="B730">
        <v>2022</v>
      </c>
      <c r="C730">
        <v>3</v>
      </c>
      <c r="D730" s="5" t="s">
        <v>54</v>
      </c>
      <c r="E730" s="5" t="s">
        <v>70</v>
      </c>
      <c r="F730" s="5" t="s">
        <v>71</v>
      </c>
      <c r="G730" s="5" t="s">
        <v>72</v>
      </c>
      <c r="H730" s="5" t="s">
        <v>74</v>
      </c>
      <c r="I730" s="5" t="s">
        <v>40</v>
      </c>
      <c r="J730" s="5" t="s">
        <v>49</v>
      </c>
      <c r="K730">
        <v>52</v>
      </c>
      <c r="L730">
        <v>664675</v>
      </c>
      <c r="M730" s="26">
        <v>34563100</v>
      </c>
      <c r="N730">
        <v>48569</v>
      </c>
      <c r="O730" s="26">
        <v>4137257.52</v>
      </c>
      <c r="P730" s="5" t="s">
        <v>50</v>
      </c>
      <c r="Q730" s="5" t="s">
        <v>51</v>
      </c>
      <c r="R730">
        <v>4.5999999999999996</v>
      </c>
      <c r="S730">
        <v>6</v>
      </c>
      <c r="T730">
        <f t="shared" si="11"/>
        <v>0</v>
      </c>
    </row>
    <row r="731" spans="1:20">
      <c r="A731" s="4">
        <v>44637</v>
      </c>
      <c r="B731">
        <v>2022</v>
      </c>
      <c r="C731">
        <v>3</v>
      </c>
      <c r="D731" s="5" t="s">
        <v>66</v>
      </c>
      <c r="E731" s="5" t="s">
        <v>67</v>
      </c>
      <c r="F731" s="5" t="s">
        <v>68</v>
      </c>
      <c r="G731" s="5" t="s">
        <v>69</v>
      </c>
      <c r="H731" s="5" t="s">
        <v>80</v>
      </c>
      <c r="I731" s="5" t="s">
        <v>81</v>
      </c>
      <c r="J731" s="5" t="s">
        <v>41</v>
      </c>
      <c r="K731">
        <v>22</v>
      </c>
      <c r="L731">
        <v>570243</v>
      </c>
      <c r="M731" s="26">
        <v>12545346</v>
      </c>
      <c r="N731">
        <v>8963</v>
      </c>
      <c r="O731" s="26">
        <v>1041798.8</v>
      </c>
      <c r="P731" s="5" t="s">
        <v>50</v>
      </c>
      <c r="Q731" s="5" t="s">
        <v>75</v>
      </c>
      <c r="R731">
        <v>3.8</v>
      </c>
      <c r="S731">
        <v>11</v>
      </c>
      <c r="T731">
        <f t="shared" si="11"/>
        <v>0</v>
      </c>
    </row>
    <row r="732" spans="1:20">
      <c r="A732" s="4">
        <v>44636</v>
      </c>
      <c r="B732">
        <v>2022</v>
      </c>
      <c r="C732">
        <v>3</v>
      </c>
      <c r="D732" s="5" t="s">
        <v>44</v>
      </c>
      <c r="E732" s="5" t="s">
        <v>45</v>
      </c>
      <c r="F732" s="5" t="s">
        <v>46</v>
      </c>
      <c r="G732" s="5" t="s">
        <v>47</v>
      </c>
      <c r="H732" s="5" t="s">
        <v>39</v>
      </c>
      <c r="I732" s="5" t="s">
        <v>40</v>
      </c>
      <c r="J732" s="5" t="s">
        <v>41</v>
      </c>
      <c r="K732">
        <v>24</v>
      </c>
      <c r="L732">
        <v>562103</v>
      </c>
      <c r="M732" s="26">
        <v>13490472</v>
      </c>
      <c r="N732">
        <v>7340</v>
      </c>
      <c r="O732" s="26">
        <v>1719380.19</v>
      </c>
      <c r="P732" s="5" t="s">
        <v>50</v>
      </c>
      <c r="Q732" s="5" t="s">
        <v>43</v>
      </c>
      <c r="R732">
        <v>4.8</v>
      </c>
      <c r="S732">
        <v>5</v>
      </c>
      <c r="T732">
        <f t="shared" si="11"/>
        <v>0</v>
      </c>
    </row>
    <row r="733" spans="1:20">
      <c r="A733" s="4">
        <v>44639</v>
      </c>
      <c r="B733">
        <v>2022</v>
      </c>
      <c r="C733">
        <v>3</v>
      </c>
      <c r="D733" s="5" t="s">
        <v>44</v>
      </c>
      <c r="E733" s="5" t="s">
        <v>45</v>
      </c>
      <c r="F733" s="5" t="s">
        <v>46</v>
      </c>
      <c r="G733" s="5" t="s">
        <v>47</v>
      </c>
      <c r="H733" s="5" t="s">
        <v>80</v>
      </c>
      <c r="I733" s="5" t="s">
        <v>81</v>
      </c>
      <c r="J733" s="5" t="s">
        <v>41</v>
      </c>
      <c r="K733">
        <v>26</v>
      </c>
      <c r="L733">
        <v>528693</v>
      </c>
      <c r="M733" s="26">
        <v>13746018</v>
      </c>
      <c r="N733">
        <v>20106</v>
      </c>
      <c r="O733" s="26">
        <v>1349727.93</v>
      </c>
      <c r="P733" s="5" t="s">
        <v>42</v>
      </c>
      <c r="Q733" s="5" t="s">
        <v>43</v>
      </c>
      <c r="R733">
        <v>4.3</v>
      </c>
      <c r="S733">
        <v>2</v>
      </c>
      <c r="T733">
        <f t="shared" si="11"/>
        <v>1</v>
      </c>
    </row>
    <row r="734" spans="1:20">
      <c r="A734" s="4">
        <v>44621</v>
      </c>
      <c r="B734">
        <v>2022</v>
      </c>
      <c r="C734">
        <v>3</v>
      </c>
      <c r="D734" s="5" t="s">
        <v>44</v>
      </c>
      <c r="E734" s="5" t="s">
        <v>45</v>
      </c>
      <c r="F734" s="5" t="s">
        <v>46</v>
      </c>
      <c r="G734" s="5" t="s">
        <v>47</v>
      </c>
      <c r="H734" s="5" t="s">
        <v>65</v>
      </c>
      <c r="I734" s="5" t="s">
        <v>53</v>
      </c>
      <c r="J734" s="5" t="s">
        <v>49</v>
      </c>
      <c r="K734">
        <v>22</v>
      </c>
      <c r="L734">
        <v>1257420</v>
      </c>
      <c r="M734" s="26">
        <v>27663240</v>
      </c>
      <c r="N734">
        <v>41063</v>
      </c>
      <c r="O734" s="26">
        <v>4074996.55</v>
      </c>
      <c r="P734" s="5" t="s">
        <v>42</v>
      </c>
      <c r="Q734" s="5" t="s">
        <v>51</v>
      </c>
      <c r="R734">
        <v>3.9</v>
      </c>
      <c r="S734">
        <v>7</v>
      </c>
      <c r="T734">
        <f t="shared" si="11"/>
        <v>1</v>
      </c>
    </row>
    <row r="735" spans="1:20">
      <c r="A735" s="4">
        <v>44637</v>
      </c>
      <c r="B735">
        <v>2022</v>
      </c>
      <c r="C735">
        <v>3</v>
      </c>
      <c r="D735" s="5" t="s">
        <v>54</v>
      </c>
      <c r="E735" s="5" t="s">
        <v>55</v>
      </c>
      <c r="F735" s="5" t="s">
        <v>55</v>
      </c>
      <c r="G735" s="5" t="s">
        <v>56</v>
      </c>
      <c r="H735" s="5" t="s">
        <v>48</v>
      </c>
      <c r="I735" s="5" t="s">
        <v>40</v>
      </c>
      <c r="J735" s="5" t="s">
        <v>49</v>
      </c>
      <c r="K735">
        <v>40</v>
      </c>
      <c r="L735">
        <v>430982</v>
      </c>
      <c r="M735" s="26">
        <v>17239280</v>
      </c>
      <c r="N735">
        <v>28767</v>
      </c>
      <c r="O735" s="26">
        <v>2174984.88</v>
      </c>
      <c r="P735" s="5" t="s">
        <v>42</v>
      </c>
      <c r="Q735" s="5" t="s">
        <v>51</v>
      </c>
      <c r="R735">
        <v>4.5999999999999996</v>
      </c>
      <c r="S735">
        <v>15</v>
      </c>
      <c r="T735">
        <f t="shared" si="11"/>
        <v>1</v>
      </c>
    </row>
    <row r="736" spans="1:20">
      <c r="A736" s="4">
        <v>44623</v>
      </c>
      <c r="B736">
        <v>2022</v>
      </c>
      <c r="C736">
        <v>3</v>
      </c>
      <c r="D736" s="5" t="s">
        <v>35</v>
      </c>
      <c r="E736" s="5" t="s">
        <v>60</v>
      </c>
      <c r="F736" s="5" t="s">
        <v>61</v>
      </c>
      <c r="G736" s="5" t="s">
        <v>62</v>
      </c>
      <c r="H736" s="5" t="s">
        <v>48</v>
      </c>
      <c r="I736" s="5" t="s">
        <v>40</v>
      </c>
      <c r="J736" s="5" t="s">
        <v>49</v>
      </c>
      <c r="K736">
        <v>27</v>
      </c>
      <c r="L736">
        <v>475644</v>
      </c>
      <c r="M736" s="26">
        <v>12842388</v>
      </c>
      <c r="N736">
        <v>31757</v>
      </c>
      <c r="O736" s="26">
        <v>1127877.8700000001</v>
      </c>
      <c r="P736" s="5" t="s">
        <v>50</v>
      </c>
      <c r="Q736" s="5" t="s">
        <v>75</v>
      </c>
      <c r="R736">
        <v>4.7</v>
      </c>
      <c r="S736">
        <v>8</v>
      </c>
      <c r="T736">
        <f t="shared" si="11"/>
        <v>0</v>
      </c>
    </row>
    <row r="737" spans="1:20">
      <c r="A737" s="4">
        <v>44639</v>
      </c>
      <c r="B737">
        <v>2022</v>
      </c>
      <c r="C737">
        <v>3</v>
      </c>
      <c r="D737" s="5" t="s">
        <v>54</v>
      </c>
      <c r="E737" s="5" t="s">
        <v>55</v>
      </c>
      <c r="F737" s="5" t="s">
        <v>55</v>
      </c>
      <c r="G737" s="5" t="s">
        <v>56</v>
      </c>
      <c r="H737" s="5" t="s">
        <v>65</v>
      </c>
      <c r="I737" s="5" t="s">
        <v>53</v>
      </c>
      <c r="J737" s="5" t="s">
        <v>49</v>
      </c>
      <c r="K737">
        <v>55</v>
      </c>
      <c r="L737">
        <v>1259522</v>
      </c>
      <c r="M737" s="26">
        <v>69273710</v>
      </c>
      <c r="N737">
        <v>43504</v>
      </c>
      <c r="O737" s="26">
        <v>9477929.3200000003</v>
      </c>
      <c r="P737" s="5" t="s">
        <v>42</v>
      </c>
      <c r="Q737" s="5" t="s">
        <v>75</v>
      </c>
      <c r="R737">
        <v>4.7</v>
      </c>
      <c r="S737">
        <v>21</v>
      </c>
      <c r="T737">
        <f t="shared" si="11"/>
        <v>1</v>
      </c>
    </row>
    <row r="738" spans="1:20">
      <c r="A738" s="4">
        <v>44646</v>
      </c>
      <c r="B738">
        <v>2022</v>
      </c>
      <c r="C738">
        <v>3</v>
      </c>
      <c r="D738" s="5" t="s">
        <v>66</v>
      </c>
      <c r="E738" s="5" t="s">
        <v>67</v>
      </c>
      <c r="F738" s="5" t="s">
        <v>68</v>
      </c>
      <c r="G738" s="5" t="s">
        <v>69</v>
      </c>
      <c r="H738" s="5" t="s">
        <v>79</v>
      </c>
      <c r="I738" s="5" t="s">
        <v>58</v>
      </c>
      <c r="J738" s="5" t="s">
        <v>49</v>
      </c>
      <c r="K738">
        <v>8</v>
      </c>
      <c r="L738">
        <v>914010</v>
      </c>
      <c r="M738" s="26">
        <v>7312080</v>
      </c>
      <c r="N738">
        <v>8349</v>
      </c>
      <c r="O738" s="26">
        <v>838008.74</v>
      </c>
      <c r="P738" s="5" t="s">
        <v>42</v>
      </c>
      <c r="Q738" s="5" t="s">
        <v>51</v>
      </c>
      <c r="R738">
        <v>4.8</v>
      </c>
      <c r="S738">
        <v>20</v>
      </c>
      <c r="T738">
        <f t="shared" si="11"/>
        <v>1</v>
      </c>
    </row>
    <row r="739" spans="1:20">
      <c r="A739" s="4">
        <v>44632</v>
      </c>
      <c r="B739">
        <v>2022</v>
      </c>
      <c r="C739">
        <v>3</v>
      </c>
      <c r="D739" s="5" t="s">
        <v>54</v>
      </c>
      <c r="E739" s="5" t="s">
        <v>70</v>
      </c>
      <c r="F739" s="5" t="s">
        <v>71</v>
      </c>
      <c r="G739" s="5" t="s">
        <v>72</v>
      </c>
      <c r="H739" s="5" t="s">
        <v>65</v>
      </c>
      <c r="I739" s="5" t="s">
        <v>53</v>
      </c>
      <c r="J739" s="5" t="s">
        <v>49</v>
      </c>
      <c r="K739">
        <v>9</v>
      </c>
      <c r="L739">
        <v>1226777</v>
      </c>
      <c r="M739" s="26">
        <v>11040993</v>
      </c>
      <c r="N739">
        <v>26535</v>
      </c>
      <c r="O739" s="26">
        <v>1635293.96</v>
      </c>
      <c r="P739" s="5" t="s">
        <v>42</v>
      </c>
      <c r="Q739" s="5" t="s">
        <v>43</v>
      </c>
      <c r="R739">
        <v>3.7</v>
      </c>
      <c r="S739">
        <v>7</v>
      </c>
      <c r="T739">
        <f t="shared" si="11"/>
        <v>1</v>
      </c>
    </row>
    <row r="740" spans="1:20">
      <c r="A740" s="4">
        <v>44644</v>
      </c>
      <c r="B740">
        <v>2022</v>
      </c>
      <c r="C740">
        <v>3</v>
      </c>
      <c r="D740" s="5" t="s">
        <v>66</v>
      </c>
      <c r="E740" s="5" t="s">
        <v>67</v>
      </c>
      <c r="F740" s="5" t="s">
        <v>68</v>
      </c>
      <c r="G740" s="5" t="s">
        <v>69</v>
      </c>
      <c r="H740" s="5" t="s">
        <v>65</v>
      </c>
      <c r="I740" s="5" t="s">
        <v>53</v>
      </c>
      <c r="J740" s="5" t="s">
        <v>49</v>
      </c>
      <c r="K740">
        <v>35</v>
      </c>
      <c r="L740">
        <v>1278687</v>
      </c>
      <c r="M740" s="26">
        <v>44754045</v>
      </c>
      <c r="N740">
        <v>17398</v>
      </c>
      <c r="O740" s="26">
        <v>3674955.85</v>
      </c>
      <c r="P740" s="5" t="s">
        <v>50</v>
      </c>
      <c r="Q740" s="5" t="s">
        <v>75</v>
      </c>
      <c r="R740">
        <v>4.5</v>
      </c>
      <c r="S740">
        <v>7</v>
      </c>
      <c r="T740">
        <f t="shared" si="11"/>
        <v>0</v>
      </c>
    </row>
    <row r="741" spans="1:20">
      <c r="A741" s="4">
        <v>44623</v>
      </c>
      <c r="B741">
        <v>2022</v>
      </c>
      <c r="C741">
        <v>3</v>
      </c>
      <c r="D741" s="5" t="s">
        <v>44</v>
      </c>
      <c r="E741" s="5" t="s">
        <v>45</v>
      </c>
      <c r="F741" s="5" t="s">
        <v>46</v>
      </c>
      <c r="G741" s="5" t="s">
        <v>47</v>
      </c>
      <c r="H741" s="5" t="s">
        <v>39</v>
      </c>
      <c r="I741" s="5" t="s">
        <v>40</v>
      </c>
      <c r="J741" s="5" t="s">
        <v>41</v>
      </c>
      <c r="K741">
        <v>52</v>
      </c>
      <c r="L741">
        <v>598911</v>
      </c>
      <c r="M741" s="26">
        <v>31143372</v>
      </c>
      <c r="N741">
        <v>45100</v>
      </c>
      <c r="O741" s="26">
        <v>4035760.95</v>
      </c>
      <c r="P741" s="5" t="s">
        <v>50</v>
      </c>
      <c r="Q741" s="5" t="s">
        <v>43</v>
      </c>
      <c r="R741">
        <v>4.8</v>
      </c>
      <c r="S741">
        <v>3</v>
      </c>
      <c r="T741">
        <f t="shared" si="11"/>
        <v>0</v>
      </c>
    </row>
    <row r="742" spans="1:20">
      <c r="A742" s="4">
        <v>44623</v>
      </c>
      <c r="B742">
        <v>2022</v>
      </c>
      <c r="C742">
        <v>3</v>
      </c>
      <c r="D742" s="5" t="s">
        <v>66</v>
      </c>
      <c r="E742" s="5" t="s">
        <v>67</v>
      </c>
      <c r="F742" s="5" t="s">
        <v>68</v>
      </c>
      <c r="G742" s="5" t="s">
        <v>69</v>
      </c>
      <c r="H742" s="5" t="s">
        <v>63</v>
      </c>
      <c r="I742" s="5" t="s">
        <v>64</v>
      </c>
      <c r="J742" s="5" t="s">
        <v>41</v>
      </c>
      <c r="K742">
        <v>57</v>
      </c>
      <c r="L742">
        <v>757637</v>
      </c>
      <c r="M742" s="26">
        <v>43185309</v>
      </c>
      <c r="N742">
        <v>20524</v>
      </c>
      <c r="O742" s="26">
        <v>5016148.17</v>
      </c>
      <c r="P742" s="5" t="s">
        <v>50</v>
      </c>
      <c r="Q742" s="5" t="s">
        <v>75</v>
      </c>
      <c r="R742">
        <v>3.8</v>
      </c>
      <c r="S742">
        <v>7</v>
      </c>
      <c r="T742">
        <f t="shared" si="11"/>
        <v>0</v>
      </c>
    </row>
    <row r="743" spans="1:20">
      <c r="A743" s="4">
        <v>44642</v>
      </c>
      <c r="B743">
        <v>2022</v>
      </c>
      <c r="C743">
        <v>3</v>
      </c>
      <c r="D743" s="5" t="s">
        <v>66</v>
      </c>
      <c r="E743" s="5" t="s">
        <v>67</v>
      </c>
      <c r="F743" s="5" t="s">
        <v>68</v>
      </c>
      <c r="G743" s="5" t="s">
        <v>69</v>
      </c>
      <c r="H743" s="5" t="s">
        <v>80</v>
      </c>
      <c r="I743" s="5" t="s">
        <v>81</v>
      </c>
      <c r="J743" s="5" t="s">
        <v>41</v>
      </c>
      <c r="K743">
        <v>58</v>
      </c>
      <c r="L743">
        <v>552036</v>
      </c>
      <c r="M743" s="26">
        <v>32018088</v>
      </c>
      <c r="N743">
        <v>33814</v>
      </c>
      <c r="O743" s="26">
        <v>3409778.22</v>
      </c>
      <c r="P743" s="5" t="s">
        <v>50</v>
      </c>
      <c r="Q743" s="5" t="s">
        <v>43</v>
      </c>
      <c r="R743">
        <v>3.6</v>
      </c>
      <c r="S743">
        <v>13</v>
      </c>
      <c r="T743">
        <f t="shared" si="11"/>
        <v>0</v>
      </c>
    </row>
    <row r="744" spans="1:20">
      <c r="A744" s="4">
        <v>44638</v>
      </c>
      <c r="B744">
        <v>2022</v>
      </c>
      <c r="C744">
        <v>3</v>
      </c>
      <c r="D744" s="5" t="s">
        <v>54</v>
      </c>
      <c r="E744" s="5" t="s">
        <v>70</v>
      </c>
      <c r="F744" s="5" t="s">
        <v>71</v>
      </c>
      <c r="G744" s="5" t="s">
        <v>72</v>
      </c>
      <c r="H744" s="5" t="s">
        <v>73</v>
      </c>
      <c r="I744" s="5" t="s">
        <v>40</v>
      </c>
      <c r="J744" s="5" t="s">
        <v>49</v>
      </c>
      <c r="K744">
        <v>38</v>
      </c>
      <c r="L744">
        <v>734586</v>
      </c>
      <c r="M744" s="26">
        <v>27914268</v>
      </c>
      <c r="N744">
        <v>35135</v>
      </c>
      <c r="O744" s="26">
        <v>3415868.03</v>
      </c>
      <c r="P744" s="5" t="s">
        <v>50</v>
      </c>
      <c r="Q744" s="5" t="s">
        <v>75</v>
      </c>
      <c r="R744">
        <v>3.9</v>
      </c>
      <c r="S744">
        <v>13</v>
      </c>
      <c r="T744">
        <f t="shared" si="11"/>
        <v>0</v>
      </c>
    </row>
    <row r="745" spans="1:20">
      <c r="A745" s="4">
        <v>44642</v>
      </c>
      <c r="B745">
        <v>2022</v>
      </c>
      <c r="C745">
        <v>3</v>
      </c>
      <c r="D745" s="5" t="s">
        <v>54</v>
      </c>
      <c r="E745" s="5" t="s">
        <v>55</v>
      </c>
      <c r="F745" s="5" t="s">
        <v>55</v>
      </c>
      <c r="G745" s="5" t="s">
        <v>56</v>
      </c>
      <c r="H745" s="5" t="s">
        <v>85</v>
      </c>
      <c r="I745" s="5" t="s">
        <v>58</v>
      </c>
      <c r="J745" s="5" t="s">
        <v>49</v>
      </c>
      <c r="K745">
        <v>20</v>
      </c>
      <c r="L745">
        <v>977871</v>
      </c>
      <c r="M745" s="26">
        <v>19557420</v>
      </c>
      <c r="N745">
        <v>26273</v>
      </c>
      <c r="O745" s="26">
        <v>2142098.2799999998</v>
      </c>
      <c r="P745" s="5" t="s">
        <v>42</v>
      </c>
      <c r="Q745" s="5" t="s">
        <v>43</v>
      </c>
      <c r="R745">
        <v>4.9000000000000004</v>
      </c>
      <c r="S745">
        <v>5</v>
      </c>
      <c r="T745">
        <f t="shared" si="11"/>
        <v>1</v>
      </c>
    </row>
    <row r="746" spans="1:20">
      <c r="A746" s="4">
        <v>44629</v>
      </c>
      <c r="B746">
        <v>2022</v>
      </c>
      <c r="C746">
        <v>3</v>
      </c>
      <c r="D746" s="5" t="s">
        <v>54</v>
      </c>
      <c r="E746" s="5" t="s">
        <v>55</v>
      </c>
      <c r="F746" s="5" t="s">
        <v>55</v>
      </c>
      <c r="G746" s="5" t="s">
        <v>56</v>
      </c>
      <c r="H746" s="5" t="s">
        <v>80</v>
      </c>
      <c r="I746" s="5" t="s">
        <v>81</v>
      </c>
      <c r="J746" s="5" t="s">
        <v>41</v>
      </c>
      <c r="K746">
        <v>18</v>
      </c>
      <c r="L746">
        <v>570712</v>
      </c>
      <c r="M746" s="26">
        <v>10272816</v>
      </c>
      <c r="N746">
        <v>27441</v>
      </c>
      <c r="O746" s="26">
        <v>885386.83</v>
      </c>
      <c r="P746" s="5" t="s">
        <v>50</v>
      </c>
      <c r="Q746" s="5" t="s">
        <v>75</v>
      </c>
      <c r="R746">
        <v>4</v>
      </c>
      <c r="S746">
        <v>11</v>
      </c>
      <c r="T746">
        <f t="shared" si="11"/>
        <v>0</v>
      </c>
    </row>
    <row r="747" spans="1:20">
      <c r="A747" s="4">
        <v>44623</v>
      </c>
      <c r="B747">
        <v>2022</v>
      </c>
      <c r="C747">
        <v>3</v>
      </c>
      <c r="D747" s="5" t="s">
        <v>35</v>
      </c>
      <c r="E747" s="5" t="s">
        <v>36</v>
      </c>
      <c r="F747" s="5" t="s">
        <v>37</v>
      </c>
      <c r="G747" s="5" t="s">
        <v>38</v>
      </c>
      <c r="H747" s="5" t="s">
        <v>79</v>
      </c>
      <c r="I747" s="5" t="s">
        <v>58</v>
      </c>
      <c r="J747" s="5" t="s">
        <v>49</v>
      </c>
      <c r="K747">
        <v>28</v>
      </c>
      <c r="L747">
        <v>903916</v>
      </c>
      <c r="M747" s="26">
        <v>25309648</v>
      </c>
      <c r="N747">
        <v>10448</v>
      </c>
      <c r="O747" s="26">
        <v>3607563.1</v>
      </c>
      <c r="P747" s="5" t="s">
        <v>42</v>
      </c>
      <c r="Q747" s="5" t="s">
        <v>43</v>
      </c>
      <c r="R747">
        <v>3.7</v>
      </c>
      <c r="S747">
        <v>20</v>
      </c>
      <c r="T747">
        <f t="shared" si="11"/>
        <v>1</v>
      </c>
    </row>
    <row r="748" spans="1:20">
      <c r="A748" s="4">
        <v>44640</v>
      </c>
      <c r="B748">
        <v>2022</v>
      </c>
      <c r="C748">
        <v>3</v>
      </c>
      <c r="D748" s="5" t="s">
        <v>54</v>
      </c>
      <c r="E748" s="5" t="s">
        <v>55</v>
      </c>
      <c r="F748" s="5" t="s">
        <v>55</v>
      </c>
      <c r="G748" s="5" t="s">
        <v>56</v>
      </c>
      <c r="H748" s="5" t="s">
        <v>57</v>
      </c>
      <c r="I748" s="5" t="s">
        <v>58</v>
      </c>
      <c r="J748" s="5" t="s">
        <v>59</v>
      </c>
      <c r="K748">
        <v>6</v>
      </c>
      <c r="L748">
        <v>1383011</v>
      </c>
      <c r="M748" s="26">
        <v>8298066</v>
      </c>
      <c r="N748">
        <v>18821</v>
      </c>
      <c r="O748" s="26">
        <v>881516.09</v>
      </c>
      <c r="P748" s="5" t="s">
        <v>50</v>
      </c>
      <c r="Q748" s="5" t="s">
        <v>51</v>
      </c>
      <c r="R748">
        <v>4.0999999999999996</v>
      </c>
      <c r="S748">
        <v>18</v>
      </c>
      <c r="T748">
        <f t="shared" si="11"/>
        <v>0</v>
      </c>
    </row>
    <row r="749" spans="1:20">
      <c r="A749" s="4">
        <v>44637</v>
      </c>
      <c r="B749">
        <v>2022</v>
      </c>
      <c r="C749">
        <v>3</v>
      </c>
      <c r="D749" s="5" t="s">
        <v>66</v>
      </c>
      <c r="E749" s="5" t="s">
        <v>67</v>
      </c>
      <c r="F749" s="5" t="s">
        <v>68</v>
      </c>
      <c r="G749" s="5" t="s">
        <v>69</v>
      </c>
      <c r="H749" s="5" t="s">
        <v>80</v>
      </c>
      <c r="I749" s="5" t="s">
        <v>81</v>
      </c>
      <c r="J749" s="5" t="s">
        <v>41</v>
      </c>
      <c r="K749">
        <v>41</v>
      </c>
      <c r="L749">
        <v>542416</v>
      </c>
      <c r="M749" s="26">
        <v>22239056</v>
      </c>
      <c r="N749">
        <v>29818</v>
      </c>
      <c r="O749" s="26">
        <v>2558355.6800000002</v>
      </c>
      <c r="P749" s="5" t="s">
        <v>42</v>
      </c>
      <c r="Q749" s="5" t="s">
        <v>75</v>
      </c>
      <c r="R749">
        <v>3.7</v>
      </c>
      <c r="S749">
        <v>19</v>
      </c>
      <c r="T749">
        <f t="shared" si="11"/>
        <v>1</v>
      </c>
    </row>
    <row r="750" spans="1:20">
      <c r="A750" s="4">
        <v>44632</v>
      </c>
      <c r="B750">
        <v>2022</v>
      </c>
      <c r="C750">
        <v>3</v>
      </c>
      <c r="D750" s="5" t="s">
        <v>44</v>
      </c>
      <c r="E750" s="5" t="s">
        <v>82</v>
      </c>
      <c r="F750" s="5" t="s">
        <v>83</v>
      </c>
      <c r="G750" s="5" t="s">
        <v>84</v>
      </c>
      <c r="H750" s="5" t="s">
        <v>57</v>
      </c>
      <c r="I750" s="5" t="s">
        <v>58</v>
      </c>
      <c r="J750" s="5" t="s">
        <v>59</v>
      </c>
      <c r="K750">
        <v>60</v>
      </c>
      <c r="L750">
        <v>1425144</v>
      </c>
      <c r="M750" s="26">
        <v>85508640</v>
      </c>
      <c r="N750">
        <v>11210</v>
      </c>
      <c r="O750" s="26">
        <v>11831233.68</v>
      </c>
      <c r="P750" s="5" t="s">
        <v>42</v>
      </c>
      <c r="Q750" s="5" t="s">
        <v>51</v>
      </c>
      <c r="R750">
        <v>4.7</v>
      </c>
      <c r="S750">
        <v>3</v>
      </c>
      <c r="T750">
        <f t="shared" si="11"/>
        <v>1</v>
      </c>
    </row>
    <row r="751" spans="1:20">
      <c r="A751" s="4">
        <v>44639</v>
      </c>
      <c r="B751">
        <v>2022</v>
      </c>
      <c r="C751">
        <v>3</v>
      </c>
      <c r="D751" s="5" t="s">
        <v>44</v>
      </c>
      <c r="E751" s="5" t="s">
        <v>45</v>
      </c>
      <c r="F751" s="5" t="s">
        <v>46</v>
      </c>
      <c r="G751" s="5" t="s">
        <v>47</v>
      </c>
      <c r="H751" s="5" t="s">
        <v>48</v>
      </c>
      <c r="I751" s="5" t="s">
        <v>40</v>
      </c>
      <c r="J751" s="5" t="s">
        <v>49</v>
      </c>
      <c r="K751">
        <v>48</v>
      </c>
      <c r="L751">
        <v>423924</v>
      </c>
      <c r="M751" s="26">
        <v>20348352</v>
      </c>
      <c r="N751">
        <v>30734</v>
      </c>
      <c r="O751" s="26">
        <v>1879759.45</v>
      </c>
      <c r="P751" s="5" t="s">
        <v>50</v>
      </c>
      <c r="Q751" s="5" t="s">
        <v>75</v>
      </c>
      <c r="R751">
        <v>4.3</v>
      </c>
      <c r="S751">
        <v>14</v>
      </c>
      <c r="T751">
        <f t="shared" si="11"/>
        <v>0</v>
      </c>
    </row>
    <row r="752" spans="1:20">
      <c r="A752" s="4">
        <v>44665</v>
      </c>
      <c r="B752">
        <v>2022</v>
      </c>
      <c r="C752">
        <v>4</v>
      </c>
      <c r="D752" s="5" t="s">
        <v>35</v>
      </c>
      <c r="E752" s="5" t="s">
        <v>76</v>
      </c>
      <c r="F752" s="5" t="s">
        <v>77</v>
      </c>
      <c r="G752" s="5" t="s">
        <v>78</v>
      </c>
      <c r="H752" s="5" t="s">
        <v>57</v>
      </c>
      <c r="I752" s="5" t="s">
        <v>58</v>
      </c>
      <c r="J752" s="5" t="s">
        <v>59</v>
      </c>
      <c r="K752">
        <v>30</v>
      </c>
      <c r="L752">
        <v>1420291</v>
      </c>
      <c r="M752" s="26">
        <v>42608730</v>
      </c>
      <c r="N752">
        <v>28274</v>
      </c>
      <c r="O752" s="26">
        <v>5779834.8700000001</v>
      </c>
      <c r="P752" s="5" t="s">
        <v>50</v>
      </c>
      <c r="Q752" s="5" t="s">
        <v>43</v>
      </c>
      <c r="R752">
        <v>4.4000000000000004</v>
      </c>
      <c r="S752">
        <v>10</v>
      </c>
      <c r="T752">
        <f t="shared" si="11"/>
        <v>0</v>
      </c>
    </row>
    <row r="753" spans="1:20">
      <c r="A753" s="4">
        <v>44677</v>
      </c>
      <c r="B753">
        <v>2022</v>
      </c>
      <c r="C753">
        <v>4</v>
      </c>
      <c r="D753" s="5" t="s">
        <v>35</v>
      </c>
      <c r="E753" s="5" t="s">
        <v>76</v>
      </c>
      <c r="F753" s="5" t="s">
        <v>77</v>
      </c>
      <c r="G753" s="5" t="s">
        <v>78</v>
      </c>
      <c r="H753" s="5" t="s">
        <v>65</v>
      </c>
      <c r="I753" s="5" t="s">
        <v>53</v>
      </c>
      <c r="J753" s="5" t="s">
        <v>49</v>
      </c>
      <c r="K753">
        <v>42</v>
      </c>
      <c r="L753">
        <v>1244568</v>
      </c>
      <c r="M753" s="26">
        <v>52271856</v>
      </c>
      <c r="N753">
        <v>45085</v>
      </c>
      <c r="O753" s="26">
        <v>6354475.71</v>
      </c>
      <c r="P753" s="5" t="s">
        <v>42</v>
      </c>
      <c r="Q753" s="5" t="s">
        <v>43</v>
      </c>
      <c r="R753">
        <v>4.3</v>
      </c>
      <c r="S753">
        <v>10</v>
      </c>
      <c r="T753">
        <f t="shared" si="11"/>
        <v>1</v>
      </c>
    </row>
    <row r="754" spans="1:20">
      <c r="A754" s="4">
        <v>44660</v>
      </c>
      <c r="B754">
        <v>2022</v>
      </c>
      <c r="C754">
        <v>4</v>
      </c>
      <c r="D754" s="5" t="s">
        <v>35</v>
      </c>
      <c r="E754" s="5" t="s">
        <v>36</v>
      </c>
      <c r="F754" s="5" t="s">
        <v>37</v>
      </c>
      <c r="G754" s="5" t="s">
        <v>38</v>
      </c>
      <c r="H754" s="5" t="s">
        <v>85</v>
      </c>
      <c r="I754" s="5" t="s">
        <v>58</v>
      </c>
      <c r="J754" s="5" t="s">
        <v>49</v>
      </c>
      <c r="K754">
        <v>53</v>
      </c>
      <c r="L754">
        <v>980514</v>
      </c>
      <c r="M754" s="26">
        <v>51967242</v>
      </c>
      <c r="N754">
        <v>7548</v>
      </c>
      <c r="O754" s="26">
        <v>7466766.0300000003</v>
      </c>
      <c r="P754" s="5" t="s">
        <v>50</v>
      </c>
      <c r="Q754" s="5" t="s">
        <v>51</v>
      </c>
      <c r="R754">
        <v>4.5</v>
      </c>
      <c r="S754">
        <v>3</v>
      </c>
      <c r="T754">
        <f t="shared" si="11"/>
        <v>0</v>
      </c>
    </row>
    <row r="755" spans="1:20">
      <c r="A755" s="4">
        <v>44659</v>
      </c>
      <c r="B755">
        <v>2022</v>
      </c>
      <c r="C755">
        <v>4</v>
      </c>
      <c r="D755" s="5" t="s">
        <v>44</v>
      </c>
      <c r="E755" s="5" t="s">
        <v>45</v>
      </c>
      <c r="F755" s="5" t="s">
        <v>46</v>
      </c>
      <c r="G755" s="5" t="s">
        <v>47</v>
      </c>
      <c r="H755" s="5" t="s">
        <v>48</v>
      </c>
      <c r="I755" s="5" t="s">
        <v>40</v>
      </c>
      <c r="J755" s="5" t="s">
        <v>49</v>
      </c>
      <c r="K755">
        <v>13</v>
      </c>
      <c r="L755">
        <v>451900</v>
      </c>
      <c r="M755" s="26">
        <v>5874700</v>
      </c>
      <c r="N755">
        <v>35281</v>
      </c>
      <c r="O755" s="26">
        <v>759596.13</v>
      </c>
      <c r="P755" s="5" t="s">
        <v>50</v>
      </c>
      <c r="Q755" s="5" t="s">
        <v>43</v>
      </c>
      <c r="R755">
        <v>3.8</v>
      </c>
      <c r="S755">
        <v>11</v>
      </c>
      <c r="T755">
        <f t="shared" si="11"/>
        <v>0</v>
      </c>
    </row>
    <row r="756" spans="1:20">
      <c r="A756" s="4">
        <v>44658</v>
      </c>
      <c r="B756">
        <v>2022</v>
      </c>
      <c r="C756">
        <v>4</v>
      </c>
      <c r="D756" s="5" t="s">
        <v>35</v>
      </c>
      <c r="E756" s="5" t="s">
        <v>60</v>
      </c>
      <c r="F756" s="5" t="s">
        <v>61</v>
      </c>
      <c r="G756" s="5" t="s">
        <v>62</v>
      </c>
      <c r="H756" s="5" t="s">
        <v>74</v>
      </c>
      <c r="I756" s="5" t="s">
        <v>40</v>
      </c>
      <c r="J756" s="5" t="s">
        <v>49</v>
      </c>
      <c r="K756">
        <v>14</v>
      </c>
      <c r="L756">
        <v>652977</v>
      </c>
      <c r="M756" s="26">
        <v>9141678</v>
      </c>
      <c r="N756">
        <v>47776</v>
      </c>
      <c r="O756" s="26">
        <v>1205756.6200000001</v>
      </c>
      <c r="P756" s="5" t="s">
        <v>50</v>
      </c>
      <c r="Q756" s="5" t="s">
        <v>75</v>
      </c>
      <c r="R756">
        <v>3.7</v>
      </c>
      <c r="S756">
        <v>14</v>
      </c>
      <c r="T756">
        <f t="shared" si="11"/>
        <v>0</v>
      </c>
    </row>
    <row r="757" spans="1:20">
      <c r="A757" s="4">
        <v>44656</v>
      </c>
      <c r="B757">
        <v>2022</v>
      </c>
      <c r="C757">
        <v>4</v>
      </c>
      <c r="D757" s="5" t="s">
        <v>54</v>
      </c>
      <c r="E757" s="5" t="s">
        <v>55</v>
      </c>
      <c r="F757" s="5" t="s">
        <v>55</v>
      </c>
      <c r="G757" s="5" t="s">
        <v>56</v>
      </c>
      <c r="H757" s="5" t="s">
        <v>79</v>
      </c>
      <c r="I757" s="5" t="s">
        <v>58</v>
      </c>
      <c r="J757" s="5" t="s">
        <v>49</v>
      </c>
      <c r="K757">
        <v>44</v>
      </c>
      <c r="L757">
        <v>894109</v>
      </c>
      <c r="M757" s="26">
        <v>39340796</v>
      </c>
      <c r="N757">
        <v>28646</v>
      </c>
      <c r="O757" s="26">
        <v>4197002.12</v>
      </c>
      <c r="P757" s="5" t="s">
        <v>42</v>
      </c>
      <c r="Q757" s="5" t="s">
        <v>43</v>
      </c>
      <c r="R757">
        <v>4.3</v>
      </c>
      <c r="S757">
        <v>12</v>
      </c>
      <c r="T757">
        <f t="shared" si="11"/>
        <v>1</v>
      </c>
    </row>
    <row r="758" spans="1:20">
      <c r="A758" s="4">
        <v>44652</v>
      </c>
      <c r="B758">
        <v>2022</v>
      </c>
      <c r="C758">
        <v>4</v>
      </c>
      <c r="D758" s="5" t="s">
        <v>54</v>
      </c>
      <c r="E758" s="5" t="s">
        <v>55</v>
      </c>
      <c r="F758" s="5" t="s">
        <v>55</v>
      </c>
      <c r="G758" s="5" t="s">
        <v>56</v>
      </c>
      <c r="H758" s="5" t="s">
        <v>52</v>
      </c>
      <c r="I758" s="5" t="s">
        <v>53</v>
      </c>
      <c r="J758" s="5" t="s">
        <v>41</v>
      </c>
      <c r="K758">
        <v>34</v>
      </c>
      <c r="L758">
        <v>970178</v>
      </c>
      <c r="M758" s="26">
        <v>32986052</v>
      </c>
      <c r="N758">
        <v>15637</v>
      </c>
      <c r="O758" s="26">
        <v>2884091.57</v>
      </c>
      <c r="P758" s="5" t="s">
        <v>50</v>
      </c>
      <c r="Q758" s="5" t="s">
        <v>43</v>
      </c>
      <c r="R758">
        <v>4.5</v>
      </c>
      <c r="S758">
        <v>5</v>
      </c>
      <c r="T758">
        <f t="shared" si="11"/>
        <v>0</v>
      </c>
    </row>
    <row r="759" spans="1:20">
      <c r="A759" s="4">
        <v>44671</v>
      </c>
      <c r="B759">
        <v>2022</v>
      </c>
      <c r="C759">
        <v>4</v>
      </c>
      <c r="D759" s="5" t="s">
        <v>35</v>
      </c>
      <c r="E759" s="5" t="s">
        <v>76</v>
      </c>
      <c r="F759" s="5" t="s">
        <v>77</v>
      </c>
      <c r="G759" s="5" t="s">
        <v>78</v>
      </c>
      <c r="H759" s="5" t="s">
        <v>79</v>
      </c>
      <c r="I759" s="5" t="s">
        <v>58</v>
      </c>
      <c r="J759" s="5" t="s">
        <v>49</v>
      </c>
      <c r="K759">
        <v>44</v>
      </c>
      <c r="L759">
        <v>904526</v>
      </c>
      <c r="M759" s="26">
        <v>39799144</v>
      </c>
      <c r="N759">
        <v>31978</v>
      </c>
      <c r="O759" s="26">
        <v>5806892.9400000004</v>
      </c>
      <c r="P759" s="5" t="s">
        <v>50</v>
      </c>
      <c r="Q759" s="5" t="s">
        <v>43</v>
      </c>
      <c r="R759">
        <v>4.3</v>
      </c>
      <c r="S759">
        <v>3</v>
      </c>
      <c r="T759">
        <f t="shared" si="11"/>
        <v>0</v>
      </c>
    </row>
    <row r="760" spans="1:20">
      <c r="A760" s="4">
        <v>44678</v>
      </c>
      <c r="B760">
        <v>2022</v>
      </c>
      <c r="C760">
        <v>4</v>
      </c>
      <c r="D760" s="5" t="s">
        <v>35</v>
      </c>
      <c r="E760" s="5" t="s">
        <v>60</v>
      </c>
      <c r="F760" s="5" t="s">
        <v>61</v>
      </c>
      <c r="G760" s="5" t="s">
        <v>62</v>
      </c>
      <c r="H760" s="5" t="s">
        <v>85</v>
      </c>
      <c r="I760" s="5" t="s">
        <v>58</v>
      </c>
      <c r="J760" s="5" t="s">
        <v>49</v>
      </c>
      <c r="K760">
        <v>7</v>
      </c>
      <c r="L760">
        <v>986193</v>
      </c>
      <c r="M760" s="26">
        <v>6903351</v>
      </c>
      <c r="N760">
        <v>5187</v>
      </c>
      <c r="O760" s="26">
        <v>938825.59</v>
      </c>
      <c r="P760" s="5" t="s">
        <v>42</v>
      </c>
      <c r="Q760" s="5" t="s">
        <v>43</v>
      </c>
      <c r="R760">
        <v>3.6</v>
      </c>
      <c r="S760">
        <v>13</v>
      </c>
      <c r="T760">
        <f t="shared" si="11"/>
        <v>1</v>
      </c>
    </row>
    <row r="761" spans="1:20">
      <c r="A761" s="4">
        <v>44679</v>
      </c>
      <c r="B761">
        <v>2022</v>
      </c>
      <c r="C761">
        <v>4</v>
      </c>
      <c r="D761" s="5" t="s">
        <v>66</v>
      </c>
      <c r="E761" s="5" t="s">
        <v>67</v>
      </c>
      <c r="F761" s="5" t="s">
        <v>68</v>
      </c>
      <c r="G761" s="5" t="s">
        <v>69</v>
      </c>
      <c r="H761" s="5" t="s">
        <v>74</v>
      </c>
      <c r="I761" s="5" t="s">
        <v>40</v>
      </c>
      <c r="J761" s="5" t="s">
        <v>49</v>
      </c>
      <c r="K761">
        <v>43</v>
      </c>
      <c r="L761">
        <v>679838</v>
      </c>
      <c r="M761" s="26">
        <v>29233034</v>
      </c>
      <c r="N761">
        <v>48071</v>
      </c>
      <c r="O761" s="26">
        <v>2968200.51</v>
      </c>
      <c r="P761" s="5" t="s">
        <v>50</v>
      </c>
      <c r="Q761" s="5" t="s">
        <v>75</v>
      </c>
      <c r="R761">
        <v>3.7</v>
      </c>
      <c r="S761">
        <v>3</v>
      </c>
      <c r="T761">
        <f t="shared" si="11"/>
        <v>0</v>
      </c>
    </row>
    <row r="762" spans="1:20">
      <c r="A762" s="4">
        <v>44674</v>
      </c>
      <c r="B762">
        <v>2022</v>
      </c>
      <c r="C762">
        <v>4</v>
      </c>
      <c r="D762" s="5" t="s">
        <v>66</v>
      </c>
      <c r="E762" s="5" t="s">
        <v>67</v>
      </c>
      <c r="F762" s="5" t="s">
        <v>68</v>
      </c>
      <c r="G762" s="5" t="s">
        <v>69</v>
      </c>
      <c r="H762" s="5" t="s">
        <v>65</v>
      </c>
      <c r="I762" s="5" t="s">
        <v>53</v>
      </c>
      <c r="J762" s="5" t="s">
        <v>49</v>
      </c>
      <c r="K762">
        <v>11</v>
      </c>
      <c r="L762">
        <v>1256130</v>
      </c>
      <c r="M762" s="26">
        <v>13817430</v>
      </c>
      <c r="N762">
        <v>7142</v>
      </c>
      <c r="O762" s="26">
        <v>1690406.04</v>
      </c>
      <c r="P762" s="5" t="s">
        <v>42</v>
      </c>
      <c r="Q762" s="5" t="s">
        <v>75</v>
      </c>
      <c r="R762">
        <v>3.5</v>
      </c>
      <c r="S762">
        <v>19</v>
      </c>
      <c r="T762">
        <f t="shared" si="11"/>
        <v>1</v>
      </c>
    </row>
    <row r="763" spans="1:20">
      <c r="A763" s="4">
        <v>44672</v>
      </c>
      <c r="B763">
        <v>2022</v>
      </c>
      <c r="C763">
        <v>4</v>
      </c>
      <c r="D763" s="5" t="s">
        <v>54</v>
      </c>
      <c r="E763" s="5" t="s">
        <v>55</v>
      </c>
      <c r="F763" s="5" t="s">
        <v>55</v>
      </c>
      <c r="G763" s="5" t="s">
        <v>56</v>
      </c>
      <c r="H763" s="5" t="s">
        <v>86</v>
      </c>
      <c r="I763" s="5" t="s">
        <v>40</v>
      </c>
      <c r="J763" s="5" t="s">
        <v>41</v>
      </c>
      <c r="K763">
        <v>19</v>
      </c>
      <c r="L763">
        <v>570191</v>
      </c>
      <c r="M763" s="26">
        <v>10833629</v>
      </c>
      <c r="N763">
        <v>39850</v>
      </c>
      <c r="O763" s="26">
        <v>893876.33</v>
      </c>
      <c r="P763" s="5" t="s">
        <v>50</v>
      </c>
      <c r="Q763" s="5" t="s">
        <v>51</v>
      </c>
      <c r="R763">
        <v>4.5999999999999996</v>
      </c>
      <c r="S763">
        <v>5</v>
      </c>
      <c r="T763">
        <f t="shared" si="11"/>
        <v>0</v>
      </c>
    </row>
    <row r="764" spans="1:20">
      <c r="A764" s="4">
        <v>44659</v>
      </c>
      <c r="B764">
        <v>2022</v>
      </c>
      <c r="C764">
        <v>4</v>
      </c>
      <c r="D764" s="5" t="s">
        <v>35</v>
      </c>
      <c r="E764" s="5" t="s">
        <v>60</v>
      </c>
      <c r="F764" s="5" t="s">
        <v>61</v>
      </c>
      <c r="G764" s="5" t="s">
        <v>62</v>
      </c>
      <c r="H764" s="5" t="s">
        <v>52</v>
      </c>
      <c r="I764" s="5" t="s">
        <v>53</v>
      </c>
      <c r="J764" s="5" t="s">
        <v>41</v>
      </c>
      <c r="K764">
        <v>26</v>
      </c>
      <c r="L764">
        <v>930746</v>
      </c>
      <c r="M764" s="26">
        <v>24199396</v>
      </c>
      <c r="N764">
        <v>48126</v>
      </c>
      <c r="O764" s="26">
        <v>2347714.37</v>
      </c>
      <c r="P764" s="5" t="s">
        <v>50</v>
      </c>
      <c r="Q764" s="5" t="s">
        <v>51</v>
      </c>
      <c r="R764">
        <v>4.9000000000000004</v>
      </c>
      <c r="S764">
        <v>8</v>
      </c>
      <c r="T764">
        <f t="shared" si="11"/>
        <v>0</v>
      </c>
    </row>
    <row r="765" spans="1:20">
      <c r="A765" s="4">
        <v>44656</v>
      </c>
      <c r="B765">
        <v>2022</v>
      </c>
      <c r="C765">
        <v>4</v>
      </c>
      <c r="D765" s="5" t="s">
        <v>35</v>
      </c>
      <c r="E765" s="5" t="s">
        <v>36</v>
      </c>
      <c r="F765" s="5" t="s">
        <v>37</v>
      </c>
      <c r="G765" s="5" t="s">
        <v>38</v>
      </c>
      <c r="H765" s="5" t="s">
        <v>65</v>
      </c>
      <c r="I765" s="5" t="s">
        <v>53</v>
      </c>
      <c r="J765" s="5" t="s">
        <v>49</v>
      </c>
      <c r="K765">
        <v>24</v>
      </c>
      <c r="L765">
        <v>1226066</v>
      </c>
      <c r="M765" s="26">
        <v>29425584</v>
      </c>
      <c r="N765">
        <v>10159</v>
      </c>
      <c r="O765" s="26">
        <v>3988919.72</v>
      </c>
      <c r="P765" s="5" t="s">
        <v>50</v>
      </c>
      <c r="Q765" s="5" t="s">
        <v>43</v>
      </c>
      <c r="R765">
        <v>4.5999999999999996</v>
      </c>
      <c r="S765">
        <v>10</v>
      </c>
      <c r="T765">
        <f t="shared" si="11"/>
        <v>0</v>
      </c>
    </row>
    <row r="766" spans="1:20">
      <c r="A766" s="4">
        <v>44665</v>
      </c>
      <c r="B766">
        <v>2022</v>
      </c>
      <c r="C766">
        <v>4</v>
      </c>
      <c r="D766" s="5" t="s">
        <v>54</v>
      </c>
      <c r="E766" s="5" t="s">
        <v>70</v>
      </c>
      <c r="F766" s="5" t="s">
        <v>71</v>
      </c>
      <c r="G766" s="5" t="s">
        <v>72</v>
      </c>
      <c r="H766" s="5" t="s">
        <v>85</v>
      </c>
      <c r="I766" s="5" t="s">
        <v>58</v>
      </c>
      <c r="J766" s="5" t="s">
        <v>49</v>
      </c>
      <c r="K766">
        <v>14</v>
      </c>
      <c r="L766">
        <v>961283</v>
      </c>
      <c r="M766" s="26">
        <v>13457962</v>
      </c>
      <c r="N766">
        <v>43321</v>
      </c>
      <c r="O766" s="26">
        <v>1902736.18</v>
      </c>
      <c r="P766" s="5" t="s">
        <v>50</v>
      </c>
      <c r="Q766" s="5" t="s">
        <v>43</v>
      </c>
      <c r="R766">
        <v>4.3</v>
      </c>
      <c r="S766">
        <v>7</v>
      </c>
      <c r="T766">
        <f t="shared" si="11"/>
        <v>0</v>
      </c>
    </row>
    <row r="767" spans="1:20">
      <c r="A767" s="4">
        <v>44669</v>
      </c>
      <c r="B767">
        <v>2022</v>
      </c>
      <c r="C767">
        <v>4</v>
      </c>
      <c r="D767" s="5" t="s">
        <v>54</v>
      </c>
      <c r="E767" s="5" t="s">
        <v>55</v>
      </c>
      <c r="F767" s="5" t="s">
        <v>55</v>
      </c>
      <c r="G767" s="5" t="s">
        <v>56</v>
      </c>
      <c r="H767" s="5" t="s">
        <v>57</v>
      </c>
      <c r="I767" s="5" t="s">
        <v>58</v>
      </c>
      <c r="J767" s="5" t="s">
        <v>59</v>
      </c>
      <c r="K767">
        <v>48</v>
      </c>
      <c r="L767">
        <v>1372841</v>
      </c>
      <c r="M767" s="26">
        <v>65896368</v>
      </c>
      <c r="N767">
        <v>23293</v>
      </c>
      <c r="O767" s="26">
        <v>10527656.08</v>
      </c>
      <c r="P767" s="5" t="s">
        <v>42</v>
      </c>
      <c r="Q767" s="5" t="s">
        <v>43</v>
      </c>
      <c r="R767">
        <v>3.8</v>
      </c>
      <c r="S767">
        <v>5</v>
      </c>
      <c r="T767">
        <f t="shared" si="11"/>
        <v>1</v>
      </c>
    </row>
    <row r="768" spans="1:20">
      <c r="A768" s="4">
        <v>44675</v>
      </c>
      <c r="B768">
        <v>2022</v>
      </c>
      <c r="C768">
        <v>4</v>
      </c>
      <c r="D768" s="5" t="s">
        <v>54</v>
      </c>
      <c r="E768" s="5" t="s">
        <v>70</v>
      </c>
      <c r="F768" s="5" t="s">
        <v>71</v>
      </c>
      <c r="G768" s="5" t="s">
        <v>72</v>
      </c>
      <c r="H768" s="5" t="s">
        <v>65</v>
      </c>
      <c r="I768" s="5" t="s">
        <v>53</v>
      </c>
      <c r="J768" s="5" t="s">
        <v>49</v>
      </c>
      <c r="K768">
        <v>26</v>
      </c>
      <c r="L768">
        <v>1276264</v>
      </c>
      <c r="M768" s="26">
        <v>33182864</v>
      </c>
      <c r="N768">
        <v>37825</v>
      </c>
      <c r="O768" s="26">
        <v>3992196.84</v>
      </c>
      <c r="P768" s="5" t="s">
        <v>42</v>
      </c>
      <c r="Q768" s="5" t="s">
        <v>75</v>
      </c>
      <c r="R768">
        <v>4.5999999999999996</v>
      </c>
      <c r="S768">
        <v>11</v>
      </c>
      <c r="T768">
        <f t="shared" si="11"/>
        <v>1</v>
      </c>
    </row>
    <row r="769" spans="1:20">
      <c r="A769" s="4">
        <v>44665</v>
      </c>
      <c r="B769">
        <v>2022</v>
      </c>
      <c r="C769">
        <v>4</v>
      </c>
      <c r="D769" s="5" t="s">
        <v>44</v>
      </c>
      <c r="E769" s="5" t="s">
        <v>82</v>
      </c>
      <c r="F769" s="5" t="s">
        <v>83</v>
      </c>
      <c r="G769" s="5" t="s">
        <v>84</v>
      </c>
      <c r="H769" s="5" t="s">
        <v>48</v>
      </c>
      <c r="I769" s="5" t="s">
        <v>40</v>
      </c>
      <c r="J769" s="5" t="s">
        <v>49</v>
      </c>
      <c r="K769">
        <v>37</v>
      </c>
      <c r="L769">
        <v>441243</v>
      </c>
      <c r="M769" s="26">
        <v>16325991</v>
      </c>
      <c r="N769">
        <v>38039</v>
      </c>
      <c r="O769" s="26">
        <v>2149947.25</v>
      </c>
      <c r="P769" s="5" t="s">
        <v>50</v>
      </c>
      <c r="Q769" s="5" t="s">
        <v>75</v>
      </c>
      <c r="R769">
        <v>3.6</v>
      </c>
      <c r="S769">
        <v>4</v>
      </c>
      <c r="T769">
        <f t="shared" si="11"/>
        <v>0</v>
      </c>
    </row>
    <row r="770" spans="1:20">
      <c r="A770" s="4">
        <v>44670</v>
      </c>
      <c r="B770">
        <v>2022</v>
      </c>
      <c r="C770">
        <v>4</v>
      </c>
      <c r="D770" s="5" t="s">
        <v>44</v>
      </c>
      <c r="E770" s="5" t="s">
        <v>82</v>
      </c>
      <c r="F770" s="5" t="s">
        <v>83</v>
      </c>
      <c r="G770" s="5" t="s">
        <v>84</v>
      </c>
      <c r="H770" s="5" t="s">
        <v>39</v>
      </c>
      <c r="I770" s="5" t="s">
        <v>40</v>
      </c>
      <c r="J770" s="5" t="s">
        <v>41</v>
      </c>
      <c r="K770">
        <v>31</v>
      </c>
      <c r="L770">
        <v>592048</v>
      </c>
      <c r="M770" s="26">
        <v>18353488</v>
      </c>
      <c r="N770">
        <v>30324</v>
      </c>
      <c r="O770" s="26">
        <v>2014876.42</v>
      </c>
      <c r="P770" s="5" t="s">
        <v>50</v>
      </c>
      <c r="Q770" s="5" t="s">
        <v>51</v>
      </c>
      <c r="R770">
        <v>3.7</v>
      </c>
      <c r="S770">
        <v>19</v>
      </c>
      <c r="T770">
        <f t="shared" ref="T770:T833" si="12">IF(AND(OR($B770=Sel_Year,Sel_Year="All"),OR($C770=Sel_Month,Sel_Month="All"),OR($D770=Sel_Region,Sel_Region="All"),OR($E770=Sel_State,Sel_State="All"),OR($F770=Sel_City,Sel_City="All"),OR($G770=Sel_Dealer,Sel_Dealer="All"),OR($H770=Sel_Model,Sel_Model="All"),OR($I770=Sel_Segment,Sel_Segment="All"),OR($J770=Sel_Fuel,Sel_Fuel="All"),OR($P770=Sel_CustType,Sel_CustType="All"),OR($Q770=Sel_Payment,Sel_Payment="All")),1,0)</f>
        <v>0</v>
      </c>
    </row>
    <row r="771" spans="1:20">
      <c r="A771" s="4">
        <v>44660</v>
      </c>
      <c r="B771">
        <v>2022</v>
      </c>
      <c r="C771">
        <v>4</v>
      </c>
      <c r="D771" s="5" t="s">
        <v>35</v>
      </c>
      <c r="E771" s="5" t="s">
        <v>60</v>
      </c>
      <c r="F771" s="5" t="s">
        <v>61</v>
      </c>
      <c r="G771" s="5" t="s">
        <v>62</v>
      </c>
      <c r="H771" s="5" t="s">
        <v>57</v>
      </c>
      <c r="I771" s="5" t="s">
        <v>58</v>
      </c>
      <c r="J771" s="5" t="s">
        <v>59</v>
      </c>
      <c r="K771">
        <v>31</v>
      </c>
      <c r="L771">
        <v>1384739</v>
      </c>
      <c r="M771" s="26">
        <v>42926909</v>
      </c>
      <c r="N771">
        <v>41320</v>
      </c>
      <c r="O771" s="26">
        <v>6427592.0499999998</v>
      </c>
      <c r="P771" s="5" t="s">
        <v>42</v>
      </c>
      <c r="Q771" s="5" t="s">
        <v>43</v>
      </c>
      <c r="R771">
        <v>4.5</v>
      </c>
      <c r="S771">
        <v>7</v>
      </c>
      <c r="T771">
        <f t="shared" si="12"/>
        <v>1</v>
      </c>
    </row>
    <row r="772" spans="1:20">
      <c r="A772" s="4">
        <v>44667</v>
      </c>
      <c r="B772">
        <v>2022</v>
      </c>
      <c r="C772">
        <v>4</v>
      </c>
      <c r="D772" s="5" t="s">
        <v>54</v>
      </c>
      <c r="E772" s="5" t="s">
        <v>55</v>
      </c>
      <c r="F772" s="5" t="s">
        <v>55</v>
      </c>
      <c r="G772" s="5" t="s">
        <v>56</v>
      </c>
      <c r="H772" s="5" t="s">
        <v>73</v>
      </c>
      <c r="I772" s="5" t="s">
        <v>40</v>
      </c>
      <c r="J772" s="5" t="s">
        <v>49</v>
      </c>
      <c r="K772">
        <v>51</v>
      </c>
      <c r="L772">
        <v>696587</v>
      </c>
      <c r="M772" s="26">
        <v>35525937</v>
      </c>
      <c r="N772">
        <v>33689</v>
      </c>
      <c r="O772" s="26">
        <v>3187855.77</v>
      </c>
      <c r="P772" s="5" t="s">
        <v>42</v>
      </c>
      <c r="Q772" s="5" t="s">
        <v>43</v>
      </c>
      <c r="R772">
        <v>3.7</v>
      </c>
      <c r="S772">
        <v>12</v>
      </c>
      <c r="T772">
        <f t="shared" si="12"/>
        <v>1</v>
      </c>
    </row>
    <row r="773" spans="1:20">
      <c r="A773" s="4">
        <v>44677</v>
      </c>
      <c r="B773">
        <v>2022</v>
      </c>
      <c r="C773">
        <v>4</v>
      </c>
      <c r="D773" s="5" t="s">
        <v>66</v>
      </c>
      <c r="E773" s="5" t="s">
        <v>67</v>
      </c>
      <c r="F773" s="5" t="s">
        <v>68</v>
      </c>
      <c r="G773" s="5" t="s">
        <v>69</v>
      </c>
      <c r="H773" s="5" t="s">
        <v>73</v>
      </c>
      <c r="I773" s="5" t="s">
        <v>40</v>
      </c>
      <c r="J773" s="5" t="s">
        <v>49</v>
      </c>
      <c r="K773">
        <v>15</v>
      </c>
      <c r="L773">
        <v>724053</v>
      </c>
      <c r="M773" s="26">
        <v>10860795</v>
      </c>
      <c r="N773">
        <v>39951</v>
      </c>
      <c r="O773" s="26">
        <v>1258488.67</v>
      </c>
      <c r="P773" s="5" t="s">
        <v>50</v>
      </c>
      <c r="Q773" s="5" t="s">
        <v>43</v>
      </c>
      <c r="R773">
        <v>4</v>
      </c>
      <c r="S773">
        <v>5</v>
      </c>
      <c r="T773">
        <f t="shared" si="12"/>
        <v>0</v>
      </c>
    </row>
    <row r="774" spans="1:20">
      <c r="A774" s="4">
        <v>44659</v>
      </c>
      <c r="B774">
        <v>2022</v>
      </c>
      <c r="C774">
        <v>4</v>
      </c>
      <c r="D774" s="5" t="s">
        <v>54</v>
      </c>
      <c r="E774" s="5" t="s">
        <v>70</v>
      </c>
      <c r="F774" s="5" t="s">
        <v>71</v>
      </c>
      <c r="G774" s="5" t="s">
        <v>72</v>
      </c>
      <c r="H774" s="5" t="s">
        <v>73</v>
      </c>
      <c r="I774" s="5" t="s">
        <v>40</v>
      </c>
      <c r="J774" s="5" t="s">
        <v>49</v>
      </c>
      <c r="K774">
        <v>54</v>
      </c>
      <c r="L774">
        <v>696470</v>
      </c>
      <c r="M774" s="26">
        <v>37609380</v>
      </c>
      <c r="N774">
        <v>41106</v>
      </c>
      <c r="O774" s="26">
        <v>3741842.34</v>
      </c>
      <c r="P774" s="5" t="s">
        <v>42</v>
      </c>
      <c r="Q774" s="5" t="s">
        <v>43</v>
      </c>
      <c r="R774">
        <v>3.6</v>
      </c>
      <c r="S774">
        <v>3</v>
      </c>
      <c r="T774">
        <f t="shared" si="12"/>
        <v>1</v>
      </c>
    </row>
    <row r="775" spans="1:20">
      <c r="A775" s="4">
        <v>44675</v>
      </c>
      <c r="B775">
        <v>2022</v>
      </c>
      <c r="C775">
        <v>4</v>
      </c>
      <c r="D775" s="5" t="s">
        <v>54</v>
      </c>
      <c r="E775" s="5" t="s">
        <v>55</v>
      </c>
      <c r="F775" s="5" t="s">
        <v>55</v>
      </c>
      <c r="G775" s="5" t="s">
        <v>56</v>
      </c>
      <c r="H775" s="5" t="s">
        <v>79</v>
      </c>
      <c r="I775" s="5" t="s">
        <v>58</v>
      </c>
      <c r="J775" s="5" t="s">
        <v>49</v>
      </c>
      <c r="K775">
        <v>48</v>
      </c>
      <c r="L775">
        <v>891732</v>
      </c>
      <c r="M775" s="26">
        <v>42803136</v>
      </c>
      <c r="N775">
        <v>24972</v>
      </c>
      <c r="O775" s="26">
        <v>5321866.1900000004</v>
      </c>
      <c r="P775" s="5" t="s">
        <v>50</v>
      </c>
      <c r="Q775" s="5" t="s">
        <v>43</v>
      </c>
      <c r="R775">
        <v>3.7</v>
      </c>
      <c r="S775">
        <v>4</v>
      </c>
      <c r="T775">
        <f t="shared" si="12"/>
        <v>0</v>
      </c>
    </row>
    <row r="776" spans="1:20">
      <c r="A776" s="4">
        <v>44673</v>
      </c>
      <c r="B776">
        <v>2022</v>
      </c>
      <c r="C776">
        <v>4</v>
      </c>
      <c r="D776" s="5" t="s">
        <v>35</v>
      </c>
      <c r="E776" s="5" t="s">
        <v>76</v>
      </c>
      <c r="F776" s="5" t="s">
        <v>77</v>
      </c>
      <c r="G776" s="5" t="s">
        <v>78</v>
      </c>
      <c r="H776" s="5" t="s">
        <v>74</v>
      </c>
      <c r="I776" s="5" t="s">
        <v>40</v>
      </c>
      <c r="J776" s="5" t="s">
        <v>49</v>
      </c>
      <c r="K776">
        <v>16</v>
      </c>
      <c r="L776">
        <v>674252</v>
      </c>
      <c r="M776" s="26">
        <v>10788032</v>
      </c>
      <c r="N776">
        <v>28424</v>
      </c>
      <c r="O776" s="26">
        <v>1239240.51</v>
      </c>
      <c r="P776" s="5" t="s">
        <v>42</v>
      </c>
      <c r="Q776" s="5" t="s">
        <v>75</v>
      </c>
      <c r="R776">
        <v>3.7</v>
      </c>
      <c r="S776">
        <v>14</v>
      </c>
      <c r="T776">
        <f t="shared" si="12"/>
        <v>1</v>
      </c>
    </row>
    <row r="777" spans="1:20">
      <c r="A777" s="4">
        <v>44671</v>
      </c>
      <c r="B777">
        <v>2022</v>
      </c>
      <c r="C777">
        <v>4</v>
      </c>
      <c r="D777" s="5" t="s">
        <v>35</v>
      </c>
      <c r="E777" s="5" t="s">
        <v>36</v>
      </c>
      <c r="F777" s="5" t="s">
        <v>37</v>
      </c>
      <c r="G777" s="5" t="s">
        <v>38</v>
      </c>
      <c r="H777" s="5" t="s">
        <v>86</v>
      </c>
      <c r="I777" s="5" t="s">
        <v>40</v>
      </c>
      <c r="J777" s="5" t="s">
        <v>41</v>
      </c>
      <c r="K777">
        <v>20</v>
      </c>
      <c r="L777">
        <v>624200</v>
      </c>
      <c r="M777" s="26">
        <v>12484000</v>
      </c>
      <c r="N777">
        <v>35455</v>
      </c>
      <c r="O777" s="26">
        <v>1141684.53</v>
      </c>
      <c r="P777" s="5" t="s">
        <v>42</v>
      </c>
      <c r="Q777" s="5" t="s">
        <v>51</v>
      </c>
      <c r="R777">
        <v>4</v>
      </c>
      <c r="S777">
        <v>12</v>
      </c>
      <c r="T777">
        <f t="shared" si="12"/>
        <v>1</v>
      </c>
    </row>
    <row r="778" spans="1:20">
      <c r="A778" s="4">
        <v>44679</v>
      </c>
      <c r="B778">
        <v>2022</v>
      </c>
      <c r="C778">
        <v>4</v>
      </c>
      <c r="D778" s="5" t="s">
        <v>44</v>
      </c>
      <c r="E778" s="5" t="s">
        <v>82</v>
      </c>
      <c r="F778" s="5" t="s">
        <v>83</v>
      </c>
      <c r="G778" s="5" t="s">
        <v>84</v>
      </c>
      <c r="H778" s="5" t="s">
        <v>85</v>
      </c>
      <c r="I778" s="5" t="s">
        <v>58</v>
      </c>
      <c r="J778" s="5" t="s">
        <v>49</v>
      </c>
      <c r="K778">
        <v>59</v>
      </c>
      <c r="L778">
        <v>1003134</v>
      </c>
      <c r="M778" s="26">
        <v>59184906</v>
      </c>
      <c r="N778">
        <v>17791</v>
      </c>
      <c r="O778" s="26">
        <v>5524527.4299999997</v>
      </c>
      <c r="P778" s="5" t="s">
        <v>42</v>
      </c>
      <c r="Q778" s="5" t="s">
        <v>75</v>
      </c>
      <c r="R778">
        <v>3.7</v>
      </c>
      <c r="S778">
        <v>2</v>
      </c>
      <c r="T778">
        <f t="shared" si="12"/>
        <v>1</v>
      </c>
    </row>
    <row r="779" spans="1:20">
      <c r="A779" s="4">
        <v>44665</v>
      </c>
      <c r="B779">
        <v>2022</v>
      </c>
      <c r="C779">
        <v>4</v>
      </c>
      <c r="D779" s="5" t="s">
        <v>66</v>
      </c>
      <c r="E779" s="5" t="s">
        <v>67</v>
      </c>
      <c r="F779" s="5" t="s">
        <v>68</v>
      </c>
      <c r="G779" s="5" t="s">
        <v>69</v>
      </c>
      <c r="H779" s="5" t="s">
        <v>74</v>
      </c>
      <c r="I779" s="5" t="s">
        <v>40</v>
      </c>
      <c r="J779" s="5" t="s">
        <v>49</v>
      </c>
      <c r="K779">
        <v>27</v>
      </c>
      <c r="L779">
        <v>675726</v>
      </c>
      <c r="M779" s="26">
        <v>18244602</v>
      </c>
      <c r="N779">
        <v>34422</v>
      </c>
      <c r="O779" s="26">
        <v>2717037.23</v>
      </c>
      <c r="P779" s="5" t="s">
        <v>50</v>
      </c>
      <c r="Q779" s="5" t="s">
        <v>75</v>
      </c>
      <c r="R779">
        <v>5</v>
      </c>
      <c r="S779">
        <v>13</v>
      </c>
      <c r="T779">
        <f t="shared" si="12"/>
        <v>0</v>
      </c>
    </row>
    <row r="780" spans="1:20">
      <c r="A780" s="4">
        <v>44653</v>
      </c>
      <c r="B780">
        <v>2022</v>
      </c>
      <c r="C780">
        <v>4</v>
      </c>
      <c r="D780" s="5" t="s">
        <v>35</v>
      </c>
      <c r="E780" s="5" t="s">
        <v>36</v>
      </c>
      <c r="F780" s="5" t="s">
        <v>37</v>
      </c>
      <c r="G780" s="5" t="s">
        <v>38</v>
      </c>
      <c r="H780" s="5" t="s">
        <v>65</v>
      </c>
      <c r="I780" s="5" t="s">
        <v>53</v>
      </c>
      <c r="J780" s="5" t="s">
        <v>49</v>
      </c>
      <c r="K780">
        <v>9</v>
      </c>
      <c r="L780">
        <v>1267043</v>
      </c>
      <c r="M780" s="26">
        <v>11403387</v>
      </c>
      <c r="N780">
        <v>22177</v>
      </c>
      <c r="O780" s="26">
        <v>1251167.1000000001</v>
      </c>
      <c r="P780" s="5" t="s">
        <v>42</v>
      </c>
      <c r="Q780" s="5" t="s">
        <v>51</v>
      </c>
      <c r="R780">
        <v>3.7</v>
      </c>
      <c r="S780">
        <v>21</v>
      </c>
      <c r="T780">
        <f t="shared" si="12"/>
        <v>1</v>
      </c>
    </row>
    <row r="781" spans="1:20">
      <c r="A781" s="4">
        <v>44665</v>
      </c>
      <c r="B781">
        <v>2022</v>
      </c>
      <c r="C781">
        <v>4</v>
      </c>
      <c r="D781" s="5" t="s">
        <v>35</v>
      </c>
      <c r="E781" s="5" t="s">
        <v>60</v>
      </c>
      <c r="F781" s="5" t="s">
        <v>61</v>
      </c>
      <c r="G781" s="5" t="s">
        <v>62</v>
      </c>
      <c r="H781" s="5" t="s">
        <v>80</v>
      </c>
      <c r="I781" s="5" t="s">
        <v>81</v>
      </c>
      <c r="J781" s="5" t="s">
        <v>41</v>
      </c>
      <c r="K781">
        <v>8</v>
      </c>
      <c r="L781">
        <v>573087</v>
      </c>
      <c r="M781" s="26">
        <v>4584696</v>
      </c>
      <c r="N781">
        <v>35509</v>
      </c>
      <c r="O781" s="26">
        <v>598494.80000000005</v>
      </c>
      <c r="P781" s="5" t="s">
        <v>50</v>
      </c>
      <c r="Q781" s="5" t="s">
        <v>75</v>
      </c>
      <c r="R781">
        <v>3.5</v>
      </c>
      <c r="S781">
        <v>3</v>
      </c>
      <c r="T781">
        <f t="shared" si="12"/>
        <v>0</v>
      </c>
    </row>
    <row r="782" spans="1:20">
      <c r="A782" s="4">
        <v>44666</v>
      </c>
      <c r="B782">
        <v>2022</v>
      </c>
      <c r="C782">
        <v>4</v>
      </c>
      <c r="D782" s="5" t="s">
        <v>54</v>
      </c>
      <c r="E782" s="5" t="s">
        <v>55</v>
      </c>
      <c r="F782" s="5" t="s">
        <v>55</v>
      </c>
      <c r="G782" s="5" t="s">
        <v>56</v>
      </c>
      <c r="H782" s="5" t="s">
        <v>74</v>
      </c>
      <c r="I782" s="5" t="s">
        <v>40</v>
      </c>
      <c r="J782" s="5" t="s">
        <v>49</v>
      </c>
      <c r="K782">
        <v>54</v>
      </c>
      <c r="L782">
        <v>634098</v>
      </c>
      <c r="M782" s="26">
        <v>34241292</v>
      </c>
      <c r="N782">
        <v>29203</v>
      </c>
      <c r="O782" s="26">
        <v>3297368.25</v>
      </c>
      <c r="P782" s="5" t="s">
        <v>50</v>
      </c>
      <c r="Q782" s="5" t="s">
        <v>51</v>
      </c>
      <c r="R782">
        <v>3.6</v>
      </c>
      <c r="S782">
        <v>11</v>
      </c>
      <c r="T782">
        <f t="shared" si="12"/>
        <v>0</v>
      </c>
    </row>
    <row r="783" spans="1:20">
      <c r="A783" s="4">
        <v>44678</v>
      </c>
      <c r="B783">
        <v>2022</v>
      </c>
      <c r="C783">
        <v>4</v>
      </c>
      <c r="D783" s="5" t="s">
        <v>35</v>
      </c>
      <c r="E783" s="5" t="s">
        <v>76</v>
      </c>
      <c r="F783" s="5" t="s">
        <v>77</v>
      </c>
      <c r="G783" s="5" t="s">
        <v>78</v>
      </c>
      <c r="H783" s="5" t="s">
        <v>57</v>
      </c>
      <c r="I783" s="5" t="s">
        <v>58</v>
      </c>
      <c r="J783" s="5" t="s">
        <v>59</v>
      </c>
      <c r="K783">
        <v>54</v>
      </c>
      <c r="L783">
        <v>1381718</v>
      </c>
      <c r="M783" s="26">
        <v>74612772</v>
      </c>
      <c r="N783">
        <v>17648</v>
      </c>
      <c r="O783" s="26">
        <v>10908488.380000001</v>
      </c>
      <c r="P783" s="5" t="s">
        <v>50</v>
      </c>
      <c r="Q783" s="5" t="s">
        <v>43</v>
      </c>
      <c r="R783">
        <v>4.3</v>
      </c>
      <c r="S783">
        <v>6</v>
      </c>
      <c r="T783">
        <f t="shared" si="12"/>
        <v>0</v>
      </c>
    </row>
    <row r="784" spans="1:20">
      <c r="A784" s="4">
        <v>44679</v>
      </c>
      <c r="B784">
        <v>2022</v>
      </c>
      <c r="C784">
        <v>4</v>
      </c>
      <c r="D784" s="5" t="s">
        <v>44</v>
      </c>
      <c r="E784" s="5" t="s">
        <v>45</v>
      </c>
      <c r="F784" s="5" t="s">
        <v>46</v>
      </c>
      <c r="G784" s="5" t="s">
        <v>47</v>
      </c>
      <c r="H784" s="5" t="s">
        <v>52</v>
      </c>
      <c r="I784" s="5" t="s">
        <v>53</v>
      </c>
      <c r="J784" s="5" t="s">
        <v>41</v>
      </c>
      <c r="K784">
        <v>15</v>
      </c>
      <c r="L784">
        <v>955723</v>
      </c>
      <c r="M784" s="26">
        <v>14335845</v>
      </c>
      <c r="N784">
        <v>46091</v>
      </c>
      <c r="O784" s="26">
        <v>1679762.79</v>
      </c>
      <c r="P784" s="5" t="s">
        <v>42</v>
      </c>
      <c r="Q784" s="5" t="s">
        <v>75</v>
      </c>
      <c r="R784">
        <v>4.3</v>
      </c>
      <c r="S784">
        <v>4</v>
      </c>
      <c r="T784">
        <f t="shared" si="12"/>
        <v>1</v>
      </c>
    </row>
    <row r="785" spans="1:20">
      <c r="A785" s="4">
        <v>44656</v>
      </c>
      <c r="B785">
        <v>2022</v>
      </c>
      <c r="C785">
        <v>4</v>
      </c>
      <c r="D785" s="5" t="s">
        <v>54</v>
      </c>
      <c r="E785" s="5" t="s">
        <v>55</v>
      </c>
      <c r="F785" s="5" t="s">
        <v>55</v>
      </c>
      <c r="G785" s="5" t="s">
        <v>56</v>
      </c>
      <c r="H785" s="5" t="s">
        <v>48</v>
      </c>
      <c r="I785" s="5" t="s">
        <v>40</v>
      </c>
      <c r="J785" s="5" t="s">
        <v>49</v>
      </c>
      <c r="K785">
        <v>25</v>
      </c>
      <c r="L785">
        <v>457533</v>
      </c>
      <c r="M785" s="26">
        <v>11438325</v>
      </c>
      <c r="N785">
        <v>28522</v>
      </c>
      <c r="O785" s="26">
        <v>1231468.76</v>
      </c>
      <c r="P785" s="5" t="s">
        <v>50</v>
      </c>
      <c r="Q785" s="5" t="s">
        <v>75</v>
      </c>
      <c r="R785">
        <v>4.2</v>
      </c>
      <c r="S785">
        <v>12</v>
      </c>
      <c r="T785">
        <f t="shared" si="12"/>
        <v>0</v>
      </c>
    </row>
    <row r="786" spans="1:20">
      <c r="A786" s="4">
        <v>44666</v>
      </c>
      <c r="B786">
        <v>2022</v>
      </c>
      <c r="C786">
        <v>4</v>
      </c>
      <c r="D786" s="5" t="s">
        <v>35</v>
      </c>
      <c r="E786" s="5" t="s">
        <v>36</v>
      </c>
      <c r="F786" s="5" t="s">
        <v>37</v>
      </c>
      <c r="G786" s="5" t="s">
        <v>38</v>
      </c>
      <c r="H786" s="5" t="s">
        <v>80</v>
      </c>
      <c r="I786" s="5" t="s">
        <v>81</v>
      </c>
      <c r="J786" s="5" t="s">
        <v>41</v>
      </c>
      <c r="K786">
        <v>9</v>
      </c>
      <c r="L786">
        <v>545233</v>
      </c>
      <c r="M786" s="26">
        <v>4907097</v>
      </c>
      <c r="N786">
        <v>6371</v>
      </c>
      <c r="O786" s="26">
        <v>776733.8</v>
      </c>
      <c r="P786" s="5" t="s">
        <v>50</v>
      </c>
      <c r="Q786" s="5" t="s">
        <v>51</v>
      </c>
      <c r="R786">
        <v>4.5999999999999996</v>
      </c>
      <c r="S786">
        <v>6</v>
      </c>
      <c r="T786">
        <f t="shared" si="12"/>
        <v>0</v>
      </c>
    </row>
    <row r="787" spans="1:20">
      <c r="A787" s="4">
        <v>44670</v>
      </c>
      <c r="B787">
        <v>2022</v>
      </c>
      <c r="C787">
        <v>4</v>
      </c>
      <c r="D787" s="5" t="s">
        <v>44</v>
      </c>
      <c r="E787" s="5" t="s">
        <v>82</v>
      </c>
      <c r="F787" s="5" t="s">
        <v>83</v>
      </c>
      <c r="G787" s="5" t="s">
        <v>84</v>
      </c>
      <c r="H787" s="5" t="s">
        <v>63</v>
      </c>
      <c r="I787" s="5" t="s">
        <v>64</v>
      </c>
      <c r="J787" s="5" t="s">
        <v>41</v>
      </c>
      <c r="K787">
        <v>24</v>
      </c>
      <c r="L787">
        <v>733914</v>
      </c>
      <c r="M787" s="26">
        <v>17613936</v>
      </c>
      <c r="N787">
        <v>36198</v>
      </c>
      <c r="O787" s="26">
        <v>2078415.83</v>
      </c>
      <c r="P787" s="5" t="s">
        <v>50</v>
      </c>
      <c r="Q787" s="5" t="s">
        <v>75</v>
      </c>
      <c r="R787">
        <v>4.2</v>
      </c>
      <c r="S787">
        <v>15</v>
      </c>
      <c r="T787">
        <f t="shared" si="12"/>
        <v>0</v>
      </c>
    </row>
    <row r="788" spans="1:20">
      <c r="A788" s="4">
        <v>44669</v>
      </c>
      <c r="B788">
        <v>2022</v>
      </c>
      <c r="C788">
        <v>4</v>
      </c>
      <c r="D788" s="5" t="s">
        <v>54</v>
      </c>
      <c r="E788" s="5" t="s">
        <v>55</v>
      </c>
      <c r="F788" s="5" t="s">
        <v>55</v>
      </c>
      <c r="G788" s="5" t="s">
        <v>56</v>
      </c>
      <c r="H788" s="5" t="s">
        <v>85</v>
      </c>
      <c r="I788" s="5" t="s">
        <v>58</v>
      </c>
      <c r="J788" s="5" t="s">
        <v>49</v>
      </c>
      <c r="K788">
        <v>12</v>
      </c>
      <c r="L788">
        <v>997814</v>
      </c>
      <c r="M788" s="26">
        <v>11973768</v>
      </c>
      <c r="N788">
        <v>30464</v>
      </c>
      <c r="O788" s="26">
        <v>1601524.05</v>
      </c>
      <c r="P788" s="5" t="s">
        <v>50</v>
      </c>
      <c r="Q788" s="5" t="s">
        <v>51</v>
      </c>
      <c r="R788">
        <v>4.8</v>
      </c>
      <c r="S788">
        <v>2</v>
      </c>
      <c r="T788">
        <f t="shared" si="12"/>
        <v>0</v>
      </c>
    </row>
    <row r="789" spans="1:20">
      <c r="A789" s="4">
        <v>44672</v>
      </c>
      <c r="B789">
        <v>2022</v>
      </c>
      <c r="C789">
        <v>4</v>
      </c>
      <c r="D789" s="5" t="s">
        <v>54</v>
      </c>
      <c r="E789" s="5" t="s">
        <v>55</v>
      </c>
      <c r="F789" s="5" t="s">
        <v>55</v>
      </c>
      <c r="G789" s="5" t="s">
        <v>56</v>
      </c>
      <c r="H789" s="5" t="s">
        <v>85</v>
      </c>
      <c r="I789" s="5" t="s">
        <v>58</v>
      </c>
      <c r="J789" s="5" t="s">
        <v>49</v>
      </c>
      <c r="K789">
        <v>38</v>
      </c>
      <c r="L789">
        <v>1007213</v>
      </c>
      <c r="M789" s="26">
        <v>38274094</v>
      </c>
      <c r="N789">
        <v>46714</v>
      </c>
      <c r="O789" s="26">
        <v>4240854.18</v>
      </c>
      <c r="P789" s="5" t="s">
        <v>42</v>
      </c>
      <c r="Q789" s="5" t="s">
        <v>51</v>
      </c>
      <c r="R789">
        <v>4.9000000000000004</v>
      </c>
      <c r="S789">
        <v>8</v>
      </c>
      <c r="T789">
        <f t="shared" si="12"/>
        <v>1</v>
      </c>
    </row>
    <row r="790" spans="1:20">
      <c r="A790" s="4">
        <v>44656</v>
      </c>
      <c r="B790">
        <v>2022</v>
      </c>
      <c r="C790">
        <v>4</v>
      </c>
      <c r="D790" s="5" t="s">
        <v>66</v>
      </c>
      <c r="E790" s="5" t="s">
        <v>67</v>
      </c>
      <c r="F790" s="5" t="s">
        <v>68</v>
      </c>
      <c r="G790" s="5" t="s">
        <v>69</v>
      </c>
      <c r="H790" s="5" t="s">
        <v>85</v>
      </c>
      <c r="I790" s="5" t="s">
        <v>58</v>
      </c>
      <c r="J790" s="5" t="s">
        <v>49</v>
      </c>
      <c r="K790">
        <v>51</v>
      </c>
      <c r="L790">
        <v>979660</v>
      </c>
      <c r="M790" s="26">
        <v>49962660</v>
      </c>
      <c r="N790">
        <v>37922</v>
      </c>
      <c r="O790" s="26">
        <v>7070623.5999999996</v>
      </c>
      <c r="P790" s="5" t="s">
        <v>42</v>
      </c>
      <c r="Q790" s="5" t="s">
        <v>51</v>
      </c>
      <c r="R790">
        <v>3.6</v>
      </c>
      <c r="S790">
        <v>5</v>
      </c>
      <c r="T790">
        <f t="shared" si="12"/>
        <v>1</v>
      </c>
    </row>
    <row r="791" spans="1:20">
      <c r="A791" s="4">
        <v>44655</v>
      </c>
      <c r="B791">
        <v>2022</v>
      </c>
      <c r="C791">
        <v>4</v>
      </c>
      <c r="D791" s="5" t="s">
        <v>66</v>
      </c>
      <c r="E791" s="5" t="s">
        <v>67</v>
      </c>
      <c r="F791" s="5" t="s">
        <v>68</v>
      </c>
      <c r="G791" s="5" t="s">
        <v>69</v>
      </c>
      <c r="H791" s="5" t="s">
        <v>73</v>
      </c>
      <c r="I791" s="5" t="s">
        <v>40</v>
      </c>
      <c r="J791" s="5" t="s">
        <v>49</v>
      </c>
      <c r="K791">
        <v>8</v>
      </c>
      <c r="L791">
        <v>722429</v>
      </c>
      <c r="M791" s="26">
        <v>5779432</v>
      </c>
      <c r="N791">
        <v>44232</v>
      </c>
      <c r="O791" s="26">
        <v>688866.06</v>
      </c>
      <c r="P791" s="5" t="s">
        <v>42</v>
      </c>
      <c r="Q791" s="5" t="s">
        <v>43</v>
      </c>
      <c r="R791">
        <v>3.8</v>
      </c>
      <c r="S791">
        <v>5</v>
      </c>
      <c r="T791">
        <f t="shared" si="12"/>
        <v>1</v>
      </c>
    </row>
    <row r="792" spans="1:20">
      <c r="A792" s="4">
        <v>44657</v>
      </c>
      <c r="B792">
        <v>2022</v>
      </c>
      <c r="C792">
        <v>4</v>
      </c>
      <c r="D792" s="5" t="s">
        <v>35</v>
      </c>
      <c r="E792" s="5" t="s">
        <v>60</v>
      </c>
      <c r="F792" s="5" t="s">
        <v>61</v>
      </c>
      <c r="G792" s="5" t="s">
        <v>62</v>
      </c>
      <c r="H792" s="5" t="s">
        <v>73</v>
      </c>
      <c r="I792" s="5" t="s">
        <v>40</v>
      </c>
      <c r="J792" s="5" t="s">
        <v>49</v>
      </c>
      <c r="K792">
        <v>16</v>
      </c>
      <c r="L792">
        <v>712104</v>
      </c>
      <c r="M792" s="26">
        <v>11393664</v>
      </c>
      <c r="N792">
        <v>35533</v>
      </c>
      <c r="O792" s="26">
        <v>1596374.24</v>
      </c>
      <c r="P792" s="5" t="s">
        <v>42</v>
      </c>
      <c r="Q792" s="5" t="s">
        <v>51</v>
      </c>
      <c r="R792">
        <v>4.0999999999999996</v>
      </c>
      <c r="S792">
        <v>11</v>
      </c>
      <c r="T792">
        <f t="shared" si="12"/>
        <v>1</v>
      </c>
    </row>
    <row r="793" spans="1:20">
      <c r="A793" s="4">
        <v>44659</v>
      </c>
      <c r="B793">
        <v>2022</v>
      </c>
      <c r="C793">
        <v>4</v>
      </c>
      <c r="D793" s="5" t="s">
        <v>35</v>
      </c>
      <c r="E793" s="5" t="s">
        <v>60</v>
      </c>
      <c r="F793" s="5" t="s">
        <v>61</v>
      </c>
      <c r="G793" s="5" t="s">
        <v>62</v>
      </c>
      <c r="H793" s="5" t="s">
        <v>86</v>
      </c>
      <c r="I793" s="5" t="s">
        <v>40</v>
      </c>
      <c r="J793" s="5" t="s">
        <v>41</v>
      </c>
      <c r="K793">
        <v>47</v>
      </c>
      <c r="L793">
        <v>589788</v>
      </c>
      <c r="M793" s="26">
        <v>27720036</v>
      </c>
      <c r="N793">
        <v>39248</v>
      </c>
      <c r="O793" s="26">
        <v>2282100.73</v>
      </c>
      <c r="P793" s="5" t="s">
        <v>50</v>
      </c>
      <c r="Q793" s="5" t="s">
        <v>51</v>
      </c>
      <c r="R793">
        <v>4.0999999999999996</v>
      </c>
      <c r="S793">
        <v>5</v>
      </c>
      <c r="T793">
        <f t="shared" si="12"/>
        <v>0</v>
      </c>
    </row>
    <row r="794" spans="1:20">
      <c r="A794" s="4">
        <v>44676</v>
      </c>
      <c r="B794">
        <v>2022</v>
      </c>
      <c r="C794">
        <v>4</v>
      </c>
      <c r="D794" s="5" t="s">
        <v>44</v>
      </c>
      <c r="E794" s="5" t="s">
        <v>82</v>
      </c>
      <c r="F794" s="5" t="s">
        <v>83</v>
      </c>
      <c r="G794" s="5" t="s">
        <v>84</v>
      </c>
      <c r="H794" s="5" t="s">
        <v>65</v>
      </c>
      <c r="I794" s="5" t="s">
        <v>53</v>
      </c>
      <c r="J794" s="5" t="s">
        <v>49</v>
      </c>
      <c r="K794">
        <v>11</v>
      </c>
      <c r="L794">
        <v>1236634</v>
      </c>
      <c r="M794" s="26">
        <v>13602974</v>
      </c>
      <c r="N794">
        <v>48398</v>
      </c>
      <c r="O794" s="26">
        <v>1328451.1499999999</v>
      </c>
      <c r="P794" s="5" t="s">
        <v>42</v>
      </c>
      <c r="Q794" s="5" t="s">
        <v>75</v>
      </c>
      <c r="R794">
        <v>4.2</v>
      </c>
      <c r="S794">
        <v>12</v>
      </c>
      <c r="T794">
        <f t="shared" si="12"/>
        <v>1</v>
      </c>
    </row>
    <row r="795" spans="1:20">
      <c r="A795" s="4">
        <v>44655</v>
      </c>
      <c r="B795">
        <v>2022</v>
      </c>
      <c r="C795">
        <v>4</v>
      </c>
      <c r="D795" s="5" t="s">
        <v>44</v>
      </c>
      <c r="E795" s="5" t="s">
        <v>45</v>
      </c>
      <c r="F795" s="5" t="s">
        <v>46</v>
      </c>
      <c r="G795" s="5" t="s">
        <v>47</v>
      </c>
      <c r="H795" s="5" t="s">
        <v>48</v>
      </c>
      <c r="I795" s="5" t="s">
        <v>40</v>
      </c>
      <c r="J795" s="5" t="s">
        <v>49</v>
      </c>
      <c r="K795">
        <v>42</v>
      </c>
      <c r="L795">
        <v>448467</v>
      </c>
      <c r="M795" s="26">
        <v>18835614</v>
      </c>
      <c r="N795">
        <v>10715</v>
      </c>
      <c r="O795" s="26">
        <v>2299074.92</v>
      </c>
      <c r="P795" s="5" t="s">
        <v>42</v>
      </c>
      <c r="Q795" s="5" t="s">
        <v>51</v>
      </c>
      <c r="R795">
        <v>4.2</v>
      </c>
      <c r="S795">
        <v>14</v>
      </c>
      <c r="T795">
        <f t="shared" si="12"/>
        <v>1</v>
      </c>
    </row>
    <row r="796" spans="1:20">
      <c r="A796" s="4">
        <v>44677</v>
      </c>
      <c r="B796">
        <v>2022</v>
      </c>
      <c r="C796">
        <v>4</v>
      </c>
      <c r="D796" s="5" t="s">
        <v>35</v>
      </c>
      <c r="E796" s="5" t="s">
        <v>60</v>
      </c>
      <c r="F796" s="5" t="s">
        <v>61</v>
      </c>
      <c r="G796" s="5" t="s">
        <v>62</v>
      </c>
      <c r="H796" s="5" t="s">
        <v>48</v>
      </c>
      <c r="I796" s="5" t="s">
        <v>40</v>
      </c>
      <c r="J796" s="5" t="s">
        <v>49</v>
      </c>
      <c r="K796">
        <v>29</v>
      </c>
      <c r="L796">
        <v>445143</v>
      </c>
      <c r="M796" s="26">
        <v>12909147</v>
      </c>
      <c r="N796">
        <v>11385</v>
      </c>
      <c r="O796" s="26">
        <v>1421094.68</v>
      </c>
      <c r="P796" s="5" t="s">
        <v>50</v>
      </c>
      <c r="Q796" s="5" t="s">
        <v>75</v>
      </c>
      <c r="R796">
        <v>3.8</v>
      </c>
      <c r="S796">
        <v>17</v>
      </c>
      <c r="T796">
        <f t="shared" si="12"/>
        <v>0</v>
      </c>
    </row>
    <row r="797" spans="1:20">
      <c r="A797" s="4">
        <v>44671</v>
      </c>
      <c r="B797">
        <v>2022</v>
      </c>
      <c r="C797">
        <v>4</v>
      </c>
      <c r="D797" s="5" t="s">
        <v>66</v>
      </c>
      <c r="E797" s="5" t="s">
        <v>67</v>
      </c>
      <c r="F797" s="5" t="s">
        <v>68</v>
      </c>
      <c r="G797" s="5" t="s">
        <v>69</v>
      </c>
      <c r="H797" s="5" t="s">
        <v>74</v>
      </c>
      <c r="I797" s="5" t="s">
        <v>40</v>
      </c>
      <c r="J797" s="5" t="s">
        <v>49</v>
      </c>
      <c r="K797">
        <v>10</v>
      </c>
      <c r="L797">
        <v>667952</v>
      </c>
      <c r="M797" s="26">
        <v>6679520</v>
      </c>
      <c r="N797">
        <v>30447</v>
      </c>
      <c r="O797" s="26">
        <v>900742.44</v>
      </c>
      <c r="P797" s="5" t="s">
        <v>42</v>
      </c>
      <c r="Q797" s="5" t="s">
        <v>75</v>
      </c>
      <c r="R797">
        <v>4.8</v>
      </c>
      <c r="S797">
        <v>2</v>
      </c>
      <c r="T797">
        <f t="shared" si="12"/>
        <v>1</v>
      </c>
    </row>
    <row r="798" spans="1:20">
      <c r="A798" s="4">
        <v>44661</v>
      </c>
      <c r="B798">
        <v>2022</v>
      </c>
      <c r="C798">
        <v>4</v>
      </c>
      <c r="D798" s="5" t="s">
        <v>54</v>
      </c>
      <c r="E798" s="5" t="s">
        <v>55</v>
      </c>
      <c r="F798" s="5" t="s">
        <v>55</v>
      </c>
      <c r="G798" s="5" t="s">
        <v>56</v>
      </c>
      <c r="H798" s="5" t="s">
        <v>48</v>
      </c>
      <c r="I798" s="5" t="s">
        <v>40</v>
      </c>
      <c r="J798" s="5" t="s">
        <v>49</v>
      </c>
      <c r="K798">
        <v>52</v>
      </c>
      <c r="L798">
        <v>475174</v>
      </c>
      <c r="M798" s="26">
        <v>24709048</v>
      </c>
      <c r="N798">
        <v>39731</v>
      </c>
      <c r="O798" s="26">
        <v>2322997.59</v>
      </c>
      <c r="P798" s="5" t="s">
        <v>42</v>
      </c>
      <c r="Q798" s="5" t="s">
        <v>75</v>
      </c>
      <c r="R798">
        <v>4.3</v>
      </c>
      <c r="S798">
        <v>21</v>
      </c>
      <c r="T798">
        <f t="shared" si="12"/>
        <v>1</v>
      </c>
    </row>
    <row r="799" spans="1:20">
      <c r="A799" s="4">
        <v>44673</v>
      </c>
      <c r="B799">
        <v>2022</v>
      </c>
      <c r="C799">
        <v>4</v>
      </c>
      <c r="D799" s="5" t="s">
        <v>35</v>
      </c>
      <c r="E799" s="5" t="s">
        <v>76</v>
      </c>
      <c r="F799" s="5" t="s">
        <v>77</v>
      </c>
      <c r="G799" s="5" t="s">
        <v>78</v>
      </c>
      <c r="H799" s="5" t="s">
        <v>79</v>
      </c>
      <c r="I799" s="5" t="s">
        <v>58</v>
      </c>
      <c r="J799" s="5" t="s">
        <v>49</v>
      </c>
      <c r="K799">
        <v>25</v>
      </c>
      <c r="L799">
        <v>902252</v>
      </c>
      <c r="M799" s="26">
        <v>22556300</v>
      </c>
      <c r="N799">
        <v>33153</v>
      </c>
      <c r="O799" s="26">
        <v>2970043.67</v>
      </c>
      <c r="P799" s="5" t="s">
        <v>50</v>
      </c>
      <c r="Q799" s="5" t="s">
        <v>51</v>
      </c>
      <c r="R799">
        <v>4.5999999999999996</v>
      </c>
      <c r="S799">
        <v>18</v>
      </c>
      <c r="T799">
        <f t="shared" si="12"/>
        <v>0</v>
      </c>
    </row>
    <row r="800" spans="1:20">
      <c r="A800" s="4">
        <v>44660</v>
      </c>
      <c r="B800">
        <v>2022</v>
      </c>
      <c r="C800">
        <v>4</v>
      </c>
      <c r="D800" s="5" t="s">
        <v>44</v>
      </c>
      <c r="E800" s="5" t="s">
        <v>45</v>
      </c>
      <c r="F800" s="5" t="s">
        <v>46</v>
      </c>
      <c r="G800" s="5" t="s">
        <v>47</v>
      </c>
      <c r="H800" s="5" t="s">
        <v>86</v>
      </c>
      <c r="I800" s="5" t="s">
        <v>40</v>
      </c>
      <c r="J800" s="5" t="s">
        <v>41</v>
      </c>
      <c r="K800">
        <v>54</v>
      </c>
      <c r="L800">
        <v>596554</v>
      </c>
      <c r="M800" s="26">
        <v>32213916</v>
      </c>
      <c r="N800">
        <v>40768</v>
      </c>
      <c r="O800" s="26">
        <v>4603006.4000000004</v>
      </c>
      <c r="P800" s="5" t="s">
        <v>50</v>
      </c>
      <c r="Q800" s="5" t="s">
        <v>43</v>
      </c>
      <c r="R800">
        <v>4.5999999999999996</v>
      </c>
      <c r="S800">
        <v>12</v>
      </c>
      <c r="T800">
        <f t="shared" si="12"/>
        <v>0</v>
      </c>
    </row>
    <row r="801" spans="1:20">
      <c r="A801" s="4">
        <v>44652</v>
      </c>
      <c r="B801">
        <v>2022</v>
      </c>
      <c r="C801">
        <v>4</v>
      </c>
      <c r="D801" s="5" t="s">
        <v>44</v>
      </c>
      <c r="E801" s="5" t="s">
        <v>45</v>
      </c>
      <c r="F801" s="5" t="s">
        <v>46</v>
      </c>
      <c r="G801" s="5" t="s">
        <v>47</v>
      </c>
      <c r="H801" s="5" t="s">
        <v>86</v>
      </c>
      <c r="I801" s="5" t="s">
        <v>40</v>
      </c>
      <c r="J801" s="5" t="s">
        <v>41</v>
      </c>
      <c r="K801">
        <v>43</v>
      </c>
      <c r="L801">
        <v>616243</v>
      </c>
      <c r="M801" s="26">
        <v>26498449</v>
      </c>
      <c r="N801">
        <v>47374</v>
      </c>
      <c r="O801" s="26">
        <v>3830582.13</v>
      </c>
      <c r="P801" s="5" t="s">
        <v>42</v>
      </c>
      <c r="Q801" s="5" t="s">
        <v>75</v>
      </c>
      <c r="R801">
        <v>4.8</v>
      </c>
      <c r="S801">
        <v>19</v>
      </c>
      <c r="T801">
        <f t="shared" si="12"/>
        <v>1</v>
      </c>
    </row>
    <row r="802" spans="1:20">
      <c r="A802" s="4">
        <v>44690</v>
      </c>
      <c r="B802">
        <v>2022</v>
      </c>
      <c r="C802">
        <v>5</v>
      </c>
      <c r="D802" s="5" t="s">
        <v>44</v>
      </c>
      <c r="E802" s="5" t="s">
        <v>45</v>
      </c>
      <c r="F802" s="5" t="s">
        <v>46</v>
      </c>
      <c r="G802" s="5" t="s">
        <v>47</v>
      </c>
      <c r="H802" s="5" t="s">
        <v>63</v>
      </c>
      <c r="I802" s="5" t="s">
        <v>64</v>
      </c>
      <c r="J802" s="5" t="s">
        <v>41</v>
      </c>
      <c r="K802">
        <v>36</v>
      </c>
      <c r="L802">
        <v>777190</v>
      </c>
      <c r="M802" s="26">
        <v>27978840</v>
      </c>
      <c r="N802">
        <v>15295</v>
      </c>
      <c r="O802" s="26">
        <v>3158331.9</v>
      </c>
      <c r="P802" s="5" t="s">
        <v>42</v>
      </c>
      <c r="Q802" s="5" t="s">
        <v>43</v>
      </c>
      <c r="R802">
        <v>4</v>
      </c>
      <c r="S802">
        <v>7</v>
      </c>
      <c r="T802">
        <f t="shared" si="12"/>
        <v>1</v>
      </c>
    </row>
    <row r="803" spans="1:20">
      <c r="A803" s="4">
        <v>44690</v>
      </c>
      <c r="B803">
        <v>2022</v>
      </c>
      <c r="C803">
        <v>5</v>
      </c>
      <c r="D803" s="5" t="s">
        <v>35</v>
      </c>
      <c r="E803" s="5" t="s">
        <v>76</v>
      </c>
      <c r="F803" s="5" t="s">
        <v>77</v>
      </c>
      <c r="G803" s="5" t="s">
        <v>78</v>
      </c>
      <c r="H803" s="5" t="s">
        <v>39</v>
      </c>
      <c r="I803" s="5" t="s">
        <v>40</v>
      </c>
      <c r="J803" s="5" t="s">
        <v>41</v>
      </c>
      <c r="K803">
        <v>44</v>
      </c>
      <c r="L803">
        <v>585363</v>
      </c>
      <c r="M803" s="26">
        <v>25755972</v>
      </c>
      <c r="N803">
        <v>12123</v>
      </c>
      <c r="O803" s="26">
        <v>3304525.12</v>
      </c>
      <c r="P803" s="5" t="s">
        <v>50</v>
      </c>
      <c r="Q803" s="5" t="s">
        <v>75</v>
      </c>
      <c r="R803">
        <v>3.6</v>
      </c>
      <c r="S803">
        <v>6</v>
      </c>
      <c r="T803">
        <f t="shared" si="12"/>
        <v>0</v>
      </c>
    </row>
    <row r="804" spans="1:20">
      <c r="A804" s="4">
        <v>44706</v>
      </c>
      <c r="B804">
        <v>2022</v>
      </c>
      <c r="C804">
        <v>5</v>
      </c>
      <c r="D804" s="5" t="s">
        <v>35</v>
      </c>
      <c r="E804" s="5" t="s">
        <v>60</v>
      </c>
      <c r="F804" s="5" t="s">
        <v>61</v>
      </c>
      <c r="G804" s="5" t="s">
        <v>62</v>
      </c>
      <c r="H804" s="5" t="s">
        <v>65</v>
      </c>
      <c r="I804" s="5" t="s">
        <v>53</v>
      </c>
      <c r="J804" s="5" t="s">
        <v>49</v>
      </c>
      <c r="K804">
        <v>46</v>
      </c>
      <c r="L804">
        <v>1256472</v>
      </c>
      <c r="M804" s="26">
        <v>57797712</v>
      </c>
      <c r="N804">
        <v>12551</v>
      </c>
      <c r="O804" s="26">
        <v>7120808.9400000004</v>
      </c>
      <c r="P804" s="5" t="s">
        <v>50</v>
      </c>
      <c r="Q804" s="5" t="s">
        <v>75</v>
      </c>
      <c r="R804">
        <v>4.0999999999999996</v>
      </c>
      <c r="S804">
        <v>21</v>
      </c>
      <c r="T804">
        <f t="shared" si="12"/>
        <v>0</v>
      </c>
    </row>
    <row r="805" spans="1:20">
      <c r="A805" s="4">
        <v>44706</v>
      </c>
      <c r="B805">
        <v>2022</v>
      </c>
      <c r="C805">
        <v>5</v>
      </c>
      <c r="D805" s="5" t="s">
        <v>35</v>
      </c>
      <c r="E805" s="5" t="s">
        <v>36</v>
      </c>
      <c r="F805" s="5" t="s">
        <v>37</v>
      </c>
      <c r="G805" s="5" t="s">
        <v>38</v>
      </c>
      <c r="H805" s="5" t="s">
        <v>74</v>
      </c>
      <c r="I805" s="5" t="s">
        <v>40</v>
      </c>
      <c r="J805" s="5" t="s">
        <v>49</v>
      </c>
      <c r="K805">
        <v>26</v>
      </c>
      <c r="L805">
        <v>665265</v>
      </c>
      <c r="M805" s="26">
        <v>17296890</v>
      </c>
      <c r="N805">
        <v>5819</v>
      </c>
      <c r="O805" s="26">
        <v>2574929.5699999998</v>
      </c>
      <c r="P805" s="5" t="s">
        <v>50</v>
      </c>
      <c r="Q805" s="5" t="s">
        <v>75</v>
      </c>
      <c r="R805">
        <v>4.0999999999999996</v>
      </c>
      <c r="S805">
        <v>9</v>
      </c>
      <c r="T805">
        <f t="shared" si="12"/>
        <v>0</v>
      </c>
    </row>
    <row r="806" spans="1:20">
      <c r="A806" s="4">
        <v>44702</v>
      </c>
      <c r="B806">
        <v>2022</v>
      </c>
      <c r="C806">
        <v>5</v>
      </c>
      <c r="D806" s="5" t="s">
        <v>54</v>
      </c>
      <c r="E806" s="5" t="s">
        <v>55</v>
      </c>
      <c r="F806" s="5" t="s">
        <v>55</v>
      </c>
      <c r="G806" s="5" t="s">
        <v>56</v>
      </c>
      <c r="H806" s="5" t="s">
        <v>65</v>
      </c>
      <c r="I806" s="5" t="s">
        <v>53</v>
      </c>
      <c r="J806" s="5" t="s">
        <v>49</v>
      </c>
      <c r="K806">
        <v>55</v>
      </c>
      <c r="L806">
        <v>1267728</v>
      </c>
      <c r="M806" s="26">
        <v>69725040</v>
      </c>
      <c r="N806">
        <v>32443</v>
      </c>
      <c r="O806" s="26">
        <v>10322693.300000001</v>
      </c>
      <c r="P806" s="5" t="s">
        <v>50</v>
      </c>
      <c r="Q806" s="5" t="s">
        <v>43</v>
      </c>
      <c r="R806">
        <v>4.4000000000000004</v>
      </c>
      <c r="S806">
        <v>9</v>
      </c>
      <c r="T806">
        <f t="shared" si="12"/>
        <v>0</v>
      </c>
    </row>
    <row r="807" spans="1:20">
      <c r="A807" s="4">
        <v>44704</v>
      </c>
      <c r="B807">
        <v>2022</v>
      </c>
      <c r="C807">
        <v>5</v>
      </c>
      <c r="D807" s="5" t="s">
        <v>35</v>
      </c>
      <c r="E807" s="5" t="s">
        <v>60</v>
      </c>
      <c r="F807" s="5" t="s">
        <v>61</v>
      </c>
      <c r="G807" s="5" t="s">
        <v>62</v>
      </c>
      <c r="H807" s="5" t="s">
        <v>63</v>
      </c>
      <c r="I807" s="5" t="s">
        <v>64</v>
      </c>
      <c r="J807" s="5" t="s">
        <v>41</v>
      </c>
      <c r="K807">
        <v>22</v>
      </c>
      <c r="L807">
        <v>768398</v>
      </c>
      <c r="M807" s="26">
        <v>16904756</v>
      </c>
      <c r="N807">
        <v>47103</v>
      </c>
      <c r="O807" s="26">
        <v>2053708.85</v>
      </c>
      <c r="P807" s="5" t="s">
        <v>42</v>
      </c>
      <c r="Q807" s="5" t="s">
        <v>75</v>
      </c>
      <c r="R807">
        <v>4.5999999999999996</v>
      </c>
      <c r="S807">
        <v>7</v>
      </c>
      <c r="T807">
        <f t="shared" si="12"/>
        <v>1</v>
      </c>
    </row>
    <row r="808" spans="1:20">
      <c r="A808" s="4">
        <v>44682</v>
      </c>
      <c r="B808">
        <v>2022</v>
      </c>
      <c r="C808">
        <v>5</v>
      </c>
      <c r="D808" s="5" t="s">
        <v>44</v>
      </c>
      <c r="E808" s="5" t="s">
        <v>45</v>
      </c>
      <c r="F808" s="5" t="s">
        <v>46</v>
      </c>
      <c r="G808" s="5" t="s">
        <v>47</v>
      </c>
      <c r="H808" s="5" t="s">
        <v>39</v>
      </c>
      <c r="I808" s="5" t="s">
        <v>40</v>
      </c>
      <c r="J808" s="5" t="s">
        <v>41</v>
      </c>
      <c r="K808">
        <v>20</v>
      </c>
      <c r="L808">
        <v>579806</v>
      </c>
      <c r="M808" s="26">
        <v>11596120</v>
      </c>
      <c r="N808">
        <v>14093</v>
      </c>
      <c r="O808" s="26">
        <v>1276586.6100000001</v>
      </c>
      <c r="P808" s="5" t="s">
        <v>50</v>
      </c>
      <c r="Q808" s="5" t="s">
        <v>51</v>
      </c>
      <c r="R808">
        <v>3.6</v>
      </c>
      <c r="S808">
        <v>19</v>
      </c>
      <c r="T808">
        <f t="shared" si="12"/>
        <v>0</v>
      </c>
    </row>
    <row r="809" spans="1:20">
      <c r="A809" s="4">
        <v>44697</v>
      </c>
      <c r="B809">
        <v>2022</v>
      </c>
      <c r="C809">
        <v>5</v>
      </c>
      <c r="D809" s="5" t="s">
        <v>54</v>
      </c>
      <c r="E809" s="5" t="s">
        <v>55</v>
      </c>
      <c r="F809" s="5" t="s">
        <v>55</v>
      </c>
      <c r="G809" s="5" t="s">
        <v>56</v>
      </c>
      <c r="H809" s="5" t="s">
        <v>39</v>
      </c>
      <c r="I809" s="5" t="s">
        <v>40</v>
      </c>
      <c r="J809" s="5" t="s">
        <v>41</v>
      </c>
      <c r="K809">
        <v>36</v>
      </c>
      <c r="L809">
        <v>599349</v>
      </c>
      <c r="M809" s="26">
        <v>21576564</v>
      </c>
      <c r="N809">
        <v>35426</v>
      </c>
      <c r="O809" s="26">
        <v>2978890</v>
      </c>
      <c r="P809" s="5" t="s">
        <v>42</v>
      </c>
      <c r="Q809" s="5" t="s">
        <v>43</v>
      </c>
      <c r="R809">
        <v>3.9</v>
      </c>
      <c r="S809">
        <v>14</v>
      </c>
      <c r="T809">
        <f t="shared" si="12"/>
        <v>1</v>
      </c>
    </row>
    <row r="810" spans="1:20">
      <c r="A810" s="4">
        <v>44694</v>
      </c>
      <c r="B810">
        <v>2022</v>
      </c>
      <c r="C810">
        <v>5</v>
      </c>
      <c r="D810" s="5" t="s">
        <v>35</v>
      </c>
      <c r="E810" s="5" t="s">
        <v>60</v>
      </c>
      <c r="F810" s="5" t="s">
        <v>61</v>
      </c>
      <c r="G810" s="5" t="s">
        <v>62</v>
      </c>
      <c r="H810" s="5" t="s">
        <v>73</v>
      </c>
      <c r="I810" s="5" t="s">
        <v>40</v>
      </c>
      <c r="J810" s="5" t="s">
        <v>49</v>
      </c>
      <c r="K810">
        <v>58</v>
      </c>
      <c r="L810">
        <v>695752</v>
      </c>
      <c r="M810" s="26">
        <v>40353616</v>
      </c>
      <c r="N810">
        <v>25361</v>
      </c>
      <c r="O810" s="26">
        <v>6108385.4199999999</v>
      </c>
      <c r="P810" s="5" t="s">
        <v>42</v>
      </c>
      <c r="Q810" s="5" t="s">
        <v>75</v>
      </c>
      <c r="R810">
        <v>3.9</v>
      </c>
      <c r="S810">
        <v>6</v>
      </c>
      <c r="T810">
        <f t="shared" si="12"/>
        <v>1</v>
      </c>
    </row>
    <row r="811" spans="1:20">
      <c r="A811" s="4">
        <v>44685</v>
      </c>
      <c r="B811">
        <v>2022</v>
      </c>
      <c r="C811">
        <v>5</v>
      </c>
      <c r="D811" s="5" t="s">
        <v>44</v>
      </c>
      <c r="E811" s="5" t="s">
        <v>45</v>
      </c>
      <c r="F811" s="5" t="s">
        <v>46</v>
      </c>
      <c r="G811" s="5" t="s">
        <v>47</v>
      </c>
      <c r="H811" s="5" t="s">
        <v>65</v>
      </c>
      <c r="I811" s="5" t="s">
        <v>53</v>
      </c>
      <c r="J811" s="5" t="s">
        <v>49</v>
      </c>
      <c r="K811">
        <v>59</v>
      </c>
      <c r="L811">
        <v>1267077</v>
      </c>
      <c r="M811" s="26">
        <v>74757543</v>
      </c>
      <c r="N811">
        <v>23952</v>
      </c>
      <c r="O811" s="26">
        <v>7214626.3499999996</v>
      </c>
      <c r="P811" s="5" t="s">
        <v>42</v>
      </c>
      <c r="Q811" s="5" t="s">
        <v>43</v>
      </c>
      <c r="R811">
        <v>3.7</v>
      </c>
      <c r="S811">
        <v>13</v>
      </c>
      <c r="T811">
        <f t="shared" si="12"/>
        <v>1</v>
      </c>
    </row>
    <row r="812" spans="1:20">
      <c r="A812" s="4">
        <v>44688</v>
      </c>
      <c r="B812">
        <v>2022</v>
      </c>
      <c r="C812">
        <v>5</v>
      </c>
      <c r="D812" s="5" t="s">
        <v>54</v>
      </c>
      <c r="E812" s="5" t="s">
        <v>70</v>
      </c>
      <c r="F812" s="5" t="s">
        <v>71</v>
      </c>
      <c r="G812" s="5" t="s">
        <v>72</v>
      </c>
      <c r="H812" s="5" t="s">
        <v>86</v>
      </c>
      <c r="I812" s="5" t="s">
        <v>40</v>
      </c>
      <c r="J812" s="5" t="s">
        <v>41</v>
      </c>
      <c r="K812">
        <v>52</v>
      </c>
      <c r="L812">
        <v>620131</v>
      </c>
      <c r="M812" s="26">
        <v>32246812</v>
      </c>
      <c r="N812">
        <v>11798</v>
      </c>
      <c r="O812" s="26">
        <v>2849986.25</v>
      </c>
      <c r="P812" s="5" t="s">
        <v>42</v>
      </c>
      <c r="Q812" s="5" t="s">
        <v>75</v>
      </c>
      <c r="R812">
        <v>4.7</v>
      </c>
      <c r="S812">
        <v>4</v>
      </c>
      <c r="T812">
        <f t="shared" si="12"/>
        <v>1</v>
      </c>
    </row>
    <row r="813" spans="1:20">
      <c r="A813" s="4">
        <v>44701</v>
      </c>
      <c r="B813">
        <v>2022</v>
      </c>
      <c r="C813">
        <v>5</v>
      </c>
      <c r="D813" s="5" t="s">
        <v>54</v>
      </c>
      <c r="E813" s="5" t="s">
        <v>55</v>
      </c>
      <c r="F813" s="5" t="s">
        <v>55</v>
      </c>
      <c r="G813" s="5" t="s">
        <v>56</v>
      </c>
      <c r="H813" s="5" t="s">
        <v>52</v>
      </c>
      <c r="I813" s="5" t="s">
        <v>53</v>
      </c>
      <c r="J813" s="5" t="s">
        <v>41</v>
      </c>
      <c r="K813">
        <v>43</v>
      </c>
      <c r="L813">
        <v>977420</v>
      </c>
      <c r="M813" s="26">
        <v>42029060</v>
      </c>
      <c r="N813">
        <v>29731</v>
      </c>
      <c r="O813" s="26">
        <v>4079894.47</v>
      </c>
      <c r="P813" s="5" t="s">
        <v>50</v>
      </c>
      <c r="Q813" s="5" t="s">
        <v>43</v>
      </c>
      <c r="R813">
        <v>4.2</v>
      </c>
      <c r="S813">
        <v>11</v>
      </c>
      <c r="T813">
        <f t="shared" si="12"/>
        <v>0</v>
      </c>
    </row>
    <row r="814" spans="1:20">
      <c r="A814" s="4">
        <v>44684</v>
      </c>
      <c r="B814">
        <v>2022</v>
      </c>
      <c r="C814">
        <v>5</v>
      </c>
      <c r="D814" s="5" t="s">
        <v>54</v>
      </c>
      <c r="E814" s="5" t="s">
        <v>70</v>
      </c>
      <c r="F814" s="5" t="s">
        <v>71</v>
      </c>
      <c r="G814" s="5" t="s">
        <v>72</v>
      </c>
      <c r="H814" s="5" t="s">
        <v>80</v>
      </c>
      <c r="I814" s="5" t="s">
        <v>81</v>
      </c>
      <c r="J814" s="5" t="s">
        <v>41</v>
      </c>
      <c r="K814">
        <v>54</v>
      </c>
      <c r="L814">
        <v>554205</v>
      </c>
      <c r="M814" s="26">
        <v>29927070</v>
      </c>
      <c r="N814">
        <v>6252</v>
      </c>
      <c r="O814" s="26">
        <v>4512103.59</v>
      </c>
      <c r="P814" s="5" t="s">
        <v>50</v>
      </c>
      <c r="Q814" s="5" t="s">
        <v>75</v>
      </c>
      <c r="R814">
        <v>3.5</v>
      </c>
      <c r="S814">
        <v>2</v>
      </c>
      <c r="T814">
        <f t="shared" si="12"/>
        <v>0</v>
      </c>
    </row>
    <row r="815" spans="1:20">
      <c r="A815" s="4">
        <v>44695</v>
      </c>
      <c r="B815">
        <v>2022</v>
      </c>
      <c r="C815">
        <v>5</v>
      </c>
      <c r="D815" s="5" t="s">
        <v>35</v>
      </c>
      <c r="E815" s="5" t="s">
        <v>76</v>
      </c>
      <c r="F815" s="5" t="s">
        <v>77</v>
      </c>
      <c r="G815" s="5" t="s">
        <v>78</v>
      </c>
      <c r="H815" s="5" t="s">
        <v>85</v>
      </c>
      <c r="I815" s="5" t="s">
        <v>58</v>
      </c>
      <c r="J815" s="5" t="s">
        <v>49</v>
      </c>
      <c r="K815">
        <v>53</v>
      </c>
      <c r="L815">
        <v>1008018</v>
      </c>
      <c r="M815" s="26">
        <v>53424954</v>
      </c>
      <c r="N815">
        <v>49781</v>
      </c>
      <c r="O815" s="26">
        <v>7389756.6399999997</v>
      </c>
      <c r="P815" s="5" t="s">
        <v>42</v>
      </c>
      <c r="Q815" s="5" t="s">
        <v>51</v>
      </c>
      <c r="R815">
        <v>3.8</v>
      </c>
      <c r="S815">
        <v>5</v>
      </c>
      <c r="T815">
        <f t="shared" si="12"/>
        <v>1</v>
      </c>
    </row>
    <row r="816" spans="1:20">
      <c r="A816" s="4">
        <v>44688</v>
      </c>
      <c r="B816">
        <v>2022</v>
      </c>
      <c r="C816">
        <v>5</v>
      </c>
      <c r="D816" s="5" t="s">
        <v>66</v>
      </c>
      <c r="E816" s="5" t="s">
        <v>67</v>
      </c>
      <c r="F816" s="5" t="s">
        <v>68</v>
      </c>
      <c r="G816" s="5" t="s">
        <v>69</v>
      </c>
      <c r="H816" s="5" t="s">
        <v>57</v>
      </c>
      <c r="I816" s="5" t="s">
        <v>58</v>
      </c>
      <c r="J816" s="5" t="s">
        <v>59</v>
      </c>
      <c r="K816">
        <v>38</v>
      </c>
      <c r="L816">
        <v>1370585</v>
      </c>
      <c r="M816" s="26">
        <v>52082230</v>
      </c>
      <c r="N816">
        <v>45121</v>
      </c>
      <c r="O816" s="26">
        <v>4987675.87</v>
      </c>
      <c r="P816" s="5" t="s">
        <v>50</v>
      </c>
      <c r="Q816" s="5" t="s">
        <v>43</v>
      </c>
      <c r="R816">
        <v>3.8</v>
      </c>
      <c r="S816">
        <v>12</v>
      </c>
      <c r="T816">
        <f t="shared" si="12"/>
        <v>0</v>
      </c>
    </row>
    <row r="817" spans="1:20">
      <c r="A817" s="4">
        <v>44696</v>
      </c>
      <c r="B817">
        <v>2022</v>
      </c>
      <c r="C817">
        <v>5</v>
      </c>
      <c r="D817" s="5" t="s">
        <v>35</v>
      </c>
      <c r="E817" s="5" t="s">
        <v>76</v>
      </c>
      <c r="F817" s="5" t="s">
        <v>77</v>
      </c>
      <c r="G817" s="5" t="s">
        <v>78</v>
      </c>
      <c r="H817" s="5" t="s">
        <v>63</v>
      </c>
      <c r="I817" s="5" t="s">
        <v>64</v>
      </c>
      <c r="J817" s="5" t="s">
        <v>41</v>
      </c>
      <c r="K817">
        <v>27</v>
      </c>
      <c r="L817">
        <v>755695</v>
      </c>
      <c r="M817" s="26">
        <v>20403765</v>
      </c>
      <c r="N817">
        <v>25815</v>
      </c>
      <c r="O817" s="26">
        <v>1712063.92</v>
      </c>
      <c r="P817" s="5" t="s">
        <v>50</v>
      </c>
      <c r="Q817" s="5" t="s">
        <v>51</v>
      </c>
      <c r="R817">
        <v>3.7</v>
      </c>
      <c r="S817">
        <v>6</v>
      </c>
      <c r="T817">
        <f t="shared" si="12"/>
        <v>0</v>
      </c>
    </row>
    <row r="818" spans="1:20">
      <c r="A818" s="4">
        <v>44696</v>
      </c>
      <c r="B818">
        <v>2022</v>
      </c>
      <c r="C818">
        <v>5</v>
      </c>
      <c r="D818" s="5" t="s">
        <v>66</v>
      </c>
      <c r="E818" s="5" t="s">
        <v>67</v>
      </c>
      <c r="F818" s="5" t="s">
        <v>68</v>
      </c>
      <c r="G818" s="5" t="s">
        <v>69</v>
      </c>
      <c r="H818" s="5" t="s">
        <v>79</v>
      </c>
      <c r="I818" s="5" t="s">
        <v>58</v>
      </c>
      <c r="J818" s="5" t="s">
        <v>49</v>
      </c>
      <c r="K818">
        <v>18</v>
      </c>
      <c r="L818">
        <v>890566</v>
      </c>
      <c r="M818" s="26">
        <v>16030188</v>
      </c>
      <c r="N818">
        <v>27233</v>
      </c>
      <c r="O818" s="26">
        <v>1587697.19</v>
      </c>
      <c r="P818" s="5" t="s">
        <v>42</v>
      </c>
      <c r="Q818" s="5" t="s">
        <v>51</v>
      </c>
      <c r="R818">
        <v>4.9000000000000004</v>
      </c>
      <c r="S818">
        <v>2</v>
      </c>
      <c r="T818">
        <f t="shared" si="12"/>
        <v>1</v>
      </c>
    </row>
    <row r="819" spans="1:20">
      <c r="A819" s="4">
        <v>44692</v>
      </c>
      <c r="B819">
        <v>2022</v>
      </c>
      <c r="C819">
        <v>5</v>
      </c>
      <c r="D819" s="5" t="s">
        <v>35</v>
      </c>
      <c r="E819" s="5" t="s">
        <v>60</v>
      </c>
      <c r="F819" s="5" t="s">
        <v>61</v>
      </c>
      <c r="G819" s="5" t="s">
        <v>62</v>
      </c>
      <c r="H819" s="5" t="s">
        <v>52</v>
      </c>
      <c r="I819" s="5" t="s">
        <v>53</v>
      </c>
      <c r="J819" s="5" t="s">
        <v>41</v>
      </c>
      <c r="K819">
        <v>46</v>
      </c>
      <c r="L819">
        <v>974397</v>
      </c>
      <c r="M819" s="26">
        <v>44822262</v>
      </c>
      <c r="N819">
        <v>46521</v>
      </c>
      <c r="O819" s="26">
        <v>6803211.0899999999</v>
      </c>
      <c r="P819" s="5" t="s">
        <v>50</v>
      </c>
      <c r="Q819" s="5" t="s">
        <v>43</v>
      </c>
      <c r="R819">
        <v>4.0999999999999996</v>
      </c>
      <c r="S819">
        <v>21</v>
      </c>
      <c r="T819">
        <f t="shared" si="12"/>
        <v>0</v>
      </c>
    </row>
    <row r="820" spans="1:20">
      <c r="A820" s="4">
        <v>44696</v>
      </c>
      <c r="B820">
        <v>2022</v>
      </c>
      <c r="C820">
        <v>5</v>
      </c>
      <c r="D820" s="5" t="s">
        <v>35</v>
      </c>
      <c r="E820" s="5" t="s">
        <v>60</v>
      </c>
      <c r="F820" s="5" t="s">
        <v>61</v>
      </c>
      <c r="G820" s="5" t="s">
        <v>62</v>
      </c>
      <c r="H820" s="5" t="s">
        <v>48</v>
      </c>
      <c r="I820" s="5" t="s">
        <v>40</v>
      </c>
      <c r="J820" s="5" t="s">
        <v>49</v>
      </c>
      <c r="K820">
        <v>50</v>
      </c>
      <c r="L820">
        <v>465049</v>
      </c>
      <c r="M820" s="26">
        <v>23252450</v>
      </c>
      <c r="N820">
        <v>23849</v>
      </c>
      <c r="O820" s="26">
        <v>1971961.97</v>
      </c>
      <c r="P820" s="5" t="s">
        <v>50</v>
      </c>
      <c r="Q820" s="5" t="s">
        <v>75</v>
      </c>
      <c r="R820">
        <v>4.5</v>
      </c>
      <c r="S820">
        <v>11</v>
      </c>
      <c r="T820">
        <f t="shared" si="12"/>
        <v>0</v>
      </c>
    </row>
    <row r="821" spans="1:20">
      <c r="A821" s="4">
        <v>44705</v>
      </c>
      <c r="B821">
        <v>2022</v>
      </c>
      <c r="C821">
        <v>5</v>
      </c>
      <c r="D821" s="5" t="s">
        <v>35</v>
      </c>
      <c r="E821" s="5" t="s">
        <v>36</v>
      </c>
      <c r="F821" s="5" t="s">
        <v>37</v>
      </c>
      <c r="G821" s="5" t="s">
        <v>38</v>
      </c>
      <c r="H821" s="5" t="s">
        <v>48</v>
      </c>
      <c r="I821" s="5" t="s">
        <v>40</v>
      </c>
      <c r="J821" s="5" t="s">
        <v>49</v>
      </c>
      <c r="K821">
        <v>18</v>
      </c>
      <c r="L821">
        <v>437522</v>
      </c>
      <c r="M821" s="26">
        <v>7875396</v>
      </c>
      <c r="N821">
        <v>15665</v>
      </c>
      <c r="O821" s="26">
        <v>971270.56</v>
      </c>
      <c r="P821" s="5" t="s">
        <v>42</v>
      </c>
      <c r="Q821" s="5" t="s">
        <v>75</v>
      </c>
      <c r="R821">
        <v>3.8</v>
      </c>
      <c r="S821">
        <v>21</v>
      </c>
      <c r="T821">
        <f t="shared" si="12"/>
        <v>1</v>
      </c>
    </row>
    <row r="822" spans="1:20">
      <c r="A822" s="4">
        <v>44690</v>
      </c>
      <c r="B822">
        <v>2022</v>
      </c>
      <c r="C822">
        <v>5</v>
      </c>
      <c r="D822" s="5" t="s">
        <v>35</v>
      </c>
      <c r="E822" s="5" t="s">
        <v>60</v>
      </c>
      <c r="F822" s="5" t="s">
        <v>61</v>
      </c>
      <c r="G822" s="5" t="s">
        <v>62</v>
      </c>
      <c r="H822" s="5" t="s">
        <v>74</v>
      </c>
      <c r="I822" s="5" t="s">
        <v>40</v>
      </c>
      <c r="J822" s="5" t="s">
        <v>49</v>
      </c>
      <c r="K822">
        <v>23</v>
      </c>
      <c r="L822">
        <v>661609</v>
      </c>
      <c r="M822" s="26">
        <v>15217007</v>
      </c>
      <c r="N822">
        <v>22399</v>
      </c>
      <c r="O822" s="26">
        <v>2187728.35</v>
      </c>
      <c r="P822" s="5" t="s">
        <v>50</v>
      </c>
      <c r="Q822" s="5" t="s">
        <v>43</v>
      </c>
      <c r="R822">
        <v>3.6</v>
      </c>
      <c r="S822">
        <v>19</v>
      </c>
      <c r="T822">
        <f t="shared" si="12"/>
        <v>0</v>
      </c>
    </row>
    <row r="823" spans="1:20">
      <c r="A823" s="4">
        <v>44691</v>
      </c>
      <c r="B823">
        <v>2022</v>
      </c>
      <c r="C823">
        <v>5</v>
      </c>
      <c r="D823" s="5" t="s">
        <v>54</v>
      </c>
      <c r="E823" s="5" t="s">
        <v>55</v>
      </c>
      <c r="F823" s="5" t="s">
        <v>55</v>
      </c>
      <c r="G823" s="5" t="s">
        <v>56</v>
      </c>
      <c r="H823" s="5" t="s">
        <v>85</v>
      </c>
      <c r="I823" s="5" t="s">
        <v>58</v>
      </c>
      <c r="J823" s="5" t="s">
        <v>49</v>
      </c>
      <c r="K823">
        <v>49</v>
      </c>
      <c r="L823">
        <v>981005</v>
      </c>
      <c r="M823" s="26">
        <v>48069245</v>
      </c>
      <c r="N823">
        <v>19173</v>
      </c>
      <c r="O823" s="26">
        <v>5363290.22</v>
      </c>
      <c r="P823" s="5" t="s">
        <v>42</v>
      </c>
      <c r="Q823" s="5" t="s">
        <v>51</v>
      </c>
      <c r="R823">
        <v>4.3</v>
      </c>
      <c r="S823">
        <v>10</v>
      </c>
      <c r="T823">
        <f t="shared" si="12"/>
        <v>1</v>
      </c>
    </row>
    <row r="824" spans="1:20">
      <c r="A824" s="4">
        <v>44695</v>
      </c>
      <c r="B824">
        <v>2022</v>
      </c>
      <c r="C824">
        <v>5</v>
      </c>
      <c r="D824" s="5" t="s">
        <v>35</v>
      </c>
      <c r="E824" s="5" t="s">
        <v>36</v>
      </c>
      <c r="F824" s="5" t="s">
        <v>37</v>
      </c>
      <c r="G824" s="5" t="s">
        <v>38</v>
      </c>
      <c r="H824" s="5" t="s">
        <v>79</v>
      </c>
      <c r="I824" s="5" t="s">
        <v>58</v>
      </c>
      <c r="J824" s="5" t="s">
        <v>49</v>
      </c>
      <c r="K824">
        <v>30</v>
      </c>
      <c r="L824">
        <v>902755</v>
      </c>
      <c r="M824" s="26">
        <v>27082650</v>
      </c>
      <c r="N824">
        <v>41494</v>
      </c>
      <c r="O824" s="26">
        <v>2655451.87</v>
      </c>
      <c r="P824" s="5" t="s">
        <v>42</v>
      </c>
      <c r="Q824" s="5" t="s">
        <v>75</v>
      </c>
      <c r="R824">
        <v>4.5999999999999996</v>
      </c>
      <c r="S824">
        <v>14</v>
      </c>
      <c r="T824">
        <f t="shared" si="12"/>
        <v>1</v>
      </c>
    </row>
    <row r="825" spans="1:20">
      <c r="A825" s="4">
        <v>44704</v>
      </c>
      <c r="B825">
        <v>2022</v>
      </c>
      <c r="C825">
        <v>5</v>
      </c>
      <c r="D825" s="5" t="s">
        <v>54</v>
      </c>
      <c r="E825" s="5" t="s">
        <v>55</v>
      </c>
      <c r="F825" s="5" t="s">
        <v>55</v>
      </c>
      <c r="G825" s="5" t="s">
        <v>56</v>
      </c>
      <c r="H825" s="5" t="s">
        <v>74</v>
      </c>
      <c r="I825" s="5" t="s">
        <v>40</v>
      </c>
      <c r="J825" s="5" t="s">
        <v>49</v>
      </c>
      <c r="K825">
        <v>49</v>
      </c>
      <c r="L825">
        <v>632445</v>
      </c>
      <c r="M825" s="26">
        <v>30989805</v>
      </c>
      <c r="N825">
        <v>28072</v>
      </c>
      <c r="O825" s="26">
        <v>2967797.77</v>
      </c>
      <c r="P825" s="5" t="s">
        <v>50</v>
      </c>
      <c r="Q825" s="5" t="s">
        <v>43</v>
      </c>
      <c r="R825">
        <v>4.7</v>
      </c>
      <c r="S825">
        <v>3</v>
      </c>
      <c r="T825">
        <f t="shared" si="12"/>
        <v>0</v>
      </c>
    </row>
    <row r="826" spans="1:20">
      <c r="A826" s="4">
        <v>44688</v>
      </c>
      <c r="B826">
        <v>2022</v>
      </c>
      <c r="C826">
        <v>5</v>
      </c>
      <c r="D826" s="5" t="s">
        <v>35</v>
      </c>
      <c r="E826" s="5" t="s">
        <v>36</v>
      </c>
      <c r="F826" s="5" t="s">
        <v>37</v>
      </c>
      <c r="G826" s="5" t="s">
        <v>38</v>
      </c>
      <c r="H826" s="5" t="s">
        <v>52</v>
      </c>
      <c r="I826" s="5" t="s">
        <v>53</v>
      </c>
      <c r="J826" s="5" t="s">
        <v>41</v>
      </c>
      <c r="K826">
        <v>7</v>
      </c>
      <c r="L826">
        <v>963869</v>
      </c>
      <c r="M826" s="26">
        <v>6747083</v>
      </c>
      <c r="N826">
        <v>38121</v>
      </c>
      <c r="O826" s="26">
        <v>677733.93</v>
      </c>
      <c r="P826" s="5" t="s">
        <v>42</v>
      </c>
      <c r="Q826" s="5" t="s">
        <v>51</v>
      </c>
      <c r="R826">
        <v>3.6</v>
      </c>
      <c r="S826">
        <v>7</v>
      </c>
      <c r="T826">
        <f t="shared" si="12"/>
        <v>1</v>
      </c>
    </row>
    <row r="827" spans="1:20">
      <c r="A827" s="4">
        <v>44708</v>
      </c>
      <c r="B827">
        <v>2022</v>
      </c>
      <c r="C827">
        <v>5</v>
      </c>
      <c r="D827" s="5" t="s">
        <v>44</v>
      </c>
      <c r="E827" s="5" t="s">
        <v>82</v>
      </c>
      <c r="F827" s="5" t="s">
        <v>83</v>
      </c>
      <c r="G827" s="5" t="s">
        <v>84</v>
      </c>
      <c r="H827" s="5" t="s">
        <v>74</v>
      </c>
      <c r="I827" s="5" t="s">
        <v>40</v>
      </c>
      <c r="J827" s="5" t="s">
        <v>49</v>
      </c>
      <c r="K827">
        <v>57</v>
      </c>
      <c r="L827">
        <v>629528</v>
      </c>
      <c r="M827" s="26">
        <v>35883096</v>
      </c>
      <c r="N827">
        <v>5903</v>
      </c>
      <c r="O827" s="26">
        <v>4931519.42</v>
      </c>
      <c r="P827" s="5" t="s">
        <v>50</v>
      </c>
      <c r="Q827" s="5" t="s">
        <v>51</v>
      </c>
      <c r="R827">
        <v>4.3</v>
      </c>
      <c r="S827">
        <v>7</v>
      </c>
      <c r="T827">
        <f t="shared" si="12"/>
        <v>0</v>
      </c>
    </row>
    <row r="828" spans="1:20">
      <c r="A828" s="4">
        <v>44706</v>
      </c>
      <c r="B828">
        <v>2022</v>
      </c>
      <c r="C828">
        <v>5</v>
      </c>
      <c r="D828" s="5" t="s">
        <v>54</v>
      </c>
      <c r="E828" s="5" t="s">
        <v>70</v>
      </c>
      <c r="F828" s="5" t="s">
        <v>71</v>
      </c>
      <c r="G828" s="5" t="s">
        <v>72</v>
      </c>
      <c r="H828" s="5" t="s">
        <v>86</v>
      </c>
      <c r="I828" s="5" t="s">
        <v>40</v>
      </c>
      <c r="J828" s="5" t="s">
        <v>41</v>
      </c>
      <c r="K828">
        <v>60</v>
      </c>
      <c r="L828">
        <v>581298</v>
      </c>
      <c r="M828" s="26">
        <v>34877880</v>
      </c>
      <c r="N828">
        <v>31478</v>
      </c>
      <c r="O828" s="26">
        <v>5451408.7000000002</v>
      </c>
      <c r="P828" s="5" t="s">
        <v>50</v>
      </c>
      <c r="Q828" s="5" t="s">
        <v>75</v>
      </c>
      <c r="R828">
        <v>4.4000000000000004</v>
      </c>
      <c r="S828">
        <v>12</v>
      </c>
      <c r="T828">
        <f t="shared" si="12"/>
        <v>0</v>
      </c>
    </row>
    <row r="829" spans="1:20">
      <c r="A829" s="4">
        <v>44687</v>
      </c>
      <c r="B829">
        <v>2022</v>
      </c>
      <c r="C829">
        <v>5</v>
      </c>
      <c r="D829" s="5" t="s">
        <v>54</v>
      </c>
      <c r="E829" s="5" t="s">
        <v>55</v>
      </c>
      <c r="F829" s="5" t="s">
        <v>55</v>
      </c>
      <c r="G829" s="5" t="s">
        <v>56</v>
      </c>
      <c r="H829" s="5" t="s">
        <v>85</v>
      </c>
      <c r="I829" s="5" t="s">
        <v>58</v>
      </c>
      <c r="J829" s="5" t="s">
        <v>49</v>
      </c>
      <c r="K829">
        <v>57</v>
      </c>
      <c r="L829">
        <v>955226</v>
      </c>
      <c r="M829" s="26">
        <v>54447882</v>
      </c>
      <c r="N829">
        <v>36591</v>
      </c>
      <c r="O829" s="26">
        <v>6376829.0800000001</v>
      </c>
      <c r="P829" s="5" t="s">
        <v>42</v>
      </c>
      <c r="Q829" s="5" t="s">
        <v>51</v>
      </c>
      <c r="R829">
        <v>5</v>
      </c>
      <c r="S829">
        <v>2</v>
      </c>
      <c r="T829">
        <f t="shared" si="12"/>
        <v>1</v>
      </c>
    </row>
    <row r="830" spans="1:20">
      <c r="A830" s="4">
        <v>44692</v>
      </c>
      <c r="B830">
        <v>2022</v>
      </c>
      <c r="C830">
        <v>5</v>
      </c>
      <c r="D830" s="5" t="s">
        <v>66</v>
      </c>
      <c r="E830" s="5" t="s">
        <v>67</v>
      </c>
      <c r="F830" s="5" t="s">
        <v>68</v>
      </c>
      <c r="G830" s="5" t="s">
        <v>69</v>
      </c>
      <c r="H830" s="5" t="s">
        <v>63</v>
      </c>
      <c r="I830" s="5" t="s">
        <v>64</v>
      </c>
      <c r="J830" s="5" t="s">
        <v>41</v>
      </c>
      <c r="K830">
        <v>42</v>
      </c>
      <c r="L830">
        <v>766720</v>
      </c>
      <c r="M830" s="26">
        <v>32202240</v>
      </c>
      <c r="N830">
        <v>43298</v>
      </c>
      <c r="O830" s="26">
        <v>3092188.74</v>
      </c>
      <c r="P830" s="5" t="s">
        <v>50</v>
      </c>
      <c r="Q830" s="5" t="s">
        <v>51</v>
      </c>
      <c r="R830">
        <v>4.4000000000000004</v>
      </c>
      <c r="S830">
        <v>11</v>
      </c>
      <c r="T830">
        <f t="shared" si="12"/>
        <v>0</v>
      </c>
    </row>
    <row r="831" spans="1:20">
      <c r="A831" s="4">
        <v>44688</v>
      </c>
      <c r="B831">
        <v>2022</v>
      </c>
      <c r="C831">
        <v>5</v>
      </c>
      <c r="D831" s="5" t="s">
        <v>35</v>
      </c>
      <c r="E831" s="5" t="s">
        <v>76</v>
      </c>
      <c r="F831" s="5" t="s">
        <v>77</v>
      </c>
      <c r="G831" s="5" t="s">
        <v>78</v>
      </c>
      <c r="H831" s="5" t="s">
        <v>39</v>
      </c>
      <c r="I831" s="5" t="s">
        <v>40</v>
      </c>
      <c r="J831" s="5" t="s">
        <v>41</v>
      </c>
      <c r="K831">
        <v>38</v>
      </c>
      <c r="L831">
        <v>557300</v>
      </c>
      <c r="M831" s="26">
        <v>21177400</v>
      </c>
      <c r="N831">
        <v>5806</v>
      </c>
      <c r="O831" s="26">
        <v>2169299.69</v>
      </c>
      <c r="P831" s="5" t="s">
        <v>50</v>
      </c>
      <c r="Q831" s="5" t="s">
        <v>75</v>
      </c>
      <c r="R831">
        <v>4.3</v>
      </c>
      <c r="S831">
        <v>8</v>
      </c>
      <c r="T831">
        <f t="shared" si="12"/>
        <v>0</v>
      </c>
    </row>
    <row r="832" spans="1:20">
      <c r="A832" s="4">
        <v>44685</v>
      </c>
      <c r="B832">
        <v>2022</v>
      </c>
      <c r="C832">
        <v>5</v>
      </c>
      <c r="D832" s="5" t="s">
        <v>35</v>
      </c>
      <c r="E832" s="5" t="s">
        <v>60</v>
      </c>
      <c r="F832" s="5" t="s">
        <v>61</v>
      </c>
      <c r="G832" s="5" t="s">
        <v>62</v>
      </c>
      <c r="H832" s="5" t="s">
        <v>52</v>
      </c>
      <c r="I832" s="5" t="s">
        <v>53</v>
      </c>
      <c r="J832" s="5" t="s">
        <v>41</v>
      </c>
      <c r="K832">
        <v>30</v>
      </c>
      <c r="L832">
        <v>971656</v>
      </c>
      <c r="M832" s="26">
        <v>29149680</v>
      </c>
      <c r="N832">
        <v>44597</v>
      </c>
      <c r="O832" s="26">
        <v>3455945.26</v>
      </c>
      <c r="P832" s="5" t="s">
        <v>42</v>
      </c>
      <c r="Q832" s="5" t="s">
        <v>75</v>
      </c>
      <c r="R832">
        <v>4.2</v>
      </c>
      <c r="S832">
        <v>17</v>
      </c>
      <c r="T832">
        <f t="shared" si="12"/>
        <v>1</v>
      </c>
    </row>
    <row r="833" spans="1:20">
      <c r="A833" s="4">
        <v>44686</v>
      </c>
      <c r="B833">
        <v>2022</v>
      </c>
      <c r="C833">
        <v>5</v>
      </c>
      <c r="D833" s="5" t="s">
        <v>54</v>
      </c>
      <c r="E833" s="5" t="s">
        <v>55</v>
      </c>
      <c r="F833" s="5" t="s">
        <v>55</v>
      </c>
      <c r="G833" s="5" t="s">
        <v>56</v>
      </c>
      <c r="H833" s="5" t="s">
        <v>74</v>
      </c>
      <c r="I833" s="5" t="s">
        <v>40</v>
      </c>
      <c r="J833" s="5" t="s">
        <v>49</v>
      </c>
      <c r="K833">
        <v>26</v>
      </c>
      <c r="L833">
        <v>651358</v>
      </c>
      <c r="M833" s="26">
        <v>16935308</v>
      </c>
      <c r="N833">
        <v>5693</v>
      </c>
      <c r="O833" s="26">
        <v>1688797.67</v>
      </c>
      <c r="P833" s="5" t="s">
        <v>50</v>
      </c>
      <c r="Q833" s="5" t="s">
        <v>43</v>
      </c>
      <c r="R833">
        <v>3.6</v>
      </c>
      <c r="S833">
        <v>3</v>
      </c>
      <c r="T833">
        <f t="shared" si="12"/>
        <v>0</v>
      </c>
    </row>
    <row r="834" spans="1:20">
      <c r="A834" s="4">
        <v>44705</v>
      </c>
      <c r="B834">
        <v>2022</v>
      </c>
      <c r="C834">
        <v>5</v>
      </c>
      <c r="D834" s="5" t="s">
        <v>44</v>
      </c>
      <c r="E834" s="5" t="s">
        <v>82</v>
      </c>
      <c r="F834" s="5" t="s">
        <v>83</v>
      </c>
      <c r="G834" s="5" t="s">
        <v>84</v>
      </c>
      <c r="H834" s="5" t="s">
        <v>39</v>
      </c>
      <c r="I834" s="5" t="s">
        <v>40</v>
      </c>
      <c r="J834" s="5" t="s">
        <v>41</v>
      </c>
      <c r="K834">
        <v>28</v>
      </c>
      <c r="L834">
        <v>556727</v>
      </c>
      <c r="M834" s="26">
        <v>15588356</v>
      </c>
      <c r="N834">
        <v>11318</v>
      </c>
      <c r="O834" s="26">
        <v>1590810.78</v>
      </c>
      <c r="P834" s="5" t="s">
        <v>50</v>
      </c>
      <c r="Q834" s="5" t="s">
        <v>75</v>
      </c>
      <c r="R834">
        <v>4.3</v>
      </c>
      <c r="S834">
        <v>21</v>
      </c>
      <c r="T834">
        <f t="shared" ref="T834:T897" si="13">IF(AND(OR($B834=Sel_Year,Sel_Year="All"),OR($C834=Sel_Month,Sel_Month="All"),OR($D834=Sel_Region,Sel_Region="All"),OR($E834=Sel_State,Sel_State="All"),OR($F834=Sel_City,Sel_City="All"),OR($G834=Sel_Dealer,Sel_Dealer="All"),OR($H834=Sel_Model,Sel_Model="All"),OR($I834=Sel_Segment,Sel_Segment="All"),OR($J834=Sel_Fuel,Sel_Fuel="All"),OR($P834=Sel_CustType,Sel_CustType="All"),OR($Q834=Sel_Payment,Sel_Payment="All")),1,0)</f>
        <v>0</v>
      </c>
    </row>
    <row r="835" spans="1:20">
      <c r="A835" s="4">
        <v>44682</v>
      </c>
      <c r="B835">
        <v>2022</v>
      </c>
      <c r="C835">
        <v>5</v>
      </c>
      <c r="D835" s="5" t="s">
        <v>35</v>
      </c>
      <c r="E835" s="5" t="s">
        <v>36</v>
      </c>
      <c r="F835" s="5" t="s">
        <v>37</v>
      </c>
      <c r="G835" s="5" t="s">
        <v>38</v>
      </c>
      <c r="H835" s="5" t="s">
        <v>48</v>
      </c>
      <c r="I835" s="5" t="s">
        <v>40</v>
      </c>
      <c r="J835" s="5" t="s">
        <v>49</v>
      </c>
      <c r="K835">
        <v>8</v>
      </c>
      <c r="L835">
        <v>446991</v>
      </c>
      <c r="M835" s="26">
        <v>3575928</v>
      </c>
      <c r="N835">
        <v>33845</v>
      </c>
      <c r="O835" s="26">
        <v>490715.29</v>
      </c>
      <c r="P835" s="5" t="s">
        <v>42</v>
      </c>
      <c r="Q835" s="5" t="s">
        <v>51</v>
      </c>
      <c r="R835">
        <v>4.2</v>
      </c>
      <c r="S835">
        <v>17</v>
      </c>
      <c r="T835">
        <f t="shared" si="13"/>
        <v>1</v>
      </c>
    </row>
    <row r="836" spans="1:20">
      <c r="A836" s="4">
        <v>44687</v>
      </c>
      <c r="B836">
        <v>2022</v>
      </c>
      <c r="C836">
        <v>5</v>
      </c>
      <c r="D836" s="5" t="s">
        <v>54</v>
      </c>
      <c r="E836" s="5" t="s">
        <v>55</v>
      </c>
      <c r="F836" s="5" t="s">
        <v>55</v>
      </c>
      <c r="G836" s="5" t="s">
        <v>56</v>
      </c>
      <c r="H836" s="5" t="s">
        <v>65</v>
      </c>
      <c r="I836" s="5" t="s">
        <v>53</v>
      </c>
      <c r="J836" s="5" t="s">
        <v>49</v>
      </c>
      <c r="K836">
        <v>33</v>
      </c>
      <c r="L836">
        <v>1240861</v>
      </c>
      <c r="M836" s="26">
        <v>40948413</v>
      </c>
      <c r="N836">
        <v>32855</v>
      </c>
      <c r="O836" s="26">
        <v>5337737.87</v>
      </c>
      <c r="P836" s="5" t="s">
        <v>42</v>
      </c>
      <c r="Q836" s="5" t="s">
        <v>43</v>
      </c>
      <c r="R836">
        <v>3.9</v>
      </c>
      <c r="S836">
        <v>6</v>
      </c>
      <c r="T836">
        <f t="shared" si="13"/>
        <v>1</v>
      </c>
    </row>
    <row r="837" spans="1:20">
      <c r="A837" s="4">
        <v>44706</v>
      </c>
      <c r="B837">
        <v>2022</v>
      </c>
      <c r="C837">
        <v>5</v>
      </c>
      <c r="D837" s="5" t="s">
        <v>54</v>
      </c>
      <c r="E837" s="5" t="s">
        <v>70</v>
      </c>
      <c r="F837" s="5" t="s">
        <v>71</v>
      </c>
      <c r="G837" s="5" t="s">
        <v>72</v>
      </c>
      <c r="H837" s="5" t="s">
        <v>79</v>
      </c>
      <c r="I837" s="5" t="s">
        <v>58</v>
      </c>
      <c r="J837" s="5" t="s">
        <v>49</v>
      </c>
      <c r="K837">
        <v>39</v>
      </c>
      <c r="L837">
        <v>905517</v>
      </c>
      <c r="M837" s="26">
        <v>35315163</v>
      </c>
      <c r="N837">
        <v>43324</v>
      </c>
      <c r="O837" s="26">
        <v>4811962.5</v>
      </c>
      <c r="P837" s="5" t="s">
        <v>42</v>
      </c>
      <c r="Q837" s="5" t="s">
        <v>43</v>
      </c>
      <c r="R837">
        <v>4.7</v>
      </c>
      <c r="S837">
        <v>6</v>
      </c>
      <c r="T837">
        <f t="shared" si="13"/>
        <v>1</v>
      </c>
    </row>
    <row r="838" spans="1:20">
      <c r="A838" s="4">
        <v>44682</v>
      </c>
      <c r="B838">
        <v>2022</v>
      </c>
      <c r="C838">
        <v>5</v>
      </c>
      <c r="D838" s="5" t="s">
        <v>35</v>
      </c>
      <c r="E838" s="5" t="s">
        <v>76</v>
      </c>
      <c r="F838" s="5" t="s">
        <v>77</v>
      </c>
      <c r="G838" s="5" t="s">
        <v>78</v>
      </c>
      <c r="H838" s="5" t="s">
        <v>79</v>
      </c>
      <c r="I838" s="5" t="s">
        <v>58</v>
      </c>
      <c r="J838" s="5" t="s">
        <v>49</v>
      </c>
      <c r="K838">
        <v>18</v>
      </c>
      <c r="L838">
        <v>876790</v>
      </c>
      <c r="M838" s="26">
        <v>15782220</v>
      </c>
      <c r="N838">
        <v>10314</v>
      </c>
      <c r="O838" s="26">
        <v>2429939.33</v>
      </c>
      <c r="P838" s="5" t="s">
        <v>50</v>
      </c>
      <c r="Q838" s="5" t="s">
        <v>75</v>
      </c>
      <c r="R838">
        <v>4.2</v>
      </c>
      <c r="S838">
        <v>20</v>
      </c>
      <c r="T838">
        <f t="shared" si="13"/>
        <v>0</v>
      </c>
    </row>
    <row r="839" spans="1:20">
      <c r="A839" s="4">
        <v>44687</v>
      </c>
      <c r="B839">
        <v>2022</v>
      </c>
      <c r="C839">
        <v>5</v>
      </c>
      <c r="D839" s="5" t="s">
        <v>44</v>
      </c>
      <c r="E839" s="5" t="s">
        <v>45</v>
      </c>
      <c r="F839" s="5" t="s">
        <v>46</v>
      </c>
      <c r="G839" s="5" t="s">
        <v>47</v>
      </c>
      <c r="H839" s="5" t="s">
        <v>86</v>
      </c>
      <c r="I839" s="5" t="s">
        <v>40</v>
      </c>
      <c r="J839" s="5" t="s">
        <v>41</v>
      </c>
      <c r="K839">
        <v>27</v>
      </c>
      <c r="L839">
        <v>604558</v>
      </c>
      <c r="M839" s="26">
        <v>16323066</v>
      </c>
      <c r="N839">
        <v>41447</v>
      </c>
      <c r="O839" s="26">
        <v>2130579.08</v>
      </c>
      <c r="P839" s="5" t="s">
        <v>50</v>
      </c>
      <c r="Q839" s="5" t="s">
        <v>51</v>
      </c>
      <c r="R839">
        <v>5</v>
      </c>
      <c r="S839">
        <v>4</v>
      </c>
      <c r="T839">
        <f t="shared" si="13"/>
        <v>0</v>
      </c>
    </row>
    <row r="840" spans="1:20">
      <c r="A840" s="4">
        <v>44705</v>
      </c>
      <c r="B840">
        <v>2022</v>
      </c>
      <c r="C840">
        <v>5</v>
      </c>
      <c r="D840" s="5" t="s">
        <v>35</v>
      </c>
      <c r="E840" s="5" t="s">
        <v>60</v>
      </c>
      <c r="F840" s="5" t="s">
        <v>61</v>
      </c>
      <c r="G840" s="5" t="s">
        <v>62</v>
      </c>
      <c r="H840" s="5" t="s">
        <v>73</v>
      </c>
      <c r="I840" s="5" t="s">
        <v>40</v>
      </c>
      <c r="J840" s="5" t="s">
        <v>49</v>
      </c>
      <c r="K840">
        <v>5</v>
      </c>
      <c r="L840">
        <v>721569</v>
      </c>
      <c r="M840" s="26">
        <v>3607845</v>
      </c>
      <c r="N840">
        <v>47398</v>
      </c>
      <c r="O840" s="26">
        <v>393941.85</v>
      </c>
      <c r="P840" s="5" t="s">
        <v>50</v>
      </c>
      <c r="Q840" s="5" t="s">
        <v>51</v>
      </c>
      <c r="R840">
        <v>4</v>
      </c>
      <c r="S840">
        <v>21</v>
      </c>
      <c r="T840">
        <f t="shared" si="13"/>
        <v>0</v>
      </c>
    </row>
    <row r="841" spans="1:20">
      <c r="A841" s="4">
        <v>44699</v>
      </c>
      <c r="B841">
        <v>2022</v>
      </c>
      <c r="C841">
        <v>5</v>
      </c>
      <c r="D841" s="5" t="s">
        <v>35</v>
      </c>
      <c r="E841" s="5" t="s">
        <v>76</v>
      </c>
      <c r="F841" s="5" t="s">
        <v>77</v>
      </c>
      <c r="G841" s="5" t="s">
        <v>78</v>
      </c>
      <c r="H841" s="5" t="s">
        <v>79</v>
      </c>
      <c r="I841" s="5" t="s">
        <v>58</v>
      </c>
      <c r="J841" s="5" t="s">
        <v>49</v>
      </c>
      <c r="K841">
        <v>25</v>
      </c>
      <c r="L841">
        <v>882373</v>
      </c>
      <c r="M841" s="26">
        <v>22059325</v>
      </c>
      <c r="N841">
        <v>39779</v>
      </c>
      <c r="O841" s="26">
        <v>3140346.37</v>
      </c>
      <c r="P841" s="5" t="s">
        <v>50</v>
      </c>
      <c r="Q841" s="5" t="s">
        <v>43</v>
      </c>
      <c r="R841">
        <v>4.2</v>
      </c>
      <c r="S841">
        <v>20</v>
      </c>
      <c r="T841">
        <f t="shared" si="13"/>
        <v>0</v>
      </c>
    </row>
    <row r="842" spans="1:20">
      <c r="A842" s="4">
        <v>44697</v>
      </c>
      <c r="B842">
        <v>2022</v>
      </c>
      <c r="C842">
        <v>5</v>
      </c>
      <c r="D842" s="5" t="s">
        <v>35</v>
      </c>
      <c r="E842" s="5" t="s">
        <v>60</v>
      </c>
      <c r="F842" s="5" t="s">
        <v>61</v>
      </c>
      <c r="G842" s="5" t="s">
        <v>62</v>
      </c>
      <c r="H842" s="5" t="s">
        <v>86</v>
      </c>
      <c r="I842" s="5" t="s">
        <v>40</v>
      </c>
      <c r="J842" s="5" t="s">
        <v>41</v>
      </c>
      <c r="K842">
        <v>21</v>
      </c>
      <c r="L842">
        <v>573510</v>
      </c>
      <c r="M842" s="26">
        <v>12043710</v>
      </c>
      <c r="N842">
        <v>15718</v>
      </c>
      <c r="O842" s="26">
        <v>1152735.23</v>
      </c>
      <c r="P842" s="5" t="s">
        <v>50</v>
      </c>
      <c r="Q842" s="5" t="s">
        <v>75</v>
      </c>
      <c r="R842">
        <v>4.0999999999999996</v>
      </c>
      <c r="S842">
        <v>13</v>
      </c>
      <c r="T842">
        <f t="shared" si="13"/>
        <v>0</v>
      </c>
    </row>
    <row r="843" spans="1:20">
      <c r="A843" s="4">
        <v>44688</v>
      </c>
      <c r="B843">
        <v>2022</v>
      </c>
      <c r="C843">
        <v>5</v>
      </c>
      <c r="D843" s="5" t="s">
        <v>35</v>
      </c>
      <c r="E843" s="5" t="s">
        <v>60</v>
      </c>
      <c r="F843" s="5" t="s">
        <v>61</v>
      </c>
      <c r="G843" s="5" t="s">
        <v>62</v>
      </c>
      <c r="H843" s="5" t="s">
        <v>57</v>
      </c>
      <c r="I843" s="5" t="s">
        <v>58</v>
      </c>
      <c r="J843" s="5" t="s">
        <v>59</v>
      </c>
      <c r="K843">
        <v>57</v>
      </c>
      <c r="L843">
        <v>1425831</v>
      </c>
      <c r="M843" s="26">
        <v>81272367</v>
      </c>
      <c r="N843">
        <v>32222</v>
      </c>
      <c r="O843" s="26">
        <v>7940821.8300000001</v>
      </c>
      <c r="P843" s="5" t="s">
        <v>50</v>
      </c>
      <c r="Q843" s="5" t="s">
        <v>75</v>
      </c>
      <c r="R843">
        <v>4.8</v>
      </c>
      <c r="S843">
        <v>17</v>
      </c>
      <c r="T843">
        <f t="shared" si="13"/>
        <v>0</v>
      </c>
    </row>
    <row r="844" spans="1:20">
      <c r="A844" s="4">
        <v>44685</v>
      </c>
      <c r="B844">
        <v>2022</v>
      </c>
      <c r="C844">
        <v>5</v>
      </c>
      <c r="D844" s="5" t="s">
        <v>35</v>
      </c>
      <c r="E844" s="5" t="s">
        <v>76</v>
      </c>
      <c r="F844" s="5" t="s">
        <v>77</v>
      </c>
      <c r="G844" s="5" t="s">
        <v>78</v>
      </c>
      <c r="H844" s="5" t="s">
        <v>48</v>
      </c>
      <c r="I844" s="5" t="s">
        <v>40</v>
      </c>
      <c r="J844" s="5" t="s">
        <v>49</v>
      </c>
      <c r="K844">
        <v>22</v>
      </c>
      <c r="L844">
        <v>445795</v>
      </c>
      <c r="M844" s="26">
        <v>9807490</v>
      </c>
      <c r="N844">
        <v>13096</v>
      </c>
      <c r="O844" s="26">
        <v>1181451.6499999999</v>
      </c>
      <c r="P844" s="5" t="s">
        <v>42</v>
      </c>
      <c r="Q844" s="5" t="s">
        <v>75</v>
      </c>
      <c r="R844">
        <v>3.8</v>
      </c>
      <c r="S844">
        <v>15</v>
      </c>
      <c r="T844">
        <f t="shared" si="13"/>
        <v>1</v>
      </c>
    </row>
    <row r="845" spans="1:20">
      <c r="A845" s="4">
        <v>44689</v>
      </c>
      <c r="B845">
        <v>2022</v>
      </c>
      <c r="C845">
        <v>5</v>
      </c>
      <c r="D845" s="5" t="s">
        <v>44</v>
      </c>
      <c r="E845" s="5" t="s">
        <v>82</v>
      </c>
      <c r="F845" s="5" t="s">
        <v>83</v>
      </c>
      <c r="G845" s="5" t="s">
        <v>84</v>
      </c>
      <c r="H845" s="5" t="s">
        <v>79</v>
      </c>
      <c r="I845" s="5" t="s">
        <v>58</v>
      </c>
      <c r="J845" s="5" t="s">
        <v>49</v>
      </c>
      <c r="K845">
        <v>21</v>
      </c>
      <c r="L845">
        <v>920584</v>
      </c>
      <c r="M845" s="26">
        <v>19332264</v>
      </c>
      <c r="N845">
        <v>39054</v>
      </c>
      <c r="O845" s="26">
        <v>2525497.5099999998</v>
      </c>
      <c r="P845" s="5" t="s">
        <v>42</v>
      </c>
      <c r="Q845" s="5" t="s">
        <v>43</v>
      </c>
      <c r="R845">
        <v>3.6</v>
      </c>
      <c r="S845">
        <v>8</v>
      </c>
      <c r="T845">
        <f t="shared" si="13"/>
        <v>1</v>
      </c>
    </row>
    <row r="846" spans="1:20">
      <c r="A846" s="4">
        <v>44704</v>
      </c>
      <c r="B846">
        <v>2022</v>
      </c>
      <c r="C846">
        <v>5</v>
      </c>
      <c r="D846" s="5" t="s">
        <v>54</v>
      </c>
      <c r="E846" s="5" t="s">
        <v>70</v>
      </c>
      <c r="F846" s="5" t="s">
        <v>71</v>
      </c>
      <c r="G846" s="5" t="s">
        <v>72</v>
      </c>
      <c r="H846" s="5" t="s">
        <v>79</v>
      </c>
      <c r="I846" s="5" t="s">
        <v>58</v>
      </c>
      <c r="J846" s="5" t="s">
        <v>49</v>
      </c>
      <c r="K846">
        <v>25</v>
      </c>
      <c r="L846">
        <v>920079</v>
      </c>
      <c r="M846" s="26">
        <v>23001975</v>
      </c>
      <c r="N846">
        <v>31856</v>
      </c>
      <c r="O846" s="26">
        <v>2348730.64</v>
      </c>
      <c r="P846" s="5" t="s">
        <v>42</v>
      </c>
      <c r="Q846" s="5" t="s">
        <v>75</v>
      </c>
      <c r="R846">
        <v>3.7</v>
      </c>
      <c r="S846">
        <v>15</v>
      </c>
      <c r="T846">
        <f t="shared" si="13"/>
        <v>1</v>
      </c>
    </row>
    <row r="847" spans="1:20">
      <c r="A847" s="4">
        <v>44698</v>
      </c>
      <c r="B847">
        <v>2022</v>
      </c>
      <c r="C847">
        <v>5</v>
      </c>
      <c r="D847" s="5" t="s">
        <v>54</v>
      </c>
      <c r="E847" s="5" t="s">
        <v>70</v>
      </c>
      <c r="F847" s="5" t="s">
        <v>71</v>
      </c>
      <c r="G847" s="5" t="s">
        <v>72</v>
      </c>
      <c r="H847" s="5" t="s">
        <v>65</v>
      </c>
      <c r="I847" s="5" t="s">
        <v>53</v>
      </c>
      <c r="J847" s="5" t="s">
        <v>49</v>
      </c>
      <c r="K847">
        <v>48</v>
      </c>
      <c r="L847">
        <v>1243982</v>
      </c>
      <c r="M847" s="26">
        <v>59711136</v>
      </c>
      <c r="N847">
        <v>42917</v>
      </c>
      <c r="O847" s="26">
        <v>8449609.6699999999</v>
      </c>
      <c r="P847" s="5" t="s">
        <v>42</v>
      </c>
      <c r="Q847" s="5" t="s">
        <v>75</v>
      </c>
      <c r="R847">
        <v>4.0999999999999996</v>
      </c>
      <c r="S847">
        <v>5</v>
      </c>
      <c r="T847">
        <f t="shared" si="13"/>
        <v>1</v>
      </c>
    </row>
    <row r="848" spans="1:20">
      <c r="A848" s="4">
        <v>44687</v>
      </c>
      <c r="B848">
        <v>2022</v>
      </c>
      <c r="C848">
        <v>5</v>
      </c>
      <c r="D848" s="5" t="s">
        <v>54</v>
      </c>
      <c r="E848" s="5" t="s">
        <v>70</v>
      </c>
      <c r="F848" s="5" t="s">
        <v>71</v>
      </c>
      <c r="G848" s="5" t="s">
        <v>72</v>
      </c>
      <c r="H848" s="5" t="s">
        <v>74</v>
      </c>
      <c r="I848" s="5" t="s">
        <v>40</v>
      </c>
      <c r="J848" s="5" t="s">
        <v>49</v>
      </c>
      <c r="K848">
        <v>18</v>
      </c>
      <c r="L848">
        <v>668779</v>
      </c>
      <c r="M848" s="26">
        <v>12038022</v>
      </c>
      <c r="N848">
        <v>45167</v>
      </c>
      <c r="O848" s="26">
        <v>1860290.43</v>
      </c>
      <c r="P848" s="5" t="s">
        <v>42</v>
      </c>
      <c r="Q848" s="5" t="s">
        <v>43</v>
      </c>
      <c r="R848">
        <v>4.3</v>
      </c>
      <c r="S848">
        <v>15</v>
      </c>
      <c r="T848">
        <f t="shared" si="13"/>
        <v>1</v>
      </c>
    </row>
    <row r="849" spans="1:20">
      <c r="A849" s="4">
        <v>44707</v>
      </c>
      <c r="B849">
        <v>2022</v>
      </c>
      <c r="C849">
        <v>5</v>
      </c>
      <c r="D849" s="5" t="s">
        <v>54</v>
      </c>
      <c r="E849" s="5" t="s">
        <v>70</v>
      </c>
      <c r="F849" s="5" t="s">
        <v>71</v>
      </c>
      <c r="G849" s="5" t="s">
        <v>72</v>
      </c>
      <c r="H849" s="5" t="s">
        <v>52</v>
      </c>
      <c r="I849" s="5" t="s">
        <v>53</v>
      </c>
      <c r="J849" s="5" t="s">
        <v>41</v>
      </c>
      <c r="K849">
        <v>6</v>
      </c>
      <c r="L849">
        <v>930927</v>
      </c>
      <c r="M849" s="26">
        <v>5585562</v>
      </c>
      <c r="N849">
        <v>16998</v>
      </c>
      <c r="O849" s="26">
        <v>720865.46</v>
      </c>
      <c r="P849" s="5" t="s">
        <v>42</v>
      </c>
      <c r="Q849" s="5" t="s">
        <v>51</v>
      </c>
      <c r="R849">
        <v>4.2</v>
      </c>
      <c r="S849">
        <v>19</v>
      </c>
      <c r="T849">
        <f t="shared" si="13"/>
        <v>1</v>
      </c>
    </row>
    <row r="850" spans="1:20">
      <c r="A850" s="4">
        <v>44696</v>
      </c>
      <c r="B850">
        <v>2022</v>
      </c>
      <c r="C850">
        <v>5</v>
      </c>
      <c r="D850" s="5" t="s">
        <v>35</v>
      </c>
      <c r="E850" s="5" t="s">
        <v>76</v>
      </c>
      <c r="F850" s="5" t="s">
        <v>77</v>
      </c>
      <c r="G850" s="5" t="s">
        <v>78</v>
      </c>
      <c r="H850" s="5" t="s">
        <v>73</v>
      </c>
      <c r="I850" s="5" t="s">
        <v>40</v>
      </c>
      <c r="J850" s="5" t="s">
        <v>49</v>
      </c>
      <c r="K850">
        <v>25</v>
      </c>
      <c r="L850">
        <v>732997</v>
      </c>
      <c r="M850" s="26">
        <v>18324925</v>
      </c>
      <c r="N850">
        <v>6074</v>
      </c>
      <c r="O850" s="26">
        <v>2094162.69</v>
      </c>
      <c r="P850" s="5" t="s">
        <v>42</v>
      </c>
      <c r="Q850" s="5" t="s">
        <v>43</v>
      </c>
      <c r="R850">
        <v>3.9</v>
      </c>
      <c r="S850">
        <v>19</v>
      </c>
      <c r="T850">
        <f t="shared" si="13"/>
        <v>1</v>
      </c>
    </row>
    <row r="851" spans="1:20">
      <c r="A851" s="4">
        <v>44704</v>
      </c>
      <c r="B851">
        <v>2022</v>
      </c>
      <c r="C851">
        <v>5</v>
      </c>
      <c r="D851" s="5" t="s">
        <v>35</v>
      </c>
      <c r="E851" s="5" t="s">
        <v>76</v>
      </c>
      <c r="F851" s="5" t="s">
        <v>77</v>
      </c>
      <c r="G851" s="5" t="s">
        <v>78</v>
      </c>
      <c r="H851" s="5" t="s">
        <v>48</v>
      </c>
      <c r="I851" s="5" t="s">
        <v>40</v>
      </c>
      <c r="J851" s="5" t="s">
        <v>49</v>
      </c>
      <c r="K851">
        <v>12</v>
      </c>
      <c r="L851">
        <v>461844</v>
      </c>
      <c r="M851" s="26">
        <v>5542128</v>
      </c>
      <c r="N851">
        <v>7508</v>
      </c>
      <c r="O851" s="26">
        <v>789018.21</v>
      </c>
      <c r="P851" s="5" t="s">
        <v>50</v>
      </c>
      <c r="Q851" s="5" t="s">
        <v>51</v>
      </c>
      <c r="R851">
        <v>4.7</v>
      </c>
      <c r="S851">
        <v>9</v>
      </c>
      <c r="T851">
        <f t="shared" si="13"/>
        <v>0</v>
      </c>
    </row>
    <row r="852" spans="1:20">
      <c r="A852" s="4">
        <v>44719</v>
      </c>
      <c r="B852">
        <v>2022</v>
      </c>
      <c r="C852">
        <v>6</v>
      </c>
      <c r="D852" s="5" t="s">
        <v>35</v>
      </c>
      <c r="E852" s="5" t="s">
        <v>76</v>
      </c>
      <c r="F852" s="5" t="s">
        <v>77</v>
      </c>
      <c r="G852" s="5" t="s">
        <v>78</v>
      </c>
      <c r="H852" s="5" t="s">
        <v>74</v>
      </c>
      <c r="I852" s="5" t="s">
        <v>40</v>
      </c>
      <c r="J852" s="5" t="s">
        <v>49</v>
      </c>
      <c r="K852">
        <v>43</v>
      </c>
      <c r="L852">
        <v>652656</v>
      </c>
      <c r="M852" s="26">
        <v>28064208</v>
      </c>
      <c r="N852">
        <v>48903</v>
      </c>
      <c r="O852" s="26">
        <v>2989982.36</v>
      </c>
      <c r="P852" s="5" t="s">
        <v>50</v>
      </c>
      <c r="Q852" s="5" t="s">
        <v>75</v>
      </c>
      <c r="R852">
        <v>4.5</v>
      </c>
      <c r="S852">
        <v>11</v>
      </c>
      <c r="T852">
        <f t="shared" si="13"/>
        <v>0</v>
      </c>
    </row>
    <row r="853" spans="1:20">
      <c r="A853" s="4">
        <v>44740</v>
      </c>
      <c r="B853">
        <v>2022</v>
      </c>
      <c r="C853">
        <v>6</v>
      </c>
      <c r="D853" s="5" t="s">
        <v>44</v>
      </c>
      <c r="E853" s="5" t="s">
        <v>82</v>
      </c>
      <c r="F853" s="5" t="s">
        <v>83</v>
      </c>
      <c r="G853" s="5" t="s">
        <v>84</v>
      </c>
      <c r="H853" s="5" t="s">
        <v>65</v>
      </c>
      <c r="I853" s="5" t="s">
        <v>53</v>
      </c>
      <c r="J853" s="5" t="s">
        <v>49</v>
      </c>
      <c r="K853">
        <v>11</v>
      </c>
      <c r="L853">
        <v>1228741</v>
      </c>
      <c r="M853" s="26">
        <v>13516151</v>
      </c>
      <c r="N853">
        <v>29291</v>
      </c>
      <c r="O853" s="26">
        <v>1567820.75</v>
      </c>
      <c r="P853" s="5" t="s">
        <v>42</v>
      </c>
      <c r="Q853" s="5" t="s">
        <v>51</v>
      </c>
      <c r="R853">
        <v>3.6</v>
      </c>
      <c r="S853">
        <v>11</v>
      </c>
      <c r="T853">
        <f t="shared" si="13"/>
        <v>1</v>
      </c>
    </row>
    <row r="854" spans="1:20">
      <c r="A854" s="4">
        <v>44719</v>
      </c>
      <c r="B854">
        <v>2022</v>
      </c>
      <c r="C854">
        <v>6</v>
      </c>
      <c r="D854" s="5" t="s">
        <v>44</v>
      </c>
      <c r="E854" s="5" t="s">
        <v>45</v>
      </c>
      <c r="F854" s="5" t="s">
        <v>46</v>
      </c>
      <c r="G854" s="5" t="s">
        <v>47</v>
      </c>
      <c r="H854" s="5" t="s">
        <v>48</v>
      </c>
      <c r="I854" s="5" t="s">
        <v>40</v>
      </c>
      <c r="J854" s="5" t="s">
        <v>49</v>
      </c>
      <c r="K854">
        <v>19</v>
      </c>
      <c r="L854">
        <v>430445</v>
      </c>
      <c r="M854" s="26">
        <v>8178455</v>
      </c>
      <c r="N854">
        <v>42077</v>
      </c>
      <c r="O854" s="26">
        <v>1033014.95</v>
      </c>
      <c r="P854" s="5" t="s">
        <v>42</v>
      </c>
      <c r="Q854" s="5" t="s">
        <v>51</v>
      </c>
      <c r="R854">
        <v>4.5</v>
      </c>
      <c r="S854">
        <v>17</v>
      </c>
      <c r="T854">
        <f t="shared" si="13"/>
        <v>1</v>
      </c>
    </row>
    <row r="855" spans="1:20">
      <c r="A855" s="4">
        <v>44721</v>
      </c>
      <c r="B855">
        <v>2022</v>
      </c>
      <c r="C855">
        <v>6</v>
      </c>
      <c r="D855" s="5" t="s">
        <v>44</v>
      </c>
      <c r="E855" s="5" t="s">
        <v>82</v>
      </c>
      <c r="F855" s="5" t="s">
        <v>83</v>
      </c>
      <c r="G855" s="5" t="s">
        <v>84</v>
      </c>
      <c r="H855" s="5" t="s">
        <v>80</v>
      </c>
      <c r="I855" s="5" t="s">
        <v>81</v>
      </c>
      <c r="J855" s="5" t="s">
        <v>41</v>
      </c>
      <c r="K855">
        <v>22</v>
      </c>
      <c r="L855">
        <v>526482</v>
      </c>
      <c r="M855" s="26">
        <v>11582604</v>
      </c>
      <c r="N855">
        <v>41143</v>
      </c>
      <c r="O855" s="26">
        <v>1529940.12</v>
      </c>
      <c r="P855" s="5" t="s">
        <v>50</v>
      </c>
      <c r="Q855" s="5" t="s">
        <v>75</v>
      </c>
      <c r="R855">
        <v>4.3</v>
      </c>
      <c r="S855">
        <v>21</v>
      </c>
      <c r="T855">
        <f t="shared" si="13"/>
        <v>0</v>
      </c>
    </row>
    <row r="856" spans="1:20">
      <c r="A856" s="4">
        <v>44718</v>
      </c>
      <c r="B856">
        <v>2022</v>
      </c>
      <c r="C856">
        <v>6</v>
      </c>
      <c r="D856" s="5" t="s">
        <v>35</v>
      </c>
      <c r="E856" s="5" t="s">
        <v>36</v>
      </c>
      <c r="F856" s="5" t="s">
        <v>37</v>
      </c>
      <c r="G856" s="5" t="s">
        <v>38</v>
      </c>
      <c r="H856" s="5" t="s">
        <v>79</v>
      </c>
      <c r="I856" s="5" t="s">
        <v>58</v>
      </c>
      <c r="J856" s="5" t="s">
        <v>49</v>
      </c>
      <c r="K856">
        <v>49</v>
      </c>
      <c r="L856">
        <v>889789</v>
      </c>
      <c r="M856" s="26">
        <v>43599661</v>
      </c>
      <c r="N856">
        <v>31031</v>
      </c>
      <c r="O856" s="26">
        <v>4876629.13</v>
      </c>
      <c r="P856" s="5" t="s">
        <v>42</v>
      </c>
      <c r="Q856" s="5" t="s">
        <v>75</v>
      </c>
      <c r="R856">
        <v>4.3</v>
      </c>
      <c r="S856">
        <v>19</v>
      </c>
      <c r="T856">
        <f t="shared" si="13"/>
        <v>1</v>
      </c>
    </row>
    <row r="857" spans="1:20">
      <c r="A857" s="4">
        <v>44734</v>
      </c>
      <c r="B857">
        <v>2022</v>
      </c>
      <c r="C857">
        <v>6</v>
      </c>
      <c r="D857" s="5" t="s">
        <v>54</v>
      </c>
      <c r="E857" s="5" t="s">
        <v>70</v>
      </c>
      <c r="F857" s="5" t="s">
        <v>71</v>
      </c>
      <c r="G857" s="5" t="s">
        <v>72</v>
      </c>
      <c r="H857" s="5" t="s">
        <v>85</v>
      </c>
      <c r="I857" s="5" t="s">
        <v>58</v>
      </c>
      <c r="J857" s="5" t="s">
        <v>49</v>
      </c>
      <c r="K857">
        <v>18</v>
      </c>
      <c r="L857">
        <v>1000996</v>
      </c>
      <c r="M857" s="26">
        <v>18017928</v>
      </c>
      <c r="N857">
        <v>14756</v>
      </c>
      <c r="O857" s="26">
        <v>1856101.53</v>
      </c>
      <c r="P857" s="5" t="s">
        <v>50</v>
      </c>
      <c r="Q857" s="5" t="s">
        <v>51</v>
      </c>
      <c r="R857">
        <v>4.7</v>
      </c>
      <c r="S857">
        <v>9</v>
      </c>
      <c r="T857">
        <f t="shared" si="13"/>
        <v>0</v>
      </c>
    </row>
    <row r="858" spans="1:20">
      <c r="A858" s="4">
        <v>44725</v>
      </c>
      <c r="B858">
        <v>2022</v>
      </c>
      <c r="C858">
        <v>6</v>
      </c>
      <c r="D858" s="5" t="s">
        <v>44</v>
      </c>
      <c r="E858" s="5" t="s">
        <v>45</v>
      </c>
      <c r="F858" s="5" t="s">
        <v>46</v>
      </c>
      <c r="G858" s="5" t="s">
        <v>47</v>
      </c>
      <c r="H858" s="5" t="s">
        <v>80</v>
      </c>
      <c r="I858" s="5" t="s">
        <v>81</v>
      </c>
      <c r="J858" s="5" t="s">
        <v>41</v>
      </c>
      <c r="K858">
        <v>24</v>
      </c>
      <c r="L858">
        <v>569265</v>
      </c>
      <c r="M858" s="26">
        <v>13662360</v>
      </c>
      <c r="N858">
        <v>5696</v>
      </c>
      <c r="O858" s="26">
        <v>1237212.97</v>
      </c>
      <c r="P858" s="5" t="s">
        <v>50</v>
      </c>
      <c r="Q858" s="5" t="s">
        <v>75</v>
      </c>
      <c r="R858">
        <v>4.4000000000000004</v>
      </c>
      <c r="S858">
        <v>6</v>
      </c>
      <c r="T858">
        <f t="shared" si="13"/>
        <v>0</v>
      </c>
    </row>
    <row r="859" spans="1:20">
      <c r="A859" s="4">
        <v>44720</v>
      </c>
      <c r="B859">
        <v>2022</v>
      </c>
      <c r="C859">
        <v>6</v>
      </c>
      <c r="D859" s="5" t="s">
        <v>35</v>
      </c>
      <c r="E859" s="5" t="s">
        <v>60</v>
      </c>
      <c r="F859" s="5" t="s">
        <v>61</v>
      </c>
      <c r="G859" s="5" t="s">
        <v>62</v>
      </c>
      <c r="H859" s="5" t="s">
        <v>79</v>
      </c>
      <c r="I859" s="5" t="s">
        <v>58</v>
      </c>
      <c r="J859" s="5" t="s">
        <v>49</v>
      </c>
      <c r="K859">
        <v>60</v>
      </c>
      <c r="L859">
        <v>889144</v>
      </c>
      <c r="M859" s="26">
        <v>53348640</v>
      </c>
      <c r="N859">
        <v>20624</v>
      </c>
      <c r="O859" s="26">
        <v>4946643.3899999997</v>
      </c>
      <c r="P859" s="5" t="s">
        <v>50</v>
      </c>
      <c r="Q859" s="5" t="s">
        <v>51</v>
      </c>
      <c r="R859">
        <v>5</v>
      </c>
      <c r="S859">
        <v>18</v>
      </c>
      <c r="T859">
        <f t="shared" si="13"/>
        <v>0</v>
      </c>
    </row>
    <row r="860" spans="1:20">
      <c r="A860" s="4">
        <v>44734</v>
      </c>
      <c r="B860">
        <v>2022</v>
      </c>
      <c r="C860">
        <v>6</v>
      </c>
      <c r="D860" s="5" t="s">
        <v>66</v>
      </c>
      <c r="E860" s="5" t="s">
        <v>67</v>
      </c>
      <c r="F860" s="5" t="s">
        <v>68</v>
      </c>
      <c r="G860" s="5" t="s">
        <v>69</v>
      </c>
      <c r="H860" s="5" t="s">
        <v>48</v>
      </c>
      <c r="I860" s="5" t="s">
        <v>40</v>
      </c>
      <c r="J860" s="5" t="s">
        <v>49</v>
      </c>
      <c r="K860">
        <v>42</v>
      </c>
      <c r="L860">
        <v>456922</v>
      </c>
      <c r="M860" s="26">
        <v>19190724</v>
      </c>
      <c r="N860">
        <v>23443</v>
      </c>
      <c r="O860" s="26">
        <v>1738128.84</v>
      </c>
      <c r="P860" s="5" t="s">
        <v>50</v>
      </c>
      <c r="Q860" s="5" t="s">
        <v>75</v>
      </c>
      <c r="R860">
        <v>3.7</v>
      </c>
      <c r="S860">
        <v>19</v>
      </c>
      <c r="T860">
        <f t="shared" si="13"/>
        <v>0</v>
      </c>
    </row>
    <row r="861" spans="1:20">
      <c r="A861" s="4">
        <v>44718</v>
      </c>
      <c r="B861">
        <v>2022</v>
      </c>
      <c r="C861">
        <v>6</v>
      </c>
      <c r="D861" s="5" t="s">
        <v>35</v>
      </c>
      <c r="E861" s="5" t="s">
        <v>36</v>
      </c>
      <c r="F861" s="5" t="s">
        <v>37</v>
      </c>
      <c r="G861" s="5" t="s">
        <v>38</v>
      </c>
      <c r="H861" s="5" t="s">
        <v>39</v>
      </c>
      <c r="I861" s="5" t="s">
        <v>40</v>
      </c>
      <c r="J861" s="5" t="s">
        <v>41</v>
      </c>
      <c r="K861">
        <v>5</v>
      </c>
      <c r="L861">
        <v>583977</v>
      </c>
      <c r="M861" s="26">
        <v>2919885</v>
      </c>
      <c r="N861">
        <v>21572</v>
      </c>
      <c r="O861" s="26">
        <v>361113.21</v>
      </c>
      <c r="P861" s="5" t="s">
        <v>50</v>
      </c>
      <c r="Q861" s="5" t="s">
        <v>43</v>
      </c>
      <c r="R861">
        <v>4.8</v>
      </c>
      <c r="S861">
        <v>19</v>
      </c>
      <c r="T861">
        <f t="shared" si="13"/>
        <v>0</v>
      </c>
    </row>
    <row r="862" spans="1:20">
      <c r="A862" s="4">
        <v>44719</v>
      </c>
      <c r="B862">
        <v>2022</v>
      </c>
      <c r="C862">
        <v>6</v>
      </c>
      <c r="D862" s="5" t="s">
        <v>35</v>
      </c>
      <c r="E862" s="5" t="s">
        <v>36</v>
      </c>
      <c r="F862" s="5" t="s">
        <v>37</v>
      </c>
      <c r="G862" s="5" t="s">
        <v>38</v>
      </c>
      <c r="H862" s="5" t="s">
        <v>85</v>
      </c>
      <c r="I862" s="5" t="s">
        <v>58</v>
      </c>
      <c r="J862" s="5" t="s">
        <v>49</v>
      </c>
      <c r="K862">
        <v>25</v>
      </c>
      <c r="L862">
        <v>992568</v>
      </c>
      <c r="M862" s="26">
        <v>24814200</v>
      </c>
      <c r="N862">
        <v>46563</v>
      </c>
      <c r="O862" s="26">
        <v>2351342.12</v>
      </c>
      <c r="P862" s="5" t="s">
        <v>50</v>
      </c>
      <c r="Q862" s="5" t="s">
        <v>51</v>
      </c>
      <c r="R862">
        <v>4.2</v>
      </c>
      <c r="S862">
        <v>9</v>
      </c>
      <c r="T862">
        <f t="shared" si="13"/>
        <v>0</v>
      </c>
    </row>
    <row r="863" spans="1:20">
      <c r="A863" s="4">
        <v>44725</v>
      </c>
      <c r="B863">
        <v>2022</v>
      </c>
      <c r="C863">
        <v>6</v>
      </c>
      <c r="D863" s="5" t="s">
        <v>35</v>
      </c>
      <c r="E863" s="5" t="s">
        <v>36</v>
      </c>
      <c r="F863" s="5" t="s">
        <v>37</v>
      </c>
      <c r="G863" s="5" t="s">
        <v>38</v>
      </c>
      <c r="H863" s="5" t="s">
        <v>85</v>
      </c>
      <c r="I863" s="5" t="s">
        <v>58</v>
      </c>
      <c r="J863" s="5" t="s">
        <v>49</v>
      </c>
      <c r="K863">
        <v>7</v>
      </c>
      <c r="L863">
        <v>983697</v>
      </c>
      <c r="M863" s="26">
        <v>6885879</v>
      </c>
      <c r="N863">
        <v>26929</v>
      </c>
      <c r="O863" s="26">
        <v>996537.57</v>
      </c>
      <c r="P863" s="5" t="s">
        <v>42</v>
      </c>
      <c r="Q863" s="5" t="s">
        <v>51</v>
      </c>
      <c r="R863">
        <v>3.9</v>
      </c>
      <c r="S863">
        <v>7</v>
      </c>
      <c r="T863">
        <f t="shared" si="13"/>
        <v>1</v>
      </c>
    </row>
    <row r="864" spans="1:20">
      <c r="A864" s="4">
        <v>44716</v>
      </c>
      <c r="B864">
        <v>2022</v>
      </c>
      <c r="C864">
        <v>6</v>
      </c>
      <c r="D864" s="5" t="s">
        <v>44</v>
      </c>
      <c r="E864" s="5" t="s">
        <v>45</v>
      </c>
      <c r="F864" s="5" t="s">
        <v>46</v>
      </c>
      <c r="G864" s="5" t="s">
        <v>47</v>
      </c>
      <c r="H864" s="5" t="s">
        <v>74</v>
      </c>
      <c r="I864" s="5" t="s">
        <v>40</v>
      </c>
      <c r="J864" s="5" t="s">
        <v>49</v>
      </c>
      <c r="K864">
        <v>10</v>
      </c>
      <c r="L864">
        <v>622382</v>
      </c>
      <c r="M864" s="26">
        <v>6223820</v>
      </c>
      <c r="N864">
        <v>23757</v>
      </c>
      <c r="O864" s="26">
        <v>745926.52</v>
      </c>
      <c r="P864" s="5" t="s">
        <v>42</v>
      </c>
      <c r="Q864" s="5" t="s">
        <v>51</v>
      </c>
      <c r="R864">
        <v>4.0999999999999996</v>
      </c>
      <c r="S864">
        <v>13</v>
      </c>
      <c r="T864">
        <f t="shared" si="13"/>
        <v>1</v>
      </c>
    </row>
    <row r="865" spans="1:20">
      <c r="A865" s="4">
        <v>44721</v>
      </c>
      <c r="B865">
        <v>2022</v>
      </c>
      <c r="C865">
        <v>6</v>
      </c>
      <c r="D865" s="5" t="s">
        <v>35</v>
      </c>
      <c r="E865" s="5" t="s">
        <v>76</v>
      </c>
      <c r="F865" s="5" t="s">
        <v>77</v>
      </c>
      <c r="G865" s="5" t="s">
        <v>78</v>
      </c>
      <c r="H865" s="5" t="s">
        <v>85</v>
      </c>
      <c r="I865" s="5" t="s">
        <v>58</v>
      </c>
      <c r="J865" s="5" t="s">
        <v>49</v>
      </c>
      <c r="K865">
        <v>21</v>
      </c>
      <c r="L865">
        <v>1009687</v>
      </c>
      <c r="M865" s="26">
        <v>21203427</v>
      </c>
      <c r="N865">
        <v>17450</v>
      </c>
      <c r="O865" s="26">
        <v>1971310.06</v>
      </c>
      <c r="P865" s="5" t="s">
        <v>42</v>
      </c>
      <c r="Q865" s="5" t="s">
        <v>43</v>
      </c>
      <c r="R865">
        <v>4.9000000000000004</v>
      </c>
      <c r="S865">
        <v>4</v>
      </c>
      <c r="T865">
        <f t="shared" si="13"/>
        <v>1</v>
      </c>
    </row>
    <row r="866" spans="1:20">
      <c r="A866" s="4">
        <v>44713</v>
      </c>
      <c r="B866">
        <v>2022</v>
      </c>
      <c r="C866">
        <v>6</v>
      </c>
      <c r="D866" s="5" t="s">
        <v>35</v>
      </c>
      <c r="E866" s="5" t="s">
        <v>76</v>
      </c>
      <c r="F866" s="5" t="s">
        <v>77</v>
      </c>
      <c r="G866" s="5" t="s">
        <v>78</v>
      </c>
      <c r="H866" s="5" t="s">
        <v>86</v>
      </c>
      <c r="I866" s="5" t="s">
        <v>40</v>
      </c>
      <c r="J866" s="5" t="s">
        <v>41</v>
      </c>
      <c r="K866">
        <v>30</v>
      </c>
      <c r="L866">
        <v>612314</v>
      </c>
      <c r="M866" s="26">
        <v>18369420</v>
      </c>
      <c r="N866">
        <v>35011</v>
      </c>
      <c r="O866" s="26">
        <v>1777812.57</v>
      </c>
      <c r="P866" s="5" t="s">
        <v>42</v>
      </c>
      <c r="Q866" s="5" t="s">
        <v>43</v>
      </c>
      <c r="R866">
        <v>4.0999999999999996</v>
      </c>
      <c r="S866">
        <v>13</v>
      </c>
      <c r="T866">
        <f t="shared" si="13"/>
        <v>1</v>
      </c>
    </row>
    <row r="867" spans="1:20">
      <c r="A867" s="4">
        <v>44721</v>
      </c>
      <c r="B867">
        <v>2022</v>
      </c>
      <c r="C867">
        <v>6</v>
      </c>
      <c r="D867" s="5" t="s">
        <v>54</v>
      </c>
      <c r="E867" s="5" t="s">
        <v>70</v>
      </c>
      <c r="F867" s="5" t="s">
        <v>71</v>
      </c>
      <c r="G867" s="5" t="s">
        <v>72</v>
      </c>
      <c r="H867" s="5" t="s">
        <v>48</v>
      </c>
      <c r="I867" s="5" t="s">
        <v>40</v>
      </c>
      <c r="J867" s="5" t="s">
        <v>49</v>
      </c>
      <c r="K867">
        <v>58</v>
      </c>
      <c r="L867">
        <v>459311</v>
      </c>
      <c r="M867" s="26">
        <v>26640038</v>
      </c>
      <c r="N867">
        <v>44456</v>
      </c>
      <c r="O867" s="26">
        <v>2148924.0099999998</v>
      </c>
      <c r="P867" s="5" t="s">
        <v>50</v>
      </c>
      <c r="Q867" s="5" t="s">
        <v>51</v>
      </c>
      <c r="R867">
        <v>4.8</v>
      </c>
      <c r="S867">
        <v>3</v>
      </c>
      <c r="T867">
        <f t="shared" si="13"/>
        <v>0</v>
      </c>
    </row>
    <row r="868" spans="1:20">
      <c r="A868" s="4">
        <v>44733</v>
      </c>
      <c r="B868">
        <v>2022</v>
      </c>
      <c r="C868">
        <v>6</v>
      </c>
      <c r="D868" s="5" t="s">
        <v>66</v>
      </c>
      <c r="E868" s="5" t="s">
        <v>67</v>
      </c>
      <c r="F868" s="5" t="s">
        <v>68</v>
      </c>
      <c r="G868" s="5" t="s">
        <v>69</v>
      </c>
      <c r="H868" s="5" t="s">
        <v>79</v>
      </c>
      <c r="I868" s="5" t="s">
        <v>58</v>
      </c>
      <c r="J868" s="5" t="s">
        <v>49</v>
      </c>
      <c r="K868">
        <v>28</v>
      </c>
      <c r="L868">
        <v>922229</v>
      </c>
      <c r="M868" s="26">
        <v>25822412</v>
      </c>
      <c r="N868">
        <v>31280</v>
      </c>
      <c r="O868" s="26">
        <v>2447660.16</v>
      </c>
      <c r="P868" s="5" t="s">
        <v>50</v>
      </c>
      <c r="Q868" s="5" t="s">
        <v>51</v>
      </c>
      <c r="R868">
        <v>3.6</v>
      </c>
      <c r="S868">
        <v>11</v>
      </c>
      <c r="T868">
        <f t="shared" si="13"/>
        <v>0</v>
      </c>
    </row>
    <row r="869" spans="1:20">
      <c r="A869" s="4">
        <v>44719</v>
      </c>
      <c r="B869">
        <v>2022</v>
      </c>
      <c r="C869">
        <v>6</v>
      </c>
      <c r="D869" s="5" t="s">
        <v>54</v>
      </c>
      <c r="E869" s="5" t="s">
        <v>55</v>
      </c>
      <c r="F869" s="5" t="s">
        <v>55</v>
      </c>
      <c r="G869" s="5" t="s">
        <v>56</v>
      </c>
      <c r="H869" s="5" t="s">
        <v>79</v>
      </c>
      <c r="I869" s="5" t="s">
        <v>58</v>
      </c>
      <c r="J869" s="5" t="s">
        <v>49</v>
      </c>
      <c r="K869">
        <v>7</v>
      </c>
      <c r="L869">
        <v>923894</v>
      </c>
      <c r="M869" s="26">
        <v>6467258</v>
      </c>
      <c r="N869">
        <v>35004</v>
      </c>
      <c r="O869" s="26">
        <v>520358.52</v>
      </c>
      <c r="P869" s="5" t="s">
        <v>42</v>
      </c>
      <c r="Q869" s="5" t="s">
        <v>43</v>
      </c>
      <c r="R869">
        <v>4.7</v>
      </c>
      <c r="S869">
        <v>21</v>
      </c>
      <c r="T869">
        <f t="shared" si="13"/>
        <v>1</v>
      </c>
    </row>
    <row r="870" spans="1:20">
      <c r="A870" s="4">
        <v>44732</v>
      </c>
      <c r="B870">
        <v>2022</v>
      </c>
      <c r="C870">
        <v>6</v>
      </c>
      <c r="D870" s="5" t="s">
        <v>35</v>
      </c>
      <c r="E870" s="5" t="s">
        <v>76</v>
      </c>
      <c r="F870" s="5" t="s">
        <v>77</v>
      </c>
      <c r="G870" s="5" t="s">
        <v>78</v>
      </c>
      <c r="H870" s="5" t="s">
        <v>85</v>
      </c>
      <c r="I870" s="5" t="s">
        <v>58</v>
      </c>
      <c r="J870" s="5" t="s">
        <v>49</v>
      </c>
      <c r="K870">
        <v>48</v>
      </c>
      <c r="L870">
        <v>992804</v>
      </c>
      <c r="M870" s="26">
        <v>47654592</v>
      </c>
      <c r="N870">
        <v>14118</v>
      </c>
      <c r="O870" s="26">
        <v>7442456.9199999999</v>
      </c>
      <c r="P870" s="5" t="s">
        <v>42</v>
      </c>
      <c r="Q870" s="5" t="s">
        <v>75</v>
      </c>
      <c r="R870">
        <v>4.4000000000000004</v>
      </c>
      <c r="S870">
        <v>12</v>
      </c>
      <c r="T870">
        <f t="shared" si="13"/>
        <v>1</v>
      </c>
    </row>
    <row r="871" spans="1:20">
      <c r="A871" s="4">
        <v>44726</v>
      </c>
      <c r="B871">
        <v>2022</v>
      </c>
      <c r="C871">
        <v>6</v>
      </c>
      <c r="D871" s="5" t="s">
        <v>54</v>
      </c>
      <c r="E871" s="5" t="s">
        <v>55</v>
      </c>
      <c r="F871" s="5" t="s">
        <v>55</v>
      </c>
      <c r="G871" s="5" t="s">
        <v>56</v>
      </c>
      <c r="H871" s="5" t="s">
        <v>79</v>
      </c>
      <c r="I871" s="5" t="s">
        <v>58</v>
      </c>
      <c r="J871" s="5" t="s">
        <v>49</v>
      </c>
      <c r="K871">
        <v>23</v>
      </c>
      <c r="L871">
        <v>871139</v>
      </c>
      <c r="M871" s="26">
        <v>20036197</v>
      </c>
      <c r="N871">
        <v>46396</v>
      </c>
      <c r="O871" s="26">
        <v>2352966.5699999998</v>
      </c>
      <c r="P871" s="5" t="s">
        <v>50</v>
      </c>
      <c r="Q871" s="5" t="s">
        <v>75</v>
      </c>
      <c r="R871">
        <v>4.8</v>
      </c>
      <c r="S871">
        <v>9</v>
      </c>
      <c r="T871">
        <f t="shared" si="13"/>
        <v>0</v>
      </c>
    </row>
    <row r="872" spans="1:20">
      <c r="A872" s="4">
        <v>44715</v>
      </c>
      <c r="B872">
        <v>2022</v>
      </c>
      <c r="C872">
        <v>6</v>
      </c>
      <c r="D872" s="5" t="s">
        <v>54</v>
      </c>
      <c r="E872" s="5" t="s">
        <v>55</v>
      </c>
      <c r="F872" s="5" t="s">
        <v>55</v>
      </c>
      <c r="G872" s="5" t="s">
        <v>56</v>
      </c>
      <c r="H872" s="5" t="s">
        <v>79</v>
      </c>
      <c r="I872" s="5" t="s">
        <v>58</v>
      </c>
      <c r="J872" s="5" t="s">
        <v>49</v>
      </c>
      <c r="K872">
        <v>58</v>
      </c>
      <c r="L872">
        <v>909800</v>
      </c>
      <c r="M872" s="26">
        <v>52768400</v>
      </c>
      <c r="N872">
        <v>34153</v>
      </c>
      <c r="O872" s="26">
        <v>4870095.76</v>
      </c>
      <c r="P872" s="5" t="s">
        <v>50</v>
      </c>
      <c r="Q872" s="5" t="s">
        <v>75</v>
      </c>
      <c r="R872">
        <v>4.5999999999999996</v>
      </c>
      <c r="S872">
        <v>15</v>
      </c>
      <c r="T872">
        <f t="shared" si="13"/>
        <v>0</v>
      </c>
    </row>
    <row r="873" spans="1:20">
      <c r="A873" s="4">
        <v>44717</v>
      </c>
      <c r="B873">
        <v>2022</v>
      </c>
      <c r="C873">
        <v>6</v>
      </c>
      <c r="D873" s="5" t="s">
        <v>54</v>
      </c>
      <c r="E873" s="5" t="s">
        <v>70</v>
      </c>
      <c r="F873" s="5" t="s">
        <v>71</v>
      </c>
      <c r="G873" s="5" t="s">
        <v>72</v>
      </c>
      <c r="H873" s="5" t="s">
        <v>52</v>
      </c>
      <c r="I873" s="5" t="s">
        <v>53</v>
      </c>
      <c r="J873" s="5" t="s">
        <v>41</v>
      </c>
      <c r="K873">
        <v>9</v>
      </c>
      <c r="L873">
        <v>967279</v>
      </c>
      <c r="M873" s="26">
        <v>8705511</v>
      </c>
      <c r="N873">
        <v>19435</v>
      </c>
      <c r="O873" s="26">
        <v>833309.42</v>
      </c>
      <c r="P873" s="5" t="s">
        <v>42</v>
      </c>
      <c r="Q873" s="5" t="s">
        <v>43</v>
      </c>
      <c r="R873">
        <v>4.5999999999999996</v>
      </c>
      <c r="S873">
        <v>12</v>
      </c>
      <c r="T873">
        <f t="shared" si="13"/>
        <v>1</v>
      </c>
    </row>
    <row r="874" spans="1:20">
      <c r="A874" s="4">
        <v>44727</v>
      </c>
      <c r="B874">
        <v>2022</v>
      </c>
      <c r="C874">
        <v>6</v>
      </c>
      <c r="D874" s="5" t="s">
        <v>66</v>
      </c>
      <c r="E874" s="5" t="s">
        <v>67</v>
      </c>
      <c r="F874" s="5" t="s">
        <v>68</v>
      </c>
      <c r="G874" s="5" t="s">
        <v>69</v>
      </c>
      <c r="H874" s="5" t="s">
        <v>63</v>
      </c>
      <c r="I874" s="5" t="s">
        <v>64</v>
      </c>
      <c r="J874" s="5" t="s">
        <v>41</v>
      </c>
      <c r="K874">
        <v>31</v>
      </c>
      <c r="L874">
        <v>753295</v>
      </c>
      <c r="M874" s="26">
        <v>23352145</v>
      </c>
      <c r="N874">
        <v>48283</v>
      </c>
      <c r="O874" s="26">
        <v>2293955.94</v>
      </c>
      <c r="P874" s="5" t="s">
        <v>50</v>
      </c>
      <c r="Q874" s="5" t="s">
        <v>51</v>
      </c>
      <c r="R874">
        <v>3.9</v>
      </c>
      <c r="S874">
        <v>2</v>
      </c>
      <c r="T874">
        <f t="shared" si="13"/>
        <v>0</v>
      </c>
    </row>
    <row r="875" spans="1:20">
      <c r="A875" s="4">
        <v>44735</v>
      </c>
      <c r="B875">
        <v>2022</v>
      </c>
      <c r="C875">
        <v>6</v>
      </c>
      <c r="D875" s="5" t="s">
        <v>54</v>
      </c>
      <c r="E875" s="5" t="s">
        <v>70</v>
      </c>
      <c r="F875" s="5" t="s">
        <v>71</v>
      </c>
      <c r="G875" s="5" t="s">
        <v>72</v>
      </c>
      <c r="H875" s="5" t="s">
        <v>85</v>
      </c>
      <c r="I875" s="5" t="s">
        <v>58</v>
      </c>
      <c r="J875" s="5" t="s">
        <v>49</v>
      </c>
      <c r="K875">
        <v>27</v>
      </c>
      <c r="L875">
        <v>987622</v>
      </c>
      <c r="M875" s="26">
        <v>26665794</v>
      </c>
      <c r="N875">
        <v>49322</v>
      </c>
      <c r="O875" s="26">
        <v>2782229.82</v>
      </c>
      <c r="P875" s="5" t="s">
        <v>50</v>
      </c>
      <c r="Q875" s="5" t="s">
        <v>51</v>
      </c>
      <c r="R875">
        <v>5</v>
      </c>
      <c r="S875">
        <v>12</v>
      </c>
      <c r="T875">
        <f t="shared" si="13"/>
        <v>0</v>
      </c>
    </row>
    <row r="876" spans="1:20">
      <c r="A876" s="4">
        <v>44736</v>
      </c>
      <c r="B876">
        <v>2022</v>
      </c>
      <c r="C876">
        <v>6</v>
      </c>
      <c r="D876" s="5" t="s">
        <v>44</v>
      </c>
      <c r="E876" s="5" t="s">
        <v>82</v>
      </c>
      <c r="F876" s="5" t="s">
        <v>83</v>
      </c>
      <c r="G876" s="5" t="s">
        <v>84</v>
      </c>
      <c r="H876" s="5" t="s">
        <v>79</v>
      </c>
      <c r="I876" s="5" t="s">
        <v>58</v>
      </c>
      <c r="J876" s="5" t="s">
        <v>49</v>
      </c>
      <c r="K876">
        <v>10</v>
      </c>
      <c r="L876">
        <v>894707</v>
      </c>
      <c r="M876" s="26">
        <v>8947070</v>
      </c>
      <c r="N876">
        <v>17491</v>
      </c>
      <c r="O876" s="26">
        <v>1243212.28</v>
      </c>
      <c r="P876" s="5" t="s">
        <v>50</v>
      </c>
      <c r="Q876" s="5" t="s">
        <v>75</v>
      </c>
      <c r="R876">
        <v>4</v>
      </c>
      <c r="S876">
        <v>16</v>
      </c>
      <c r="T876">
        <f t="shared" si="13"/>
        <v>0</v>
      </c>
    </row>
    <row r="877" spans="1:20">
      <c r="A877" s="4">
        <v>44722</v>
      </c>
      <c r="B877">
        <v>2022</v>
      </c>
      <c r="C877">
        <v>6</v>
      </c>
      <c r="D877" s="5" t="s">
        <v>54</v>
      </c>
      <c r="E877" s="5" t="s">
        <v>55</v>
      </c>
      <c r="F877" s="5" t="s">
        <v>55</v>
      </c>
      <c r="G877" s="5" t="s">
        <v>56</v>
      </c>
      <c r="H877" s="5" t="s">
        <v>74</v>
      </c>
      <c r="I877" s="5" t="s">
        <v>40</v>
      </c>
      <c r="J877" s="5" t="s">
        <v>49</v>
      </c>
      <c r="K877">
        <v>24</v>
      </c>
      <c r="L877">
        <v>628277</v>
      </c>
      <c r="M877" s="26">
        <v>15078648</v>
      </c>
      <c r="N877">
        <v>38470</v>
      </c>
      <c r="O877" s="26">
        <v>1675892.7</v>
      </c>
      <c r="P877" s="5" t="s">
        <v>50</v>
      </c>
      <c r="Q877" s="5" t="s">
        <v>43</v>
      </c>
      <c r="R877">
        <v>4</v>
      </c>
      <c r="S877">
        <v>14</v>
      </c>
      <c r="T877">
        <f t="shared" si="13"/>
        <v>0</v>
      </c>
    </row>
    <row r="878" spans="1:20">
      <c r="A878" s="4">
        <v>44720</v>
      </c>
      <c r="B878">
        <v>2022</v>
      </c>
      <c r="C878">
        <v>6</v>
      </c>
      <c r="D878" s="5" t="s">
        <v>35</v>
      </c>
      <c r="E878" s="5" t="s">
        <v>60</v>
      </c>
      <c r="F878" s="5" t="s">
        <v>61</v>
      </c>
      <c r="G878" s="5" t="s">
        <v>62</v>
      </c>
      <c r="H878" s="5" t="s">
        <v>80</v>
      </c>
      <c r="I878" s="5" t="s">
        <v>81</v>
      </c>
      <c r="J878" s="5" t="s">
        <v>41</v>
      </c>
      <c r="K878">
        <v>47</v>
      </c>
      <c r="L878">
        <v>556987</v>
      </c>
      <c r="M878" s="26">
        <v>26178389</v>
      </c>
      <c r="N878">
        <v>14571</v>
      </c>
      <c r="O878" s="26">
        <v>3804082.56</v>
      </c>
      <c r="P878" s="5" t="s">
        <v>50</v>
      </c>
      <c r="Q878" s="5" t="s">
        <v>43</v>
      </c>
      <c r="R878">
        <v>4.5999999999999996</v>
      </c>
      <c r="S878">
        <v>13</v>
      </c>
      <c r="T878">
        <f t="shared" si="13"/>
        <v>0</v>
      </c>
    </row>
    <row r="879" spans="1:20">
      <c r="A879" s="4">
        <v>44713</v>
      </c>
      <c r="B879">
        <v>2022</v>
      </c>
      <c r="C879">
        <v>6</v>
      </c>
      <c r="D879" s="5" t="s">
        <v>54</v>
      </c>
      <c r="E879" s="5" t="s">
        <v>55</v>
      </c>
      <c r="F879" s="5" t="s">
        <v>55</v>
      </c>
      <c r="G879" s="5" t="s">
        <v>56</v>
      </c>
      <c r="H879" s="5" t="s">
        <v>63</v>
      </c>
      <c r="I879" s="5" t="s">
        <v>64</v>
      </c>
      <c r="J879" s="5" t="s">
        <v>41</v>
      </c>
      <c r="K879">
        <v>34</v>
      </c>
      <c r="L879">
        <v>763136</v>
      </c>
      <c r="M879" s="26">
        <v>25946624</v>
      </c>
      <c r="N879">
        <v>27558</v>
      </c>
      <c r="O879" s="26">
        <v>3415005</v>
      </c>
      <c r="P879" s="5" t="s">
        <v>50</v>
      </c>
      <c r="Q879" s="5" t="s">
        <v>43</v>
      </c>
      <c r="R879">
        <v>4.2</v>
      </c>
      <c r="S879">
        <v>2</v>
      </c>
      <c r="T879">
        <f t="shared" si="13"/>
        <v>0</v>
      </c>
    </row>
    <row r="880" spans="1:20">
      <c r="A880" s="4">
        <v>44739</v>
      </c>
      <c r="B880">
        <v>2022</v>
      </c>
      <c r="C880">
        <v>6</v>
      </c>
      <c r="D880" s="5" t="s">
        <v>54</v>
      </c>
      <c r="E880" s="5" t="s">
        <v>55</v>
      </c>
      <c r="F880" s="5" t="s">
        <v>55</v>
      </c>
      <c r="G880" s="5" t="s">
        <v>56</v>
      </c>
      <c r="H880" s="5" t="s">
        <v>79</v>
      </c>
      <c r="I880" s="5" t="s">
        <v>58</v>
      </c>
      <c r="J880" s="5" t="s">
        <v>49</v>
      </c>
      <c r="K880">
        <v>46</v>
      </c>
      <c r="L880">
        <v>915383</v>
      </c>
      <c r="M880" s="26">
        <v>42107618</v>
      </c>
      <c r="N880">
        <v>33551</v>
      </c>
      <c r="O880" s="26">
        <v>5843304.5300000003</v>
      </c>
      <c r="P880" s="5" t="s">
        <v>50</v>
      </c>
      <c r="Q880" s="5" t="s">
        <v>75</v>
      </c>
      <c r="R880">
        <v>4.8</v>
      </c>
      <c r="S880">
        <v>15</v>
      </c>
      <c r="T880">
        <f t="shared" si="13"/>
        <v>0</v>
      </c>
    </row>
    <row r="881" spans="1:20">
      <c r="A881" s="4">
        <v>44718</v>
      </c>
      <c r="B881">
        <v>2022</v>
      </c>
      <c r="C881">
        <v>6</v>
      </c>
      <c r="D881" s="5" t="s">
        <v>54</v>
      </c>
      <c r="E881" s="5" t="s">
        <v>70</v>
      </c>
      <c r="F881" s="5" t="s">
        <v>71</v>
      </c>
      <c r="G881" s="5" t="s">
        <v>72</v>
      </c>
      <c r="H881" s="5" t="s">
        <v>79</v>
      </c>
      <c r="I881" s="5" t="s">
        <v>58</v>
      </c>
      <c r="J881" s="5" t="s">
        <v>49</v>
      </c>
      <c r="K881">
        <v>33</v>
      </c>
      <c r="L881">
        <v>895185</v>
      </c>
      <c r="M881" s="26">
        <v>29541105</v>
      </c>
      <c r="N881">
        <v>32851</v>
      </c>
      <c r="O881" s="26">
        <v>2512029.89</v>
      </c>
      <c r="P881" s="5" t="s">
        <v>50</v>
      </c>
      <c r="Q881" s="5" t="s">
        <v>75</v>
      </c>
      <c r="R881">
        <v>3.6</v>
      </c>
      <c r="S881">
        <v>15</v>
      </c>
      <c r="T881">
        <f t="shared" si="13"/>
        <v>0</v>
      </c>
    </row>
    <row r="882" spans="1:20">
      <c r="A882" s="4">
        <v>44732</v>
      </c>
      <c r="B882">
        <v>2022</v>
      </c>
      <c r="C882">
        <v>6</v>
      </c>
      <c r="D882" s="5" t="s">
        <v>54</v>
      </c>
      <c r="E882" s="5" t="s">
        <v>70</v>
      </c>
      <c r="F882" s="5" t="s">
        <v>71</v>
      </c>
      <c r="G882" s="5" t="s">
        <v>72</v>
      </c>
      <c r="H882" s="5" t="s">
        <v>85</v>
      </c>
      <c r="I882" s="5" t="s">
        <v>58</v>
      </c>
      <c r="J882" s="5" t="s">
        <v>49</v>
      </c>
      <c r="K882">
        <v>16</v>
      </c>
      <c r="L882">
        <v>975241</v>
      </c>
      <c r="M882" s="26">
        <v>15603856</v>
      </c>
      <c r="N882">
        <v>43254</v>
      </c>
      <c r="O882" s="26">
        <v>1692017.05</v>
      </c>
      <c r="P882" s="5" t="s">
        <v>42</v>
      </c>
      <c r="Q882" s="5" t="s">
        <v>75</v>
      </c>
      <c r="R882">
        <v>4.3</v>
      </c>
      <c r="S882">
        <v>7</v>
      </c>
      <c r="T882">
        <f t="shared" si="13"/>
        <v>1</v>
      </c>
    </row>
    <row r="883" spans="1:20">
      <c r="A883" s="4">
        <v>44740</v>
      </c>
      <c r="B883">
        <v>2022</v>
      </c>
      <c r="C883">
        <v>6</v>
      </c>
      <c r="D883" s="5" t="s">
        <v>35</v>
      </c>
      <c r="E883" s="5" t="s">
        <v>76</v>
      </c>
      <c r="F883" s="5" t="s">
        <v>77</v>
      </c>
      <c r="G883" s="5" t="s">
        <v>78</v>
      </c>
      <c r="H883" s="5" t="s">
        <v>63</v>
      </c>
      <c r="I883" s="5" t="s">
        <v>64</v>
      </c>
      <c r="J883" s="5" t="s">
        <v>41</v>
      </c>
      <c r="K883">
        <v>40</v>
      </c>
      <c r="L883">
        <v>746211</v>
      </c>
      <c r="M883" s="26">
        <v>29848440</v>
      </c>
      <c r="N883">
        <v>47568</v>
      </c>
      <c r="O883" s="26">
        <v>4291961.8600000003</v>
      </c>
      <c r="P883" s="5" t="s">
        <v>50</v>
      </c>
      <c r="Q883" s="5" t="s">
        <v>75</v>
      </c>
      <c r="R883">
        <v>3.8</v>
      </c>
      <c r="S883">
        <v>15</v>
      </c>
      <c r="T883">
        <f t="shared" si="13"/>
        <v>0</v>
      </c>
    </row>
    <row r="884" spans="1:20">
      <c r="A884" s="4">
        <v>44715</v>
      </c>
      <c r="B884">
        <v>2022</v>
      </c>
      <c r="C884">
        <v>6</v>
      </c>
      <c r="D884" s="5" t="s">
        <v>35</v>
      </c>
      <c r="E884" s="5" t="s">
        <v>60</v>
      </c>
      <c r="F884" s="5" t="s">
        <v>61</v>
      </c>
      <c r="G884" s="5" t="s">
        <v>62</v>
      </c>
      <c r="H884" s="5" t="s">
        <v>74</v>
      </c>
      <c r="I884" s="5" t="s">
        <v>40</v>
      </c>
      <c r="J884" s="5" t="s">
        <v>49</v>
      </c>
      <c r="K884">
        <v>25</v>
      </c>
      <c r="L884">
        <v>634422</v>
      </c>
      <c r="M884" s="26">
        <v>15860550</v>
      </c>
      <c r="N884">
        <v>9918</v>
      </c>
      <c r="O884" s="26">
        <v>1813996.53</v>
      </c>
      <c r="P884" s="5" t="s">
        <v>42</v>
      </c>
      <c r="Q884" s="5" t="s">
        <v>75</v>
      </c>
      <c r="R884">
        <v>4.7</v>
      </c>
      <c r="S884">
        <v>17</v>
      </c>
      <c r="T884">
        <f t="shared" si="13"/>
        <v>1</v>
      </c>
    </row>
    <row r="885" spans="1:20">
      <c r="A885" s="4">
        <v>44719</v>
      </c>
      <c r="B885">
        <v>2022</v>
      </c>
      <c r="C885">
        <v>6</v>
      </c>
      <c r="D885" s="5" t="s">
        <v>35</v>
      </c>
      <c r="E885" s="5" t="s">
        <v>76</v>
      </c>
      <c r="F885" s="5" t="s">
        <v>77</v>
      </c>
      <c r="G885" s="5" t="s">
        <v>78</v>
      </c>
      <c r="H885" s="5" t="s">
        <v>52</v>
      </c>
      <c r="I885" s="5" t="s">
        <v>53</v>
      </c>
      <c r="J885" s="5" t="s">
        <v>41</v>
      </c>
      <c r="K885">
        <v>52</v>
      </c>
      <c r="L885">
        <v>973998</v>
      </c>
      <c r="M885" s="26">
        <v>50647896</v>
      </c>
      <c r="N885">
        <v>43778</v>
      </c>
      <c r="O885" s="26">
        <v>6372485.1399999997</v>
      </c>
      <c r="P885" s="5" t="s">
        <v>42</v>
      </c>
      <c r="Q885" s="5" t="s">
        <v>75</v>
      </c>
      <c r="R885">
        <v>5</v>
      </c>
      <c r="S885">
        <v>5</v>
      </c>
      <c r="T885">
        <f t="shared" si="13"/>
        <v>1</v>
      </c>
    </row>
    <row r="886" spans="1:20">
      <c r="A886" s="4">
        <v>44736</v>
      </c>
      <c r="B886">
        <v>2022</v>
      </c>
      <c r="C886">
        <v>6</v>
      </c>
      <c r="D886" s="5" t="s">
        <v>54</v>
      </c>
      <c r="E886" s="5" t="s">
        <v>55</v>
      </c>
      <c r="F886" s="5" t="s">
        <v>55</v>
      </c>
      <c r="G886" s="5" t="s">
        <v>56</v>
      </c>
      <c r="H886" s="5" t="s">
        <v>73</v>
      </c>
      <c r="I886" s="5" t="s">
        <v>40</v>
      </c>
      <c r="J886" s="5" t="s">
        <v>49</v>
      </c>
      <c r="K886">
        <v>21</v>
      </c>
      <c r="L886">
        <v>724978</v>
      </c>
      <c r="M886" s="26">
        <v>15224538</v>
      </c>
      <c r="N886">
        <v>25000</v>
      </c>
      <c r="O886" s="26">
        <v>2173707.1800000002</v>
      </c>
      <c r="P886" s="5" t="s">
        <v>42</v>
      </c>
      <c r="Q886" s="5" t="s">
        <v>75</v>
      </c>
      <c r="R886">
        <v>4.9000000000000004</v>
      </c>
      <c r="S886">
        <v>9</v>
      </c>
      <c r="T886">
        <f t="shared" si="13"/>
        <v>1</v>
      </c>
    </row>
    <row r="887" spans="1:20">
      <c r="A887" s="4">
        <v>44727</v>
      </c>
      <c r="B887">
        <v>2022</v>
      </c>
      <c r="C887">
        <v>6</v>
      </c>
      <c r="D887" s="5" t="s">
        <v>54</v>
      </c>
      <c r="E887" s="5" t="s">
        <v>55</v>
      </c>
      <c r="F887" s="5" t="s">
        <v>55</v>
      </c>
      <c r="G887" s="5" t="s">
        <v>56</v>
      </c>
      <c r="H887" s="5" t="s">
        <v>79</v>
      </c>
      <c r="I887" s="5" t="s">
        <v>58</v>
      </c>
      <c r="J887" s="5" t="s">
        <v>49</v>
      </c>
      <c r="K887">
        <v>54</v>
      </c>
      <c r="L887">
        <v>874850</v>
      </c>
      <c r="M887" s="26">
        <v>47241900</v>
      </c>
      <c r="N887">
        <v>27272</v>
      </c>
      <c r="O887" s="26">
        <v>5538345.0300000003</v>
      </c>
      <c r="P887" s="5" t="s">
        <v>50</v>
      </c>
      <c r="Q887" s="5" t="s">
        <v>43</v>
      </c>
      <c r="R887">
        <v>3.9</v>
      </c>
      <c r="S887">
        <v>21</v>
      </c>
      <c r="T887">
        <f t="shared" si="13"/>
        <v>0</v>
      </c>
    </row>
    <row r="888" spans="1:20">
      <c r="A888" s="4">
        <v>44724</v>
      </c>
      <c r="B888">
        <v>2022</v>
      </c>
      <c r="C888">
        <v>6</v>
      </c>
      <c r="D888" s="5" t="s">
        <v>44</v>
      </c>
      <c r="E888" s="5" t="s">
        <v>45</v>
      </c>
      <c r="F888" s="5" t="s">
        <v>46</v>
      </c>
      <c r="G888" s="5" t="s">
        <v>47</v>
      </c>
      <c r="H888" s="5" t="s">
        <v>39</v>
      </c>
      <c r="I888" s="5" t="s">
        <v>40</v>
      </c>
      <c r="J888" s="5" t="s">
        <v>41</v>
      </c>
      <c r="K888">
        <v>30</v>
      </c>
      <c r="L888">
        <v>593367</v>
      </c>
      <c r="M888" s="26">
        <v>17801010</v>
      </c>
      <c r="N888">
        <v>30992</v>
      </c>
      <c r="O888" s="26">
        <v>1566445.04</v>
      </c>
      <c r="P888" s="5" t="s">
        <v>42</v>
      </c>
      <c r="Q888" s="5" t="s">
        <v>43</v>
      </c>
      <c r="R888">
        <v>4.0999999999999996</v>
      </c>
      <c r="S888">
        <v>17</v>
      </c>
      <c r="T888">
        <f t="shared" si="13"/>
        <v>1</v>
      </c>
    </row>
    <row r="889" spans="1:20">
      <c r="A889" s="4">
        <v>44716</v>
      </c>
      <c r="B889">
        <v>2022</v>
      </c>
      <c r="C889">
        <v>6</v>
      </c>
      <c r="D889" s="5" t="s">
        <v>35</v>
      </c>
      <c r="E889" s="5" t="s">
        <v>76</v>
      </c>
      <c r="F889" s="5" t="s">
        <v>77</v>
      </c>
      <c r="G889" s="5" t="s">
        <v>78</v>
      </c>
      <c r="H889" s="5" t="s">
        <v>80</v>
      </c>
      <c r="I889" s="5" t="s">
        <v>81</v>
      </c>
      <c r="J889" s="5" t="s">
        <v>41</v>
      </c>
      <c r="K889">
        <v>18</v>
      </c>
      <c r="L889">
        <v>573926</v>
      </c>
      <c r="M889" s="26">
        <v>10330668</v>
      </c>
      <c r="N889">
        <v>14240</v>
      </c>
      <c r="O889" s="26">
        <v>1493216.99</v>
      </c>
      <c r="P889" s="5" t="s">
        <v>50</v>
      </c>
      <c r="Q889" s="5" t="s">
        <v>51</v>
      </c>
      <c r="R889">
        <v>5</v>
      </c>
      <c r="S889">
        <v>7</v>
      </c>
      <c r="T889">
        <f t="shared" si="13"/>
        <v>0</v>
      </c>
    </row>
    <row r="890" spans="1:20">
      <c r="A890" s="4">
        <v>44719</v>
      </c>
      <c r="B890">
        <v>2022</v>
      </c>
      <c r="C890">
        <v>6</v>
      </c>
      <c r="D890" s="5" t="s">
        <v>35</v>
      </c>
      <c r="E890" s="5" t="s">
        <v>60</v>
      </c>
      <c r="F890" s="5" t="s">
        <v>61</v>
      </c>
      <c r="G890" s="5" t="s">
        <v>62</v>
      </c>
      <c r="H890" s="5" t="s">
        <v>52</v>
      </c>
      <c r="I890" s="5" t="s">
        <v>53</v>
      </c>
      <c r="J890" s="5" t="s">
        <v>41</v>
      </c>
      <c r="K890">
        <v>21</v>
      </c>
      <c r="L890">
        <v>977582</v>
      </c>
      <c r="M890" s="26">
        <v>20529222</v>
      </c>
      <c r="N890">
        <v>25375</v>
      </c>
      <c r="O890" s="26">
        <v>1789202.73</v>
      </c>
      <c r="P890" s="5" t="s">
        <v>50</v>
      </c>
      <c r="Q890" s="5" t="s">
        <v>51</v>
      </c>
      <c r="R890">
        <v>3.9</v>
      </c>
      <c r="S890">
        <v>9</v>
      </c>
      <c r="T890">
        <f t="shared" si="13"/>
        <v>0</v>
      </c>
    </row>
    <row r="891" spans="1:20">
      <c r="A891" s="4">
        <v>44740</v>
      </c>
      <c r="B891">
        <v>2022</v>
      </c>
      <c r="C891">
        <v>6</v>
      </c>
      <c r="D891" s="5" t="s">
        <v>44</v>
      </c>
      <c r="E891" s="5" t="s">
        <v>45</v>
      </c>
      <c r="F891" s="5" t="s">
        <v>46</v>
      </c>
      <c r="G891" s="5" t="s">
        <v>47</v>
      </c>
      <c r="H891" s="5" t="s">
        <v>39</v>
      </c>
      <c r="I891" s="5" t="s">
        <v>40</v>
      </c>
      <c r="J891" s="5" t="s">
        <v>41</v>
      </c>
      <c r="K891">
        <v>54</v>
      </c>
      <c r="L891">
        <v>569598</v>
      </c>
      <c r="M891" s="26">
        <v>30758292</v>
      </c>
      <c r="N891">
        <v>39272</v>
      </c>
      <c r="O891" s="26">
        <v>3485180.34</v>
      </c>
      <c r="P891" s="5" t="s">
        <v>42</v>
      </c>
      <c r="Q891" s="5" t="s">
        <v>75</v>
      </c>
      <c r="R891">
        <v>4.3</v>
      </c>
      <c r="S891">
        <v>18</v>
      </c>
      <c r="T891">
        <f t="shared" si="13"/>
        <v>1</v>
      </c>
    </row>
    <row r="892" spans="1:20">
      <c r="A892" s="4">
        <v>44723</v>
      </c>
      <c r="B892">
        <v>2022</v>
      </c>
      <c r="C892">
        <v>6</v>
      </c>
      <c r="D892" s="5" t="s">
        <v>35</v>
      </c>
      <c r="E892" s="5" t="s">
        <v>76</v>
      </c>
      <c r="F892" s="5" t="s">
        <v>77</v>
      </c>
      <c r="G892" s="5" t="s">
        <v>78</v>
      </c>
      <c r="H892" s="5" t="s">
        <v>80</v>
      </c>
      <c r="I892" s="5" t="s">
        <v>81</v>
      </c>
      <c r="J892" s="5" t="s">
        <v>41</v>
      </c>
      <c r="K892">
        <v>25</v>
      </c>
      <c r="L892">
        <v>533598</v>
      </c>
      <c r="M892" s="26">
        <v>13339950</v>
      </c>
      <c r="N892">
        <v>41302</v>
      </c>
      <c r="O892" s="26">
        <v>1994731.6</v>
      </c>
      <c r="P892" s="5" t="s">
        <v>50</v>
      </c>
      <c r="Q892" s="5" t="s">
        <v>51</v>
      </c>
      <c r="R892">
        <v>3.7</v>
      </c>
      <c r="S892">
        <v>11</v>
      </c>
      <c r="T892">
        <f t="shared" si="13"/>
        <v>0</v>
      </c>
    </row>
    <row r="893" spans="1:20">
      <c r="A893" s="4">
        <v>44740</v>
      </c>
      <c r="B893">
        <v>2022</v>
      </c>
      <c r="C893">
        <v>6</v>
      </c>
      <c r="D893" s="5" t="s">
        <v>54</v>
      </c>
      <c r="E893" s="5" t="s">
        <v>55</v>
      </c>
      <c r="F893" s="5" t="s">
        <v>55</v>
      </c>
      <c r="G893" s="5" t="s">
        <v>56</v>
      </c>
      <c r="H893" s="5" t="s">
        <v>74</v>
      </c>
      <c r="I893" s="5" t="s">
        <v>40</v>
      </c>
      <c r="J893" s="5" t="s">
        <v>49</v>
      </c>
      <c r="K893">
        <v>50</v>
      </c>
      <c r="L893">
        <v>674524</v>
      </c>
      <c r="M893" s="26">
        <v>33726200</v>
      </c>
      <c r="N893">
        <v>7251</v>
      </c>
      <c r="O893" s="26">
        <v>3795571.28</v>
      </c>
      <c r="P893" s="5" t="s">
        <v>42</v>
      </c>
      <c r="Q893" s="5" t="s">
        <v>75</v>
      </c>
      <c r="R893">
        <v>4.3</v>
      </c>
      <c r="S893">
        <v>20</v>
      </c>
      <c r="T893">
        <f t="shared" si="13"/>
        <v>1</v>
      </c>
    </row>
    <row r="894" spans="1:20">
      <c r="A894" s="4">
        <v>44734</v>
      </c>
      <c r="B894">
        <v>2022</v>
      </c>
      <c r="C894">
        <v>6</v>
      </c>
      <c r="D894" s="5" t="s">
        <v>35</v>
      </c>
      <c r="E894" s="5" t="s">
        <v>60</v>
      </c>
      <c r="F894" s="5" t="s">
        <v>61</v>
      </c>
      <c r="G894" s="5" t="s">
        <v>62</v>
      </c>
      <c r="H894" s="5" t="s">
        <v>80</v>
      </c>
      <c r="I894" s="5" t="s">
        <v>81</v>
      </c>
      <c r="J894" s="5" t="s">
        <v>41</v>
      </c>
      <c r="K894">
        <v>37</v>
      </c>
      <c r="L894">
        <v>539395</v>
      </c>
      <c r="M894" s="26">
        <v>19957615</v>
      </c>
      <c r="N894">
        <v>40643</v>
      </c>
      <c r="O894" s="26">
        <v>2234267.2599999998</v>
      </c>
      <c r="P894" s="5" t="s">
        <v>42</v>
      </c>
      <c r="Q894" s="5" t="s">
        <v>43</v>
      </c>
      <c r="R894">
        <v>4.2</v>
      </c>
      <c r="S894">
        <v>2</v>
      </c>
      <c r="T894">
        <f t="shared" si="13"/>
        <v>1</v>
      </c>
    </row>
    <row r="895" spans="1:20">
      <c r="A895" s="4">
        <v>44733</v>
      </c>
      <c r="B895">
        <v>2022</v>
      </c>
      <c r="C895">
        <v>6</v>
      </c>
      <c r="D895" s="5" t="s">
        <v>35</v>
      </c>
      <c r="E895" s="5" t="s">
        <v>36</v>
      </c>
      <c r="F895" s="5" t="s">
        <v>37</v>
      </c>
      <c r="G895" s="5" t="s">
        <v>38</v>
      </c>
      <c r="H895" s="5" t="s">
        <v>52</v>
      </c>
      <c r="I895" s="5" t="s">
        <v>53</v>
      </c>
      <c r="J895" s="5" t="s">
        <v>41</v>
      </c>
      <c r="K895">
        <v>9</v>
      </c>
      <c r="L895">
        <v>962991</v>
      </c>
      <c r="M895" s="26">
        <v>8666919</v>
      </c>
      <c r="N895">
        <v>28588</v>
      </c>
      <c r="O895" s="26">
        <v>731266.04</v>
      </c>
      <c r="P895" s="5" t="s">
        <v>42</v>
      </c>
      <c r="Q895" s="5" t="s">
        <v>43</v>
      </c>
      <c r="R895">
        <v>4.8</v>
      </c>
      <c r="S895">
        <v>6</v>
      </c>
      <c r="T895">
        <f t="shared" si="13"/>
        <v>1</v>
      </c>
    </row>
    <row r="896" spans="1:20">
      <c r="A896" s="4">
        <v>44719</v>
      </c>
      <c r="B896">
        <v>2022</v>
      </c>
      <c r="C896">
        <v>6</v>
      </c>
      <c r="D896" s="5" t="s">
        <v>66</v>
      </c>
      <c r="E896" s="5" t="s">
        <v>67</v>
      </c>
      <c r="F896" s="5" t="s">
        <v>68</v>
      </c>
      <c r="G896" s="5" t="s">
        <v>69</v>
      </c>
      <c r="H896" s="5" t="s">
        <v>85</v>
      </c>
      <c r="I896" s="5" t="s">
        <v>58</v>
      </c>
      <c r="J896" s="5" t="s">
        <v>49</v>
      </c>
      <c r="K896">
        <v>60</v>
      </c>
      <c r="L896">
        <v>968571</v>
      </c>
      <c r="M896" s="26">
        <v>58114260</v>
      </c>
      <c r="N896">
        <v>27326</v>
      </c>
      <c r="O896" s="26">
        <v>4671724.92</v>
      </c>
      <c r="P896" s="5" t="s">
        <v>42</v>
      </c>
      <c r="Q896" s="5" t="s">
        <v>43</v>
      </c>
      <c r="R896">
        <v>4.9000000000000004</v>
      </c>
      <c r="S896">
        <v>17</v>
      </c>
      <c r="T896">
        <f t="shared" si="13"/>
        <v>1</v>
      </c>
    </row>
    <row r="897" spans="1:20">
      <c r="A897" s="4">
        <v>44713</v>
      </c>
      <c r="B897">
        <v>2022</v>
      </c>
      <c r="C897">
        <v>6</v>
      </c>
      <c r="D897" s="5" t="s">
        <v>66</v>
      </c>
      <c r="E897" s="5" t="s">
        <v>67</v>
      </c>
      <c r="F897" s="5" t="s">
        <v>68</v>
      </c>
      <c r="G897" s="5" t="s">
        <v>69</v>
      </c>
      <c r="H897" s="5" t="s">
        <v>48</v>
      </c>
      <c r="I897" s="5" t="s">
        <v>40</v>
      </c>
      <c r="J897" s="5" t="s">
        <v>49</v>
      </c>
      <c r="K897">
        <v>54</v>
      </c>
      <c r="L897">
        <v>458942</v>
      </c>
      <c r="M897" s="26">
        <v>24782868</v>
      </c>
      <c r="N897">
        <v>35547</v>
      </c>
      <c r="O897" s="26">
        <v>3517751.83</v>
      </c>
      <c r="P897" s="5" t="s">
        <v>42</v>
      </c>
      <c r="Q897" s="5" t="s">
        <v>43</v>
      </c>
      <c r="R897">
        <v>4.2</v>
      </c>
      <c r="S897">
        <v>18</v>
      </c>
      <c r="T897">
        <f t="shared" si="13"/>
        <v>1</v>
      </c>
    </row>
    <row r="898" spans="1:20">
      <c r="A898" s="4">
        <v>44733</v>
      </c>
      <c r="B898">
        <v>2022</v>
      </c>
      <c r="C898">
        <v>6</v>
      </c>
      <c r="D898" s="5" t="s">
        <v>66</v>
      </c>
      <c r="E898" s="5" t="s">
        <v>67</v>
      </c>
      <c r="F898" s="5" t="s">
        <v>68</v>
      </c>
      <c r="G898" s="5" t="s">
        <v>69</v>
      </c>
      <c r="H898" s="5" t="s">
        <v>65</v>
      </c>
      <c r="I898" s="5" t="s">
        <v>53</v>
      </c>
      <c r="J898" s="5" t="s">
        <v>49</v>
      </c>
      <c r="K898">
        <v>55</v>
      </c>
      <c r="L898">
        <v>1260810</v>
      </c>
      <c r="M898" s="26">
        <v>69344550</v>
      </c>
      <c r="N898">
        <v>19286</v>
      </c>
      <c r="O898" s="26">
        <v>8853865.5399999991</v>
      </c>
      <c r="P898" s="5" t="s">
        <v>42</v>
      </c>
      <c r="Q898" s="5" t="s">
        <v>75</v>
      </c>
      <c r="R898">
        <v>4.9000000000000004</v>
      </c>
      <c r="S898">
        <v>20</v>
      </c>
      <c r="T898">
        <f t="shared" ref="T898:T961" si="14">IF(AND(OR($B898=Sel_Year,Sel_Year="All"),OR($C898=Sel_Month,Sel_Month="All"),OR($D898=Sel_Region,Sel_Region="All"),OR($E898=Sel_State,Sel_State="All"),OR($F898=Sel_City,Sel_City="All"),OR($G898=Sel_Dealer,Sel_Dealer="All"),OR($H898=Sel_Model,Sel_Model="All"),OR($I898=Sel_Segment,Sel_Segment="All"),OR($J898=Sel_Fuel,Sel_Fuel="All"),OR($P898=Sel_CustType,Sel_CustType="All"),OR($Q898=Sel_Payment,Sel_Payment="All")),1,0)</f>
        <v>1</v>
      </c>
    </row>
    <row r="899" spans="1:20">
      <c r="A899" s="4">
        <v>44719</v>
      </c>
      <c r="B899">
        <v>2022</v>
      </c>
      <c r="C899">
        <v>6</v>
      </c>
      <c r="D899" s="5" t="s">
        <v>35</v>
      </c>
      <c r="E899" s="5" t="s">
        <v>60</v>
      </c>
      <c r="F899" s="5" t="s">
        <v>61</v>
      </c>
      <c r="G899" s="5" t="s">
        <v>62</v>
      </c>
      <c r="H899" s="5" t="s">
        <v>57</v>
      </c>
      <c r="I899" s="5" t="s">
        <v>58</v>
      </c>
      <c r="J899" s="5" t="s">
        <v>59</v>
      </c>
      <c r="K899">
        <v>27</v>
      </c>
      <c r="L899">
        <v>1410817</v>
      </c>
      <c r="M899" s="26">
        <v>38092059</v>
      </c>
      <c r="N899">
        <v>39061</v>
      </c>
      <c r="O899" s="26">
        <v>3117529.17</v>
      </c>
      <c r="P899" s="5" t="s">
        <v>50</v>
      </c>
      <c r="Q899" s="5" t="s">
        <v>43</v>
      </c>
      <c r="R899">
        <v>4.5999999999999996</v>
      </c>
      <c r="S899">
        <v>16</v>
      </c>
      <c r="T899">
        <f t="shared" si="14"/>
        <v>0</v>
      </c>
    </row>
    <row r="900" spans="1:20">
      <c r="A900" s="4">
        <v>44724</v>
      </c>
      <c r="B900">
        <v>2022</v>
      </c>
      <c r="C900">
        <v>6</v>
      </c>
      <c r="D900" s="5" t="s">
        <v>44</v>
      </c>
      <c r="E900" s="5" t="s">
        <v>45</v>
      </c>
      <c r="F900" s="5" t="s">
        <v>46</v>
      </c>
      <c r="G900" s="5" t="s">
        <v>47</v>
      </c>
      <c r="H900" s="5" t="s">
        <v>52</v>
      </c>
      <c r="I900" s="5" t="s">
        <v>53</v>
      </c>
      <c r="J900" s="5" t="s">
        <v>41</v>
      </c>
      <c r="K900">
        <v>45</v>
      </c>
      <c r="L900">
        <v>926356</v>
      </c>
      <c r="M900" s="26">
        <v>41686020</v>
      </c>
      <c r="N900">
        <v>10967</v>
      </c>
      <c r="O900" s="26">
        <v>5067143.1399999997</v>
      </c>
      <c r="P900" s="5" t="s">
        <v>50</v>
      </c>
      <c r="Q900" s="5" t="s">
        <v>51</v>
      </c>
      <c r="R900">
        <v>3.6</v>
      </c>
      <c r="S900">
        <v>6</v>
      </c>
      <c r="T900">
        <f t="shared" si="14"/>
        <v>0</v>
      </c>
    </row>
    <row r="901" spans="1:20">
      <c r="A901" s="4">
        <v>44731</v>
      </c>
      <c r="B901">
        <v>2022</v>
      </c>
      <c r="C901">
        <v>6</v>
      </c>
      <c r="D901" s="5" t="s">
        <v>35</v>
      </c>
      <c r="E901" s="5" t="s">
        <v>76</v>
      </c>
      <c r="F901" s="5" t="s">
        <v>77</v>
      </c>
      <c r="G901" s="5" t="s">
        <v>78</v>
      </c>
      <c r="H901" s="5" t="s">
        <v>52</v>
      </c>
      <c r="I901" s="5" t="s">
        <v>53</v>
      </c>
      <c r="J901" s="5" t="s">
        <v>41</v>
      </c>
      <c r="K901">
        <v>20</v>
      </c>
      <c r="L901">
        <v>937531</v>
      </c>
      <c r="M901" s="26">
        <v>18750620</v>
      </c>
      <c r="N901">
        <v>21068</v>
      </c>
      <c r="O901" s="26">
        <v>2264378.41</v>
      </c>
      <c r="P901" s="5" t="s">
        <v>50</v>
      </c>
      <c r="Q901" s="5" t="s">
        <v>75</v>
      </c>
      <c r="R901">
        <v>3.9</v>
      </c>
      <c r="S901">
        <v>10</v>
      </c>
      <c r="T901">
        <f t="shared" si="14"/>
        <v>0</v>
      </c>
    </row>
    <row r="902" spans="1:20">
      <c r="A902" s="4">
        <v>44769</v>
      </c>
      <c r="B902">
        <v>2022</v>
      </c>
      <c r="C902">
        <v>7</v>
      </c>
      <c r="D902" s="5" t="s">
        <v>35</v>
      </c>
      <c r="E902" s="5" t="s">
        <v>60</v>
      </c>
      <c r="F902" s="5" t="s">
        <v>61</v>
      </c>
      <c r="G902" s="5" t="s">
        <v>62</v>
      </c>
      <c r="H902" s="5" t="s">
        <v>73</v>
      </c>
      <c r="I902" s="5" t="s">
        <v>40</v>
      </c>
      <c r="J902" s="5" t="s">
        <v>49</v>
      </c>
      <c r="K902">
        <v>36</v>
      </c>
      <c r="L902">
        <v>733982</v>
      </c>
      <c r="M902" s="26">
        <v>26423352</v>
      </c>
      <c r="N902">
        <v>31998</v>
      </c>
      <c r="O902" s="26">
        <v>2705418.62</v>
      </c>
      <c r="P902" s="5" t="s">
        <v>50</v>
      </c>
      <c r="Q902" s="5" t="s">
        <v>43</v>
      </c>
      <c r="R902">
        <v>4.2</v>
      </c>
      <c r="S902">
        <v>19</v>
      </c>
      <c r="T902">
        <f t="shared" si="14"/>
        <v>0</v>
      </c>
    </row>
    <row r="903" spans="1:20">
      <c r="A903" s="4">
        <v>44761</v>
      </c>
      <c r="B903">
        <v>2022</v>
      </c>
      <c r="C903">
        <v>7</v>
      </c>
      <c r="D903" s="5" t="s">
        <v>44</v>
      </c>
      <c r="E903" s="5" t="s">
        <v>82</v>
      </c>
      <c r="F903" s="5" t="s">
        <v>83</v>
      </c>
      <c r="G903" s="5" t="s">
        <v>84</v>
      </c>
      <c r="H903" s="5" t="s">
        <v>85</v>
      </c>
      <c r="I903" s="5" t="s">
        <v>58</v>
      </c>
      <c r="J903" s="5" t="s">
        <v>49</v>
      </c>
      <c r="K903">
        <v>32</v>
      </c>
      <c r="L903">
        <v>997531</v>
      </c>
      <c r="M903" s="26">
        <v>31920992</v>
      </c>
      <c r="N903">
        <v>30082</v>
      </c>
      <c r="O903" s="26">
        <v>2987507.51</v>
      </c>
      <c r="P903" s="5" t="s">
        <v>42</v>
      </c>
      <c r="Q903" s="5" t="s">
        <v>75</v>
      </c>
      <c r="R903">
        <v>4.3</v>
      </c>
      <c r="S903">
        <v>16</v>
      </c>
      <c r="T903">
        <f t="shared" si="14"/>
        <v>1</v>
      </c>
    </row>
    <row r="904" spans="1:20">
      <c r="A904" s="4">
        <v>44769</v>
      </c>
      <c r="B904">
        <v>2022</v>
      </c>
      <c r="C904">
        <v>7</v>
      </c>
      <c r="D904" s="5" t="s">
        <v>44</v>
      </c>
      <c r="E904" s="5" t="s">
        <v>82</v>
      </c>
      <c r="F904" s="5" t="s">
        <v>83</v>
      </c>
      <c r="G904" s="5" t="s">
        <v>84</v>
      </c>
      <c r="H904" s="5" t="s">
        <v>48</v>
      </c>
      <c r="I904" s="5" t="s">
        <v>40</v>
      </c>
      <c r="J904" s="5" t="s">
        <v>49</v>
      </c>
      <c r="K904">
        <v>52</v>
      </c>
      <c r="L904">
        <v>444128</v>
      </c>
      <c r="M904" s="26">
        <v>23094656</v>
      </c>
      <c r="N904">
        <v>18240</v>
      </c>
      <c r="O904" s="26">
        <v>2457326.2000000002</v>
      </c>
      <c r="P904" s="5" t="s">
        <v>42</v>
      </c>
      <c r="Q904" s="5" t="s">
        <v>75</v>
      </c>
      <c r="R904">
        <v>4.8</v>
      </c>
      <c r="S904">
        <v>13</v>
      </c>
      <c r="T904">
        <f t="shared" si="14"/>
        <v>1</v>
      </c>
    </row>
    <row r="905" spans="1:20">
      <c r="A905" s="4">
        <v>44748</v>
      </c>
      <c r="B905">
        <v>2022</v>
      </c>
      <c r="C905">
        <v>7</v>
      </c>
      <c r="D905" s="5" t="s">
        <v>44</v>
      </c>
      <c r="E905" s="5" t="s">
        <v>82</v>
      </c>
      <c r="F905" s="5" t="s">
        <v>83</v>
      </c>
      <c r="G905" s="5" t="s">
        <v>84</v>
      </c>
      <c r="H905" s="5" t="s">
        <v>57</v>
      </c>
      <c r="I905" s="5" t="s">
        <v>58</v>
      </c>
      <c r="J905" s="5" t="s">
        <v>59</v>
      </c>
      <c r="K905">
        <v>51</v>
      </c>
      <c r="L905">
        <v>1378378</v>
      </c>
      <c r="M905" s="26">
        <v>70297278</v>
      </c>
      <c r="N905">
        <v>19507</v>
      </c>
      <c r="O905" s="26">
        <v>9808052.0500000007</v>
      </c>
      <c r="P905" s="5" t="s">
        <v>42</v>
      </c>
      <c r="Q905" s="5" t="s">
        <v>51</v>
      </c>
      <c r="R905">
        <v>4.5999999999999996</v>
      </c>
      <c r="S905">
        <v>5</v>
      </c>
      <c r="T905">
        <f t="shared" si="14"/>
        <v>1</v>
      </c>
    </row>
    <row r="906" spans="1:20">
      <c r="A906" s="4">
        <v>44767</v>
      </c>
      <c r="B906">
        <v>2022</v>
      </c>
      <c r="C906">
        <v>7</v>
      </c>
      <c r="D906" s="5" t="s">
        <v>35</v>
      </c>
      <c r="E906" s="5" t="s">
        <v>36</v>
      </c>
      <c r="F906" s="5" t="s">
        <v>37</v>
      </c>
      <c r="G906" s="5" t="s">
        <v>38</v>
      </c>
      <c r="H906" s="5" t="s">
        <v>85</v>
      </c>
      <c r="I906" s="5" t="s">
        <v>58</v>
      </c>
      <c r="J906" s="5" t="s">
        <v>49</v>
      </c>
      <c r="K906">
        <v>13</v>
      </c>
      <c r="L906">
        <v>986668</v>
      </c>
      <c r="M906" s="26">
        <v>12826684</v>
      </c>
      <c r="N906">
        <v>38187</v>
      </c>
      <c r="O906" s="26">
        <v>1077354.18</v>
      </c>
      <c r="P906" s="5" t="s">
        <v>50</v>
      </c>
      <c r="Q906" s="5" t="s">
        <v>75</v>
      </c>
      <c r="R906">
        <v>4</v>
      </c>
      <c r="S906">
        <v>16</v>
      </c>
      <c r="T906">
        <f t="shared" si="14"/>
        <v>0</v>
      </c>
    </row>
    <row r="907" spans="1:20">
      <c r="A907" s="4">
        <v>44762</v>
      </c>
      <c r="B907">
        <v>2022</v>
      </c>
      <c r="C907">
        <v>7</v>
      </c>
      <c r="D907" s="5" t="s">
        <v>44</v>
      </c>
      <c r="E907" s="5" t="s">
        <v>45</v>
      </c>
      <c r="F907" s="5" t="s">
        <v>46</v>
      </c>
      <c r="G907" s="5" t="s">
        <v>47</v>
      </c>
      <c r="H907" s="5" t="s">
        <v>74</v>
      </c>
      <c r="I907" s="5" t="s">
        <v>40</v>
      </c>
      <c r="J907" s="5" t="s">
        <v>49</v>
      </c>
      <c r="K907">
        <v>29</v>
      </c>
      <c r="L907">
        <v>629589</v>
      </c>
      <c r="M907" s="26">
        <v>18258081</v>
      </c>
      <c r="N907">
        <v>29842</v>
      </c>
      <c r="O907" s="26">
        <v>1586570.06</v>
      </c>
      <c r="P907" s="5" t="s">
        <v>50</v>
      </c>
      <c r="Q907" s="5" t="s">
        <v>75</v>
      </c>
      <c r="R907">
        <v>4.3</v>
      </c>
      <c r="S907">
        <v>11</v>
      </c>
      <c r="T907">
        <f t="shared" si="14"/>
        <v>0</v>
      </c>
    </row>
    <row r="908" spans="1:20">
      <c r="A908" s="4">
        <v>44764</v>
      </c>
      <c r="B908">
        <v>2022</v>
      </c>
      <c r="C908">
        <v>7</v>
      </c>
      <c r="D908" s="5" t="s">
        <v>35</v>
      </c>
      <c r="E908" s="5" t="s">
        <v>36</v>
      </c>
      <c r="F908" s="5" t="s">
        <v>37</v>
      </c>
      <c r="G908" s="5" t="s">
        <v>38</v>
      </c>
      <c r="H908" s="5" t="s">
        <v>39</v>
      </c>
      <c r="I908" s="5" t="s">
        <v>40</v>
      </c>
      <c r="J908" s="5" t="s">
        <v>41</v>
      </c>
      <c r="K908">
        <v>57</v>
      </c>
      <c r="L908">
        <v>597855</v>
      </c>
      <c r="M908" s="26">
        <v>34077735</v>
      </c>
      <c r="N908">
        <v>26876</v>
      </c>
      <c r="O908" s="26">
        <v>5380652.0300000003</v>
      </c>
      <c r="P908" s="5" t="s">
        <v>50</v>
      </c>
      <c r="Q908" s="5" t="s">
        <v>51</v>
      </c>
      <c r="R908">
        <v>4.2</v>
      </c>
      <c r="S908">
        <v>18</v>
      </c>
      <c r="T908">
        <f t="shared" si="14"/>
        <v>0</v>
      </c>
    </row>
    <row r="909" spans="1:20">
      <c r="A909" s="4">
        <v>44757</v>
      </c>
      <c r="B909">
        <v>2022</v>
      </c>
      <c r="C909">
        <v>7</v>
      </c>
      <c r="D909" s="5" t="s">
        <v>54</v>
      </c>
      <c r="E909" s="5" t="s">
        <v>55</v>
      </c>
      <c r="F909" s="5" t="s">
        <v>55</v>
      </c>
      <c r="G909" s="5" t="s">
        <v>56</v>
      </c>
      <c r="H909" s="5" t="s">
        <v>85</v>
      </c>
      <c r="I909" s="5" t="s">
        <v>58</v>
      </c>
      <c r="J909" s="5" t="s">
        <v>49</v>
      </c>
      <c r="K909">
        <v>38</v>
      </c>
      <c r="L909">
        <v>1000566</v>
      </c>
      <c r="M909" s="26">
        <v>38021508</v>
      </c>
      <c r="N909">
        <v>28576</v>
      </c>
      <c r="O909" s="26">
        <v>5895741.1799999997</v>
      </c>
      <c r="P909" s="5" t="s">
        <v>50</v>
      </c>
      <c r="Q909" s="5" t="s">
        <v>75</v>
      </c>
      <c r="R909">
        <v>3.5</v>
      </c>
      <c r="S909">
        <v>2</v>
      </c>
      <c r="T909">
        <f t="shared" si="14"/>
        <v>0</v>
      </c>
    </row>
    <row r="910" spans="1:20">
      <c r="A910" s="4">
        <v>44763</v>
      </c>
      <c r="B910">
        <v>2022</v>
      </c>
      <c r="C910">
        <v>7</v>
      </c>
      <c r="D910" s="5" t="s">
        <v>44</v>
      </c>
      <c r="E910" s="5" t="s">
        <v>45</v>
      </c>
      <c r="F910" s="5" t="s">
        <v>46</v>
      </c>
      <c r="G910" s="5" t="s">
        <v>47</v>
      </c>
      <c r="H910" s="5" t="s">
        <v>63</v>
      </c>
      <c r="I910" s="5" t="s">
        <v>64</v>
      </c>
      <c r="J910" s="5" t="s">
        <v>41</v>
      </c>
      <c r="K910">
        <v>45</v>
      </c>
      <c r="L910">
        <v>774474</v>
      </c>
      <c r="M910" s="26">
        <v>34851330</v>
      </c>
      <c r="N910">
        <v>6403</v>
      </c>
      <c r="O910" s="26">
        <v>3950081.89</v>
      </c>
      <c r="P910" s="5" t="s">
        <v>50</v>
      </c>
      <c r="Q910" s="5" t="s">
        <v>51</v>
      </c>
      <c r="R910">
        <v>4.4000000000000004</v>
      </c>
      <c r="S910">
        <v>10</v>
      </c>
      <c r="T910">
        <f t="shared" si="14"/>
        <v>0</v>
      </c>
    </row>
    <row r="911" spans="1:20">
      <c r="A911" s="4">
        <v>44766</v>
      </c>
      <c r="B911">
        <v>2022</v>
      </c>
      <c r="C911">
        <v>7</v>
      </c>
      <c r="D911" s="5" t="s">
        <v>35</v>
      </c>
      <c r="E911" s="5" t="s">
        <v>36</v>
      </c>
      <c r="F911" s="5" t="s">
        <v>37</v>
      </c>
      <c r="G911" s="5" t="s">
        <v>38</v>
      </c>
      <c r="H911" s="5" t="s">
        <v>74</v>
      </c>
      <c r="I911" s="5" t="s">
        <v>40</v>
      </c>
      <c r="J911" s="5" t="s">
        <v>49</v>
      </c>
      <c r="K911">
        <v>6</v>
      </c>
      <c r="L911">
        <v>656941</v>
      </c>
      <c r="M911" s="26">
        <v>3941646</v>
      </c>
      <c r="N911">
        <v>17387</v>
      </c>
      <c r="O911" s="26">
        <v>374624.01</v>
      </c>
      <c r="P911" s="5" t="s">
        <v>50</v>
      </c>
      <c r="Q911" s="5" t="s">
        <v>51</v>
      </c>
      <c r="R911">
        <v>4</v>
      </c>
      <c r="S911">
        <v>11</v>
      </c>
      <c r="T911">
        <f t="shared" si="14"/>
        <v>0</v>
      </c>
    </row>
    <row r="912" spans="1:20">
      <c r="A912" s="4">
        <v>44750</v>
      </c>
      <c r="B912">
        <v>2022</v>
      </c>
      <c r="C912">
        <v>7</v>
      </c>
      <c r="D912" s="5" t="s">
        <v>44</v>
      </c>
      <c r="E912" s="5" t="s">
        <v>45</v>
      </c>
      <c r="F912" s="5" t="s">
        <v>46</v>
      </c>
      <c r="G912" s="5" t="s">
        <v>47</v>
      </c>
      <c r="H912" s="5" t="s">
        <v>39</v>
      </c>
      <c r="I912" s="5" t="s">
        <v>40</v>
      </c>
      <c r="J912" s="5" t="s">
        <v>41</v>
      </c>
      <c r="K912">
        <v>15</v>
      </c>
      <c r="L912">
        <v>564182</v>
      </c>
      <c r="M912" s="26">
        <v>8462730</v>
      </c>
      <c r="N912">
        <v>5007</v>
      </c>
      <c r="O912" s="26">
        <v>711199.54</v>
      </c>
      <c r="P912" s="5" t="s">
        <v>50</v>
      </c>
      <c r="Q912" s="5" t="s">
        <v>43</v>
      </c>
      <c r="R912">
        <v>4.4000000000000004</v>
      </c>
      <c r="S912">
        <v>6</v>
      </c>
      <c r="T912">
        <f t="shared" si="14"/>
        <v>0</v>
      </c>
    </row>
    <row r="913" spans="1:20">
      <c r="A913" s="4">
        <v>44747</v>
      </c>
      <c r="B913">
        <v>2022</v>
      </c>
      <c r="C913">
        <v>7</v>
      </c>
      <c r="D913" s="5" t="s">
        <v>54</v>
      </c>
      <c r="E913" s="5" t="s">
        <v>55</v>
      </c>
      <c r="F913" s="5" t="s">
        <v>55</v>
      </c>
      <c r="G913" s="5" t="s">
        <v>56</v>
      </c>
      <c r="H913" s="5" t="s">
        <v>57</v>
      </c>
      <c r="I913" s="5" t="s">
        <v>58</v>
      </c>
      <c r="J913" s="5" t="s">
        <v>59</v>
      </c>
      <c r="K913">
        <v>34</v>
      </c>
      <c r="L913">
        <v>1402235</v>
      </c>
      <c r="M913" s="26">
        <v>47675990</v>
      </c>
      <c r="N913">
        <v>7070</v>
      </c>
      <c r="O913" s="26">
        <v>7433354.3099999996</v>
      </c>
      <c r="P913" s="5" t="s">
        <v>42</v>
      </c>
      <c r="Q913" s="5" t="s">
        <v>43</v>
      </c>
      <c r="R913">
        <v>4.2</v>
      </c>
      <c r="S913">
        <v>13</v>
      </c>
      <c r="T913">
        <f t="shared" si="14"/>
        <v>1</v>
      </c>
    </row>
    <row r="914" spans="1:20">
      <c r="A914" s="4">
        <v>44769</v>
      </c>
      <c r="B914">
        <v>2022</v>
      </c>
      <c r="C914">
        <v>7</v>
      </c>
      <c r="D914" s="5" t="s">
        <v>54</v>
      </c>
      <c r="E914" s="5" t="s">
        <v>70</v>
      </c>
      <c r="F914" s="5" t="s">
        <v>71</v>
      </c>
      <c r="G914" s="5" t="s">
        <v>72</v>
      </c>
      <c r="H914" s="5" t="s">
        <v>39</v>
      </c>
      <c r="I914" s="5" t="s">
        <v>40</v>
      </c>
      <c r="J914" s="5" t="s">
        <v>41</v>
      </c>
      <c r="K914">
        <v>59</v>
      </c>
      <c r="L914">
        <v>593517</v>
      </c>
      <c r="M914" s="26">
        <v>35017503</v>
      </c>
      <c r="N914">
        <v>35353</v>
      </c>
      <c r="O914" s="26">
        <v>3968074.6</v>
      </c>
      <c r="P914" s="5" t="s">
        <v>42</v>
      </c>
      <c r="Q914" s="5" t="s">
        <v>43</v>
      </c>
      <c r="R914">
        <v>4.2</v>
      </c>
      <c r="S914">
        <v>2</v>
      </c>
      <c r="T914">
        <f t="shared" si="14"/>
        <v>1</v>
      </c>
    </row>
    <row r="915" spans="1:20">
      <c r="A915" s="4">
        <v>44767</v>
      </c>
      <c r="B915">
        <v>2022</v>
      </c>
      <c r="C915">
        <v>7</v>
      </c>
      <c r="D915" s="5" t="s">
        <v>35</v>
      </c>
      <c r="E915" s="5" t="s">
        <v>76</v>
      </c>
      <c r="F915" s="5" t="s">
        <v>77</v>
      </c>
      <c r="G915" s="5" t="s">
        <v>78</v>
      </c>
      <c r="H915" s="5" t="s">
        <v>52</v>
      </c>
      <c r="I915" s="5" t="s">
        <v>53</v>
      </c>
      <c r="J915" s="5" t="s">
        <v>41</v>
      </c>
      <c r="K915">
        <v>17</v>
      </c>
      <c r="L915">
        <v>926558</v>
      </c>
      <c r="M915" s="26">
        <v>15751486</v>
      </c>
      <c r="N915">
        <v>26948</v>
      </c>
      <c r="O915" s="26">
        <v>1847508.89</v>
      </c>
      <c r="P915" s="5" t="s">
        <v>50</v>
      </c>
      <c r="Q915" s="5" t="s">
        <v>43</v>
      </c>
      <c r="R915">
        <v>4.5</v>
      </c>
      <c r="S915">
        <v>9</v>
      </c>
      <c r="T915">
        <f t="shared" si="14"/>
        <v>0</v>
      </c>
    </row>
    <row r="916" spans="1:20">
      <c r="A916" s="4">
        <v>44744</v>
      </c>
      <c r="B916">
        <v>2022</v>
      </c>
      <c r="C916">
        <v>7</v>
      </c>
      <c r="D916" s="5" t="s">
        <v>35</v>
      </c>
      <c r="E916" s="5" t="s">
        <v>60</v>
      </c>
      <c r="F916" s="5" t="s">
        <v>61</v>
      </c>
      <c r="G916" s="5" t="s">
        <v>62</v>
      </c>
      <c r="H916" s="5" t="s">
        <v>65</v>
      </c>
      <c r="I916" s="5" t="s">
        <v>53</v>
      </c>
      <c r="J916" s="5" t="s">
        <v>49</v>
      </c>
      <c r="K916">
        <v>32</v>
      </c>
      <c r="L916">
        <v>1228385</v>
      </c>
      <c r="M916" s="26">
        <v>39308320</v>
      </c>
      <c r="N916">
        <v>16277</v>
      </c>
      <c r="O916" s="26">
        <v>5004423.96</v>
      </c>
      <c r="P916" s="5" t="s">
        <v>42</v>
      </c>
      <c r="Q916" s="5" t="s">
        <v>43</v>
      </c>
      <c r="R916">
        <v>4.5999999999999996</v>
      </c>
      <c r="S916">
        <v>11</v>
      </c>
      <c r="T916">
        <f t="shared" si="14"/>
        <v>1</v>
      </c>
    </row>
    <row r="917" spans="1:20">
      <c r="A917" s="4">
        <v>44759</v>
      </c>
      <c r="B917">
        <v>2022</v>
      </c>
      <c r="C917">
        <v>7</v>
      </c>
      <c r="D917" s="5" t="s">
        <v>44</v>
      </c>
      <c r="E917" s="5" t="s">
        <v>82</v>
      </c>
      <c r="F917" s="5" t="s">
        <v>83</v>
      </c>
      <c r="G917" s="5" t="s">
        <v>84</v>
      </c>
      <c r="H917" s="5" t="s">
        <v>63</v>
      </c>
      <c r="I917" s="5" t="s">
        <v>64</v>
      </c>
      <c r="J917" s="5" t="s">
        <v>41</v>
      </c>
      <c r="K917">
        <v>38</v>
      </c>
      <c r="L917">
        <v>762829</v>
      </c>
      <c r="M917" s="26">
        <v>28987502</v>
      </c>
      <c r="N917">
        <v>29703</v>
      </c>
      <c r="O917" s="26">
        <v>4531022.2699999996</v>
      </c>
      <c r="P917" s="5" t="s">
        <v>50</v>
      </c>
      <c r="Q917" s="5" t="s">
        <v>43</v>
      </c>
      <c r="R917">
        <v>4.8</v>
      </c>
      <c r="S917">
        <v>10</v>
      </c>
      <c r="T917">
        <f t="shared" si="14"/>
        <v>0</v>
      </c>
    </row>
    <row r="918" spans="1:20">
      <c r="A918" s="4">
        <v>44745</v>
      </c>
      <c r="B918">
        <v>2022</v>
      </c>
      <c r="C918">
        <v>7</v>
      </c>
      <c r="D918" s="5" t="s">
        <v>54</v>
      </c>
      <c r="E918" s="5" t="s">
        <v>70</v>
      </c>
      <c r="F918" s="5" t="s">
        <v>71</v>
      </c>
      <c r="G918" s="5" t="s">
        <v>72</v>
      </c>
      <c r="H918" s="5" t="s">
        <v>39</v>
      </c>
      <c r="I918" s="5" t="s">
        <v>40</v>
      </c>
      <c r="J918" s="5" t="s">
        <v>41</v>
      </c>
      <c r="K918">
        <v>29</v>
      </c>
      <c r="L918">
        <v>567127</v>
      </c>
      <c r="M918" s="26">
        <v>16446683</v>
      </c>
      <c r="N918">
        <v>20927</v>
      </c>
      <c r="O918" s="26">
        <v>2103542.77</v>
      </c>
      <c r="P918" s="5" t="s">
        <v>42</v>
      </c>
      <c r="Q918" s="5" t="s">
        <v>75</v>
      </c>
      <c r="R918">
        <v>4.9000000000000004</v>
      </c>
      <c r="S918">
        <v>13</v>
      </c>
      <c r="T918">
        <f t="shared" si="14"/>
        <v>1</v>
      </c>
    </row>
    <row r="919" spans="1:20">
      <c r="A919" s="4">
        <v>44758</v>
      </c>
      <c r="B919">
        <v>2022</v>
      </c>
      <c r="C919">
        <v>7</v>
      </c>
      <c r="D919" s="5" t="s">
        <v>35</v>
      </c>
      <c r="E919" s="5" t="s">
        <v>36</v>
      </c>
      <c r="F919" s="5" t="s">
        <v>37</v>
      </c>
      <c r="G919" s="5" t="s">
        <v>38</v>
      </c>
      <c r="H919" s="5" t="s">
        <v>57</v>
      </c>
      <c r="I919" s="5" t="s">
        <v>58</v>
      </c>
      <c r="J919" s="5" t="s">
        <v>59</v>
      </c>
      <c r="K919">
        <v>60</v>
      </c>
      <c r="L919">
        <v>1409191</v>
      </c>
      <c r="M919" s="26">
        <v>84551460</v>
      </c>
      <c r="N919">
        <v>10349</v>
      </c>
      <c r="O919" s="26">
        <v>13082406.52</v>
      </c>
      <c r="P919" s="5" t="s">
        <v>42</v>
      </c>
      <c r="Q919" s="5" t="s">
        <v>43</v>
      </c>
      <c r="R919">
        <v>3.6</v>
      </c>
      <c r="S919">
        <v>19</v>
      </c>
      <c r="T919">
        <f t="shared" si="14"/>
        <v>1</v>
      </c>
    </row>
    <row r="920" spans="1:20">
      <c r="A920" s="4">
        <v>44760</v>
      </c>
      <c r="B920">
        <v>2022</v>
      </c>
      <c r="C920">
        <v>7</v>
      </c>
      <c r="D920" s="5" t="s">
        <v>35</v>
      </c>
      <c r="E920" s="5" t="s">
        <v>76</v>
      </c>
      <c r="F920" s="5" t="s">
        <v>77</v>
      </c>
      <c r="G920" s="5" t="s">
        <v>78</v>
      </c>
      <c r="H920" s="5" t="s">
        <v>85</v>
      </c>
      <c r="I920" s="5" t="s">
        <v>58</v>
      </c>
      <c r="J920" s="5" t="s">
        <v>49</v>
      </c>
      <c r="K920">
        <v>47</v>
      </c>
      <c r="L920">
        <v>1009766</v>
      </c>
      <c r="M920" s="26">
        <v>47459002</v>
      </c>
      <c r="N920">
        <v>14586</v>
      </c>
      <c r="O920" s="26">
        <v>5144518.16</v>
      </c>
      <c r="P920" s="5" t="s">
        <v>50</v>
      </c>
      <c r="Q920" s="5" t="s">
        <v>75</v>
      </c>
      <c r="R920">
        <v>4.5</v>
      </c>
      <c r="S920">
        <v>8</v>
      </c>
      <c r="T920">
        <f t="shared" si="14"/>
        <v>0</v>
      </c>
    </row>
    <row r="921" spans="1:20">
      <c r="A921" s="4">
        <v>44749</v>
      </c>
      <c r="B921">
        <v>2022</v>
      </c>
      <c r="C921">
        <v>7</v>
      </c>
      <c r="D921" s="5" t="s">
        <v>35</v>
      </c>
      <c r="E921" s="5" t="s">
        <v>76</v>
      </c>
      <c r="F921" s="5" t="s">
        <v>77</v>
      </c>
      <c r="G921" s="5" t="s">
        <v>78</v>
      </c>
      <c r="H921" s="5" t="s">
        <v>85</v>
      </c>
      <c r="I921" s="5" t="s">
        <v>58</v>
      </c>
      <c r="J921" s="5" t="s">
        <v>49</v>
      </c>
      <c r="K921">
        <v>39</v>
      </c>
      <c r="L921">
        <v>952073</v>
      </c>
      <c r="M921" s="26">
        <v>37130847</v>
      </c>
      <c r="N921">
        <v>42210</v>
      </c>
      <c r="O921" s="26">
        <v>4859480.9400000004</v>
      </c>
      <c r="P921" s="5" t="s">
        <v>42</v>
      </c>
      <c r="Q921" s="5" t="s">
        <v>43</v>
      </c>
      <c r="R921">
        <v>4</v>
      </c>
      <c r="S921">
        <v>2</v>
      </c>
      <c r="T921">
        <f t="shared" si="14"/>
        <v>1</v>
      </c>
    </row>
    <row r="922" spans="1:20">
      <c r="A922" s="4">
        <v>44748</v>
      </c>
      <c r="B922">
        <v>2022</v>
      </c>
      <c r="C922">
        <v>7</v>
      </c>
      <c r="D922" s="5" t="s">
        <v>54</v>
      </c>
      <c r="E922" s="5" t="s">
        <v>70</v>
      </c>
      <c r="F922" s="5" t="s">
        <v>71</v>
      </c>
      <c r="G922" s="5" t="s">
        <v>72</v>
      </c>
      <c r="H922" s="5" t="s">
        <v>86</v>
      </c>
      <c r="I922" s="5" t="s">
        <v>40</v>
      </c>
      <c r="J922" s="5" t="s">
        <v>41</v>
      </c>
      <c r="K922">
        <v>13</v>
      </c>
      <c r="L922">
        <v>585163</v>
      </c>
      <c r="M922" s="26">
        <v>7607119</v>
      </c>
      <c r="N922">
        <v>32420</v>
      </c>
      <c r="O922" s="26">
        <v>945711.92</v>
      </c>
      <c r="P922" s="5" t="s">
        <v>50</v>
      </c>
      <c r="Q922" s="5" t="s">
        <v>75</v>
      </c>
      <c r="R922">
        <v>4.7</v>
      </c>
      <c r="S922">
        <v>5</v>
      </c>
      <c r="T922">
        <f t="shared" si="14"/>
        <v>0</v>
      </c>
    </row>
    <row r="923" spans="1:20">
      <c r="A923" s="4">
        <v>44747</v>
      </c>
      <c r="B923">
        <v>2022</v>
      </c>
      <c r="C923">
        <v>7</v>
      </c>
      <c r="D923" s="5" t="s">
        <v>54</v>
      </c>
      <c r="E923" s="5" t="s">
        <v>55</v>
      </c>
      <c r="F923" s="5" t="s">
        <v>55</v>
      </c>
      <c r="G923" s="5" t="s">
        <v>56</v>
      </c>
      <c r="H923" s="5" t="s">
        <v>39</v>
      </c>
      <c r="I923" s="5" t="s">
        <v>40</v>
      </c>
      <c r="J923" s="5" t="s">
        <v>41</v>
      </c>
      <c r="K923">
        <v>34</v>
      </c>
      <c r="L923">
        <v>561686</v>
      </c>
      <c r="M923" s="26">
        <v>19097324</v>
      </c>
      <c r="N923">
        <v>10479</v>
      </c>
      <c r="O923" s="26">
        <v>2361455.34</v>
      </c>
      <c r="P923" s="5" t="s">
        <v>50</v>
      </c>
      <c r="Q923" s="5" t="s">
        <v>43</v>
      </c>
      <c r="R923">
        <v>4.7</v>
      </c>
      <c r="S923">
        <v>10</v>
      </c>
      <c r="T923">
        <f t="shared" si="14"/>
        <v>0</v>
      </c>
    </row>
    <row r="924" spans="1:20">
      <c r="A924" s="4">
        <v>44763</v>
      </c>
      <c r="B924">
        <v>2022</v>
      </c>
      <c r="C924">
        <v>7</v>
      </c>
      <c r="D924" s="5" t="s">
        <v>35</v>
      </c>
      <c r="E924" s="5" t="s">
        <v>76</v>
      </c>
      <c r="F924" s="5" t="s">
        <v>77</v>
      </c>
      <c r="G924" s="5" t="s">
        <v>78</v>
      </c>
      <c r="H924" s="5" t="s">
        <v>52</v>
      </c>
      <c r="I924" s="5" t="s">
        <v>53</v>
      </c>
      <c r="J924" s="5" t="s">
        <v>41</v>
      </c>
      <c r="K924">
        <v>58</v>
      </c>
      <c r="L924">
        <v>978832</v>
      </c>
      <c r="M924" s="26">
        <v>56772256</v>
      </c>
      <c r="N924">
        <v>47805</v>
      </c>
      <c r="O924" s="26">
        <v>6533838.5099999998</v>
      </c>
      <c r="P924" s="5" t="s">
        <v>42</v>
      </c>
      <c r="Q924" s="5" t="s">
        <v>43</v>
      </c>
      <c r="R924">
        <v>4.4000000000000004</v>
      </c>
      <c r="S924">
        <v>16</v>
      </c>
      <c r="T924">
        <f t="shared" si="14"/>
        <v>1</v>
      </c>
    </row>
    <row r="925" spans="1:20">
      <c r="A925" s="4">
        <v>44764</v>
      </c>
      <c r="B925">
        <v>2022</v>
      </c>
      <c r="C925">
        <v>7</v>
      </c>
      <c r="D925" s="5" t="s">
        <v>44</v>
      </c>
      <c r="E925" s="5" t="s">
        <v>82</v>
      </c>
      <c r="F925" s="5" t="s">
        <v>83</v>
      </c>
      <c r="G925" s="5" t="s">
        <v>84</v>
      </c>
      <c r="H925" s="5" t="s">
        <v>73</v>
      </c>
      <c r="I925" s="5" t="s">
        <v>40</v>
      </c>
      <c r="J925" s="5" t="s">
        <v>49</v>
      </c>
      <c r="K925">
        <v>26</v>
      </c>
      <c r="L925">
        <v>712310</v>
      </c>
      <c r="M925" s="26">
        <v>18520060</v>
      </c>
      <c r="N925">
        <v>9160</v>
      </c>
      <c r="O925" s="26">
        <v>2158066.9500000002</v>
      </c>
      <c r="P925" s="5" t="s">
        <v>42</v>
      </c>
      <c r="Q925" s="5" t="s">
        <v>43</v>
      </c>
      <c r="R925">
        <v>4.0999999999999996</v>
      </c>
      <c r="S925">
        <v>4</v>
      </c>
      <c r="T925">
        <f t="shared" si="14"/>
        <v>1</v>
      </c>
    </row>
    <row r="926" spans="1:20">
      <c r="A926" s="4">
        <v>44748</v>
      </c>
      <c r="B926">
        <v>2022</v>
      </c>
      <c r="C926">
        <v>7</v>
      </c>
      <c r="D926" s="5" t="s">
        <v>44</v>
      </c>
      <c r="E926" s="5" t="s">
        <v>82</v>
      </c>
      <c r="F926" s="5" t="s">
        <v>83</v>
      </c>
      <c r="G926" s="5" t="s">
        <v>84</v>
      </c>
      <c r="H926" s="5" t="s">
        <v>86</v>
      </c>
      <c r="I926" s="5" t="s">
        <v>40</v>
      </c>
      <c r="J926" s="5" t="s">
        <v>41</v>
      </c>
      <c r="K926">
        <v>21</v>
      </c>
      <c r="L926">
        <v>612667</v>
      </c>
      <c r="M926" s="26">
        <v>12866007</v>
      </c>
      <c r="N926">
        <v>48820</v>
      </c>
      <c r="O926" s="26">
        <v>1049808.04</v>
      </c>
      <c r="P926" s="5" t="s">
        <v>50</v>
      </c>
      <c r="Q926" s="5" t="s">
        <v>51</v>
      </c>
      <c r="R926">
        <v>4.0999999999999996</v>
      </c>
      <c r="S926">
        <v>5</v>
      </c>
      <c r="T926">
        <f t="shared" si="14"/>
        <v>0</v>
      </c>
    </row>
    <row r="927" spans="1:20">
      <c r="A927" s="4">
        <v>44759</v>
      </c>
      <c r="B927">
        <v>2022</v>
      </c>
      <c r="C927">
        <v>7</v>
      </c>
      <c r="D927" s="5" t="s">
        <v>35</v>
      </c>
      <c r="E927" s="5" t="s">
        <v>76</v>
      </c>
      <c r="F927" s="5" t="s">
        <v>77</v>
      </c>
      <c r="G927" s="5" t="s">
        <v>78</v>
      </c>
      <c r="H927" s="5" t="s">
        <v>79</v>
      </c>
      <c r="I927" s="5" t="s">
        <v>58</v>
      </c>
      <c r="J927" s="5" t="s">
        <v>49</v>
      </c>
      <c r="K927">
        <v>15</v>
      </c>
      <c r="L927">
        <v>916839</v>
      </c>
      <c r="M927" s="26">
        <v>13752585</v>
      </c>
      <c r="N927">
        <v>24135</v>
      </c>
      <c r="O927" s="26">
        <v>1480883.77</v>
      </c>
      <c r="P927" s="5" t="s">
        <v>50</v>
      </c>
      <c r="Q927" s="5" t="s">
        <v>43</v>
      </c>
      <c r="R927">
        <v>4.9000000000000004</v>
      </c>
      <c r="S927">
        <v>21</v>
      </c>
      <c r="T927">
        <f t="shared" si="14"/>
        <v>0</v>
      </c>
    </row>
    <row r="928" spans="1:20">
      <c r="A928" s="4">
        <v>44767</v>
      </c>
      <c r="B928">
        <v>2022</v>
      </c>
      <c r="C928">
        <v>7</v>
      </c>
      <c r="D928" s="5" t="s">
        <v>66</v>
      </c>
      <c r="E928" s="5" t="s">
        <v>67</v>
      </c>
      <c r="F928" s="5" t="s">
        <v>68</v>
      </c>
      <c r="G928" s="5" t="s">
        <v>69</v>
      </c>
      <c r="H928" s="5" t="s">
        <v>52</v>
      </c>
      <c r="I928" s="5" t="s">
        <v>53</v>
      </c>
      <c r="J928" s="5" t="s">
        <v>41</v>
      </c>
      <c r="K928">
        <v>19</v>
      </c>
      <c r="L928">
        <v>920857</v>
      </c>
      <c r="M928" s="26">
        <v>17496283</v>
      </c>
      <c r="N928">
        <v>11674</v>
      </c>
      <c r="O928" s="26">
        <v>1697317.31</v>
      </c>
      <c r="P928" s="5" t="s">
        <v>42</v>
      </c>
      <c r="Q928" s="5" t="s">
        <v>75</v>
      </c>
      <c r="R928">
        <v>3.5</v>
      </c>
      <c r="S928">
        <v>13</v>
      </c>
      <c r="T928">
        <f t="shared" si="14"/>
        <v>1</v>
      </c>
    </row>
    <row r="929" spans="1:20">
      <c r="A929" s="4">
        <v>44749</v>
      </c>
      <c r="B929">
        <v>2022</v>
      </c>
      <c r="C929">
        <v>7</v>
      </c>
      <c r="D929" s="5" t="s">
        <v>54</v>
      </c>
      <c r="E929" s="5" t="s">
        <v>70</v>
      </c>
      <c r="F929" s="5" t="s">
        <v>71</v>
      </c>
      <c r="G929" s="5" t="s">
        <v>72</v>
      </c>
      <c r="H929" s="5" t="s">
        <v>79</v>
      </c>
      <c r="I929" s="5" t="s">
        <v>58</v>
      </c>
      <c r="J929" s="5" t="s">
        <v>49</v>
      </c>
      <c r="K929">
        <v>12</v>
      </c>
      <c r="L929">
        <v>879085</v>
      </c>
      <c r="M929" s="26">
        <v>10549020</v>
      </c>
      <c r="N929">
        <v>45210</v>
      </c>
      <c r="O929" s="26">
        <v>1477260.4</v>
      </c>
      <c r="P929" s="5" t="s">
        <v>50</v>
      </c>
      <c r="Q929" s="5" t="s">
        <v>43</v>
      </c>
      <c r="R929">
        <v>4.9000000000000004</v>
      </c>
      <c r="S929">
        <v>18</v>
      </c>
      <c r="T929">
        <f t="shared" si="14"/>
        <v>0</v>
      </c>
    </row>
    <row r="930" spans="1:20">
      <c r="A930" s="4">
        <v>44743</v>
      </c>
      <c r="B930">
        <v>2022</v>
      </c>
      <c r="C930">
        <v>7</v>
      </c>
      <c r="D930" s="5" t="s">
        <v>35</v>
      </c>
      <c r="E930" s="5" t="s">
        <v>36</v>
      </c>
      <c r="F930" s="5" t="s">
        <v>37</v>
      </c>
      <c r="G930" s="5" t="s">
        <v>38</v>
      </c>
      <c r="H930" s="5" t="s">
        <v>48</v>
      </c>
      <c r="I930" s="5" t="s">
        <v>40</v>
      </c>
      <c r="J930" s="5" t="s">
        <v>49</v>
      </c>
      <c r="K930">
        <v>21</v>
      </c>
      <c r="L930">
        <v>451723</v>
      </c>
      <c r="M930" s="26">
        <v>9486183</v>
      </c>
      <c r="N930">
        <v>19730</v>
      </c>
      <c r="O930" s="26">
        <v>1056010.97</v>
      </c>
      <c r="P930" s="5" t="s">
        <v>50</v>
      </c>
      <c r="Q930" s="5" t="s">
        <v>75</v>
      </c>
      <c r="R930">
        <v>5</v>
      </c>
      <c r="S930">
        <v>3</v>
      </c>
      <c r="T930">
        <f t="shared" si="14"/>
        <v>0</v>
      </c>
    </row>
    <row r="931" spans="1:20">
      <c r="A931" s="4">
        <v>44747</v>
      </c>
      <c r="B931">
        <v>2022</v>
      </c>
      <c r="C931">
        <v>7</v>
      </c>
      <c r="D931" s="5" t="s">
        <v>35</v>
      </c>
      <c r="E931" s="5" t="s">
        <v>76</v>
      </c>
      <c r="F931" s="5" t="s">
        <v>77</v>
      </c>
      <c r="G931" s="5" t="s">
        <v>78</v>
      </c>
      <c r="H931" s="5" t="s">
        <v>52</v>
      </c>
      <c r="I931" s="5" t="s">
        <v>53</v>
      </c>
      <c r="J931" s="5" t="s">
        <v>41</v>
      </c>
      <c r="K931">
        <v>25</v>
      </c>
      <c r="L931">
        <v>979366</v>
      </c>
      <c r="M931" s="26">
        <v>24484150</v>
      </c>
      <c r="N931">
        <v>12007</v>
      </c>
      <c r="O931" s="26">
        <v>2776796.21</v>
      </c>
      <c r="P931" s="5" t="s">
        <v>50</v>
      </c>
      <c r="Q931" s="5" t="s">
        <v>43</v>
      </c>
      <c r="R931">
        <v>4.4000000000000004</v>
      </c>
      <c r="S931">
        <v>8</v>
      </c>
      <c r="T931">
        <f t="shared" si="14"/>
        <v>0</v>
      </c>
    </row>
    <row r="932" spans="1:20">
      <c r="A932" s="4">
        <v>44754</v>
      </c>
      <c r="B932">
        <v>2022</v>
      </c>
      <c r="C932">
        <v>7</v>
      </c>
      <c r="D932" s="5" t="s">
        <v>54</v>
      </c>
      <c r="E932" s="5" t="s">
        <v>70</v>
      </c>
      <c r="F932" s="5" t="s">
        <v>71</v>
      </c>
      <c r="G932" s="5" t="s">
        <v>72</v>
      </c>
      <c r="H932" s="5" t="s">
        <v>48</v>
      </c>
      <c r="I932" s="5" t="s">
        <v>40</v>
      </c>
      <c r="J932" s="5" t="s">
        <v>49</v>
      </c>
      <c r="K932">
        <v>13</v>
      </c>
      <c r="L932">
        <v>438530</v>
      </c>
      <c r="M932" s="26">
        <v>5700890</v>
      </c>
      <c r="N932">
        <v>24050</v>
      </c>
      <c r="O932" s="26">
        <v>890919.9</v>
      </c>
      <c r="P932" s="5" t="s">
        <v>42</v>
      </c>
      <c r="Q932" s="5" t="s">
        <v>75</v>
      </c>
      <c r="R932">
        <v>4.5999999999999996</v>
      </c>
      <c r="S932">
        <v>21</v>
      </c>
      <c r="T932">
        <f t="shared" si="14"/>
        <v>1</v>
      </c>
    </row>
    <row r="933" spans="1:20">
      <c r="A933" s="4">
        <v>44748</v>
      </c>
      <c r="B933">
        <v>2022</v>
      </c>
      <c r="C933">
        <v>7</v>
      </c>
      <c r="D933" s="5" t="s">
        <v>35</v>
      </c>
      <c r="E933" s="5" t="s">
        <v>76</v>
      </c>
      <c r="F933" s="5" t="s">
        <v>77</v>
      </c>
      <c r="G933" s="5" t="s">
        <v>78</v>
      </c>
      <c r="H933" s="5" t="s">
        <v>85</v>
      </c>
      <c r="I933" s="5" t="s">
        <v>58</v>
      </c>
      <c r="J933" s="5" t="s">
        <v>49</v>
      </c>
      <c r="K933">
        <v>8</v>
      </c>
      <c r="L933">
        <v>986658</v>
      </c>
      <c r="M933" s="26">
        <v>7893264</v>
      </c>
      <c r="N933">
        <v>48280</v>
      </c>
      <c r="O933" s="26">
        <v>976540.35</v>
      </c>
      <c r="P933" s="5" t="s">
        <v>42</v>
      </c>
      <c r="Q933" s="5" t="s">
        <v>43</v>
      </c>
      <c r="R933">
        <v>4.3</v>
      </c>
      <c r="S933">
        <v>8</v>
      </c>
      <c r="T933">
        <f t="shared" si="14"/>
        <v>1</v>
      </c>
    </row>
    <row r="934" spans="1:20">
      <c r="A934" s="4">
        <v>44766</v>
      </c>
      <c r="B934">
        <v>2022</v>
      </c>
      <c r="C934">
        <v>7</v>
      </c>
      <c r="D934" s="5" t="s">
        <v>44</v>
      </c>
      <c r="E934" s="5" t="s">
        <v>45</v>
      </c>
      <c r="F934" s="5" t="s">
        <v>46</v>
      </c>
      <c r="G934" s="5" t="s">
        <v>47</v>
      </c>
      <c r="H934" s="5" t="s">
        <v>86</v>
      </c>
      <c r="I934" s="5" t="s">
        <v>40</v>
      </c>
      <c r="J934" s="5" t="s">
        <v>41</v>
      </c>
      <c r="K934">
        <v>41</v>
      </c>
      <c r="L934">
        <v>570358</v>
      </c>
      <c r="M934" s="26">
        <v>23384678</v>
      </c>
      <c r="N934">
        <v>26013</v>
      </c>
      <c r="O934" s="26">
        <v>2118198.14</v>
      </c>
      <c r="P934" s="5" t="s">
        <v>50</v>
      </c>
      <c r="Q934" s="5" t="s">
        <v>51</v>
      </c>
      <c r="R934">
        <v>3.6</v>
      </c>
      <c r="S934">
        <v>7</v>
      </c>
      <c r="T934">
        <f t="shared" si="14"/>
        <v>0</v>
      </c>
    </row>
    <row r="935" spans="1:20">
      <c r="A935" s="4">
        <v>44750</v>
      </c>
      <c r="B935">
        <v>2022</v>
      </c>
      <c r="C935">
        <v>7</v>
      </c>
      <c r="D935" s="5" t="s">
        <v>35</v>
      </c>
      <c r="E935" s="5" t="s">
        <v>76</v>
      </c>
      <c r="F935" s="5" t="s">
        <v>77</v>
      </c>
      <c r="G935" s="5" t="s">
        <v>78</v>
      </c>
      <c r="H935" s="5" t="s">
        <v>86</v>
      </c>
      <c r="I935" s="5" t="s">
        <v>40</v>
      </c>
      <c r="J935" s="5" t="s">
        <v>41</v>
      </c>
      <c r="K935">
        <v>60</v>
      </c>
      <c r="L935">
        <v>613133</v>
      </c>
      <c r="M935" s="26">
        <v>36787980</v>
      </c>
      <c r="N935">
        <v>19683</v>
      </c>
      <c r="O935" s="26">
        <v>4514924.6399999997</v>
      </c>
      <c r="P935" s="5" t="s">
        <v>50</v>
      </c>
      <c r="Q935" s="5" t="s">
        <v>51</v>
      </c>
      <c r="R935">
        <v>4.5999999999999996</v>
      </c>
      <c r="S935">
        <v>11</v>
      </c>
      <c r="T935">
        <f t="shared" si="14"/>
        <v>0</v>
      </c>
    </row>
    <row r="936" spans="1:20">
      <c r="A936" s="4">
        <v>44761</v>
      </c>
      <c r="B936">
        <v>2022</v>
      </c>
      <c r="C936">
        <v>7</v>
      </c>
      <c r="D936" s="5" t="s">
        <v>66</v>
      </c>
      <c r="E936" s="5" t="s">
        <v>67</v>
      </c>
      <c r="F936" s="5" t="s">
        <v>68</v>
      </c>
      <c r="G936" s="5" t="s">
        <v>69</v>
      </c>
      <c r="H936" s="5" t="s">
        <v>85</v>
      </c>
      <c r="I936" s="5" t="s">
        <v>58</v>
      </c>
      <c r="J936" s="5" t="s">
        <v>49</v>
      </c>
      <c r="K936">
        <v>58</v>
      </c>
      <c r="L936">
        <v>997178</v>
      </c>
      <c r="M936" s="26">
        <v>57836324</v>
      </c>
      <c r="N936">
        <v>42091</v>
      </c>
      <c r="O936" s="26">
        <v>5317890.67</v>
      </c>
      <c r="P936" s="5" t="s">
        <v>50</v>
      </c>
      <c r="Q936" s="5" t="s">
        <v>51</v>
      </c>
      <c r="R936">
        <v>3.8</v>
      </c>
      <c r="S936">
        <v>14</v>
      </c>
      <c r="T936">
        <f t="shared" si="14"/>
        <v>0</v>
      </c>
    </row>
    <row r="937" spans="1:20">
      <c r="A937" s="4">
        <v>44749</v>
      </c>
      <c r="B937">
        <v>2022</v>
      </c>
      <c r="C937">
        <v>7</v>
      </c>
      <c r="D937" s="5" t="s">
        <v>35</v>
      </c>
      <c r="E937" s="5" t="s">
        <v>36</v>
      </c>
      <c r="F937" s="5" t="s">
        <v>37</v>
      </c>
      <c r="G937" s="5" t="s">
        <v>38</v>
      </c>
      <c r="H937" s="5" t="s">
        <v>80</v>
      </c>
      <c r="I937" s="5" t="s">
        <v>81</v>
      </c>
      <c r="J937" s="5" t="s">
        <v>41</v>
      </c>
      <c r="K937">
        <v>12</v>
      </c>
      <c r="L937">
        <v>557282</v>
      </c>
      <c r="M937" s="26">
        <v>6687384</v>
      </c>
      <c r="N937">
        <v>39648</v>
      </c>
      <c r="O937" s="26">
        <v>603416.55000000005</v>
      </c>
      <c r="P937" s="5" t="s">
        <v>50</v>
      </c>
      <c r="Q937" s="5" t="s">
        <v>43</v>
      </c>
      <c r="R937">
        <v>3.8</v>
      </c>
      <c r="S937">
        <v>4</v>
      </c>
      <c r="T937">
        <f t="shared" si="14"/>
        <v>0</v>
      </c>
    </row>
    <row r="938" spans="1:20">
      <c r="A938" s="4">
        <v>44770</v>
      </c>
      <c r="B938">
        <v>2022</v>
      </c>
      <c r="C938">
        <v>7</v>
      </c>
      <c r="D938" s="5" t="s">
        <v>54</v>
      </c>
      <c r="E938" s="5" t="s">
        <v>70</v>
      </c>
      <c r="F938" s="5" t="s">
        <v>71</v>
      </c>
      <c r="G938" s="5" t="s">
        <v>72</v>
      </c>
      <c r="H938" s="5" t="s">
        <v>74</v>
      </c>
      <c r="I938" s="5" t="s">
        <v>40</v>
      </c>
      <c r="J938" s="5" t="s">
        <v>49</v>
      </c>
      <c r="K938">
        <v>36</v>
      </c>
      <c r="L938">
        <v>628195</v>
      </c>
      <c r="M938" s="26">
        <v>22615020</v>
      </c>
      <c r="N938">
        <v>34229</v>
      </c>
      <c r="O938" s="26">
        <v>2069247.01</v>
      </c>
      <c r="P938" s="5" t="s">
        <v>42</v>
      </c>
      <c r="Q938" s="5" t="s">
        <v>43</v>
      </c>
      <c r="R938">
        <v>3.7</v>
      </c>
      <c r="S938">
        <v>2</v>
      </c>
      <c r="T938">
        <f t="shared" si="14"/>
        <v>1</v>
      </c>
    </row>
    <row r="939" spans="1:20">
      <c r="A939" s="4">
        <v>44755</v>
      </c>
      <c r="B939">
        <v>2022</v>
      </c>
      <c r="C939">
        <v>7</v>
      </c>
      <c r="D939" s="5" t="s">
        <v>35</v>
      </c>
      <c r="E939" s="5" t="s">
        <v>36</v>
      </c>
      <c r="F939" s="5" t="s">
        <v>37</v>
      </c>
      <c r="G939" s="5" t="s">
        <v>38</v>
      </c>
      <c r="H939" s="5" t="s">
        <v>85</v>
      </c>
      <c r="I939" s="5" t="s">
        <v>58</v>
      </c>
      <c r="J939" s="5" t="s">
        <v>49</v>
      </c>
      <c r="K939">
        <v>44</v>
      </c>
      <c r="L939">
        <v>987011</v>
      </c>
      <c r="M939" s="26">
        <v>43428484</v>
      </c>
      <c r="N939">
        <v>21269</v>
      </c>
      <c r="O939" s="26">
        <v>4403565.3499999996</v>
      </c>
      <c r="P939" s="5" t="s">
        <v>42</v>
      </c>
      <c r="Q939" s="5" t="s">
        <v>75</v>
      </c>
      <c r="R939">
        <v>3.6</v>
      </c>
      <c r="S939">
        <v>16</v>
      </c>
      <c r="T939">
        <f t="shared" si="14"/>
        <v>1</v>
      </c>
    </row>
    <row r="940" spans="1:20">
      <c r="A940" s="4">
        <v>44762</v>
      </c>
      <c r="B940">
        <v>2022</v>
      </c>
      <c r="C940">
        <v>7</v>
      </c>
      <c r="D940" s="5" t="s">
        <v>44</v>
      </c>
      <c r="E940" s="5" t="s">
        <v>45</v>
      </c>
      <c r="F940" s="5" t="s">
        <v>46</v>
      </c>
      <c r="G940" s="5" t="s">
        <v>47</v>
      </c>
      <c r="H940" s="5" t="s">
        <v>79</v>
      </c>
      <c r="I940" s="5" t="s">
        <v>58</v>
      </c>
      <c r="J940" s="5" t="s">
        <v>49</v>
      </c>
      <c r="K940">
        <v>13</v>
      </c>
      <c r="L940">
        <v>926695</v>
      </c>
      <c r="M940" s="26">
        <v>12047035</v>
      </c>
      <c r="N940">
        <v>33518</v>
      </c>
      <c r="O940" s="26">
        <v>1168227.0900000001</v>
      </c>
      <c r="P940" s="5" t="s">
        <v>50</v>
      </c>
      <c r="Q940" s="5" t="s">
        <v>75</v>
      </c>
      <c r="R940">
        <v>3.9</v>
      </c>
      <c r="S940">
        <v>2</v>
      </c>
      <c r="T940">
        <f t="shared" si="14"/>
        <v>0</v>
      </c>
    </row>
    <row r="941" spans="1:20">
      <c r="A941" s="4">
        <v>44761</v>
      </c>
      <c r="B941">
        <v>2022</v>
      </c>
      <c r="C941">
        <v>7</v>
      </c>
      <c r="D941" s="5" t="s">
        <v>35</v>
      </c>
      <c r="E941" s="5" t="s">
        <v>76</v>
      </c>
      <c r="F941" s="5" t="s">
        <v>77</v>
      </c>
      <c r="G941" s="5" t="s">
        <v>78</v>
      </c>
      <c r="H941" s="5" t="s">
        <v>86</v>
      </c>
      <c r="I941" s="5" t="s">
        <v>40</v>
      </c>
      <c r="J941" s="5" t="s">
        <v>41</v>
      </c>
      <c r="K941">
        <v>50</v>
      </c>
      <c r="L941">
        <v>626181</v>
      </c>
      <c r="M941" s="26">
        <v>31309050</v>
      </c>
      <c r="N941">
        <v>18397</v>
      </c>
      <c r="O941" s="26">
        <v>4191326.7</v>
      </c>
      <c r="P941" s="5" t="s">
        <v>42</v>
      </c>
      <c r="Q941" s="5" t="s">
        <v>51</v>
      </c>
      <c r="R941">
        <v>3.7</v>
      </c>
      <c r="S941">
        <v>8</v>
      </c>
      <c r="T941">
        <f t="shared" si="14"/>
        <v>1</v>
      </c>
    </row>
    <row r="942" spans="1:20">
      <c r="A942" s="4">
        <v>44755</v>
      </c>
      <c r="B942">
        <v>2022</v>
      </c>
      <c r="C942">
        <v>7</v>
      </c>
      <c r="D942" s="5" t="s">
        <v>44</v>
      </c>
      <c r="E942" s="5" t="s">
        <v>82</v>
      </c>
      <c r="F942" s="5" t="s">
        <v>83</v>
      </c>
      <c r="G942" s="5" t="s">
        <v>84</v>
      </c>
      <c r="H942" s="5" t="s">
        <v>52</v>
      </c>
      <c r="I942" s="5" t="s">
        <v>53</v>
      </c>
      <c r="J942" s="5" t="s">
        <v>41</v>
      </c>
      <c r="K942">
        <v>29</v>
      </c>
      <c r="L942">
        <v>960659</v>
      </c>
      <c r="M942" s="26">
        <v>27859111</v>
      </c>
      <c r="N942">
        <v>6085</v>
      </c>
      <c r="O942" s="26">
        <v>4025547.45</v>
      </c>
      <c r="P942" s="5" t="s">
        <v>50</v>
      </c>
      <c r="Q942" s="5" t="s">
        <v>51</v>
      </c>
      <c r="R942">
        <v>4.5999999999999996</v>
      </c>
      <c r="S942">
        <v>11</v>
      </c>
      <c r="T942">
        <f t="shared" si="14"/>
        <v>0</v>
      </c>
    </row>
    <row r="943" spans="1:20">
      <c r="A943" s="4">
        <v>44763</v>
      </c>
      <c r="B943">
        <v>2022</v>
      </c>
      <c r="C943">
        <v>7</v>
      </c>
      <c r="D943" s="5" t="s">
        <v>54</v>
      </c>
      <c r="E943" s="5" t="s">
        <v>55</v>
      </c>
      <c r="F943" s="5" t="s">
        <v>55</v>
      </c>
      <c r="G943" s="5" t="s">
        <v>56</v>
      </c>
      <c r="H943" s="5" t="s">
        <v>63</v>
      </c>
      <c r="I943" s="5" t="s">
        <v>64</v>
      </c>
      <c r="J943" s="5" t="s">
        <v>41</v>
      </c>
      <c r="K943">
        <v>12</v>
      </c>
      <c r="L943">
        <v>742844</v>
      </c>
      <c r="M943" s="26">
        <v>8914128</v>
      </c>
      <c r="N943">
        <v>36034</v>
      </c>
      <c r="O943" s="26">
        <v>801429.85</v>
      </c>
      <c r="P943" s="5" t="s">
        <v>50</v>
      </c>
      <c r="Q943" s="5" t="s">
        <v>51</v>
      </c>
      <c r="R943">
        <v>4.8</v>
      </c>
      <c r="S943">
        <v>7</v>
      </c>
      <c r="T943">
        <f t="shared" si="14"/>
        <v>0</v>
      </c>
    </row>
    <row r="944" spans="1:20">
      <c r="A944" s="4">
        <v>44763</v>
      </c>
      <c r="B944">
        <v>2022</v>
      </c>
      <c r="C944">
        <v>7</v>
      </c>
      <c r="D944" s="5" t="s">
        <v>54</v>
      </c>
      <c r="E944" s="5" t="s">
        <v>55</v>
      </c>
      <c r="F944" s="5" t="s">
        <v>55</v>
      </c>
      <c r="G944" s="5" t="s">
        <v>56</v>
      </c>
      <c r="H944" s="5" t="s">
        <v>80</v>
      </c>
      <c r="I944" s="5" t="s">
        <v>81</v>
      </c>
      <c r="J944" s="5" t="s">
        <v>41</v>
      </c>
      <c r="K944">
        <v>29</v>
      </c>
      <c r="L944">
        <v>544668</v>
      </c>
      <c r="M944" s="26">
        <v>15795372</v>
      </c>
      <c r="N944">
        <v>42868</v>
      </c>
      <c r="O944" s="26">
        <v>1321081.6599999999</v>
      </c>
      <c r="P944" s="5" t="s">
        <v>50</v>
      </c>
      <c r="Q944" s="5" t="s">
        <v>51</v>
      </c>
      <c r="R944">
        <v>3.9</v>
      </c>
      <c r="S944">
        <v>21</v>
      </c>
      <c r="T944">
        <f t="shared" si="14"/>
        <v>0</v>
      </c>
    </row>
    <row r="945" spans="1:20">
      <c r="A945" s="4">
        <v>44751</v>
      </c>
      <c r="B945">
        <v>2022</v>
      </c>
      <c r="C945">
        <v>7</v>
      </c>
      <c r="D945" s="5" t="s">
        <v>66</v>
      </c>
      <c r="E945" s="5" t="s">
        <v>67</v>
      </c>
      <c r="F945" s="5" t="s">
        <v>68</v>
      </c>
      <c r="G945" s="5" t="s">
        <v>69</v>
      </c>
      <c r="H945" s="5" t="s">
        <v>86</v>
      </c>
      <c r="I945" s="5" t="s">
        <v>40</v>
      </c>
      <c r="J945" s="5" t="s">
        <v>41</v>
      </c>
      <c r="K945">
        <v>11</v>
      </c>
      <c r="L945">
        <v>593594</v>
      </c>
      <c r="M945" s="26">
        <v>6529534</v>
      </c>
      <c r="N945">
        <v>34301</v>
      </c>
      <c r="O945" s="26">
        <v>841951.5</v>
      </c>
      <c r="P945" s="5" t="s">
        <v>50</v>
      </c>
      <c r="Q945" s="5" t="s">
        <v>75</v>
      </c>
      <c r="R945">
        <v>4.2</v>
      </c>
      <c r="S945">
        <v>16</v>
      </c>
      <c r="T945">
        <f t="shared" si="14"/>
        <v>0</v>
      </c>
    </row>
    <row r="946" spans="1:20">
      <c r="A946" s="4">
        <v>44768</v>
      </c>
      <c r="B946">
        <v>2022</v>
      </c>
      <c r="C946">
        <v>7</v>
      </c>
      <c r="D946" s="5" t="s">
        <v>35</v>
      </c>
      <c r="E946" s="5" t="s">
        <v>76</v>
      </c>
      <c r="F946" s="5" t="s">
        <v>77</v>
      </c>
      <c r="G946" s="5" t="s">
        <v>78</v>
      </c>
      <c r="H946" s="5" t="s">
        <v>79</v>
      </c>
      <c r="I946" s="5" t="s">
        <v>58</v>
      </c>
      <c r="J946" s="5" t="s">
        <v>49</v>
      </c>
      <c r="K946">
        <v>45</v>
      </c>
      <c r="L946">
        <v>874599</v>
      </c>
      <c r="M946" s="26">
        <v>39356955</v>
      </c>
      <c r="N946">
        <v>17602</v>
      </c>
      <c r="O946" s="26">
        <v>5360669.12</v>
      </c>
      <c r="P946" s="5" t="s">
        <v>42</v>
      </c>
      <c r="Q946" s="5" t="s">
        <v>75</v>
      </c>
      <c r="R946">
        <v>4.2</v>
      </c>
      <c r="S946">
        <v>4</v>
      </c>
      <c r="T946">
        <f t="shared" si="14"/>
        <v>1</v>
      </c>
    </row>
    <row r="947" spans="1:20">
      <c r="A947" s="4">
        <v>44749</v>
      </c>
      <c r="B947">
        <v>2022</v>
      </c>
      <c r="C947">
        <v>7</v>
      </c>
      <c r="D947" s="5" t="s">
        <v>54</v>
      </c>
      <c r="E947" s="5" t="s">
        <v>55</v>
      </c>
      <c r="F947" s="5" t="s">
        <v>55</v>
      </c>
      <c r="G947" s="5" t="s">
        <v>56</v>
      </c>
      <c r="H947" s="5" t="s">
        <v>80</v>
      </c>
      <c r="I947" s="5" t="s">
        <v>81</v>
      </c>
      <c r="J947" s="5" t="s">
        <v>41</v>
      </c>
      <c r="K947">
        <v>60</v>
      </c>
      <c r="L947">
        <v>530106</v>
      </c>
      <c r="M947" s="26">
        <v>31806360</v>
      </c>
      <c r="N947">
        <v>14354</v>
      </c>
      <c r="O947" s="26">
        <v>3646380.22</v>
      </c>
      <c r="P947" s="5" t="s">
        <v>42</v>
      </c>
      <c r="Q947" s="5" t="s">
        <v>51</v>
      </c>
      <c r="R947">
        <v>3.6</v>
      </c>
      <c r="S947">
        <v>15</v>
      </c>
      <c r="T947">
        <f t="shared" si="14"/>
        <v>1</v>
      </c>
    </row>
    <row r="948" spans="1:20">
      <c r="A948" s="4">
        <v>44767</v>
      </c>
      <c r="B948">
        <v>2022</v>
      </c>
      <c r="C948">
        <v>7</v>
      </c>
      <c r="D948" s="5" t="s">
        <v>66</v>
      </c>
      <c r="E948" s="5" t="s">
        <v>67</v>
      </c>
      <c r="F948" s="5" t="s">
        <v>68</v>
      </c>
      <c r="G948" s="5" t="s">
        <v>69</v>
      </c>
      <c r="H948" s="5" t="s">
        <v>63</v>
      </c>
      <c r="I948" s="5" t="s">
        <v>64</v>
      </c>
      <c r="J948" s="5" t="s">
        <v>41</v>
      </c>
      <c r="K948">
        <v>49</v>
      </c>
      <c r="L948">
        <v>742422</v>
      </c>
      <c r="M948" s="26">
        <v>36378678</v>
      </c>
      <c r="N948">
        <v>32545</v>
      </c>
      <c r="O948" s="26">
        <v>3037348.99</v>
      </c>
      <c r="P948" s="5" t="s">
        <v>42</v>
      </c>
      <c r="Q948" s="5" t="s">
        <v>43</v>
      </c>
      <c r="R948">
        <v>4.0999999999999996</v>
      </c>
      <c r="S948">
        <v>11</v>
      </c>
      <c r="T948">
        <f t="shared" si="14"/>
        <v>1</v>
      </c>
    </row>
    <row r="949" spans="1:20">
      <c r="A949" s="4">
        <v>44745</v>
      </c>
      <c r="B949">
        <v>2022</v>
      </c>
      <c r="C949">
        <v>7</v>
      </c>
      <c r="D949" s="5" t="s">
        <v>44</v>
      </c>
      <c r="E949" s="5" t="s">
        <v>45</v>
      </c>
      <c r="F949" s="5" t="s">
        <v>46</v>
      </c>
      <c r="G949" s="5" t="s">
        <v>47</v>
      </c>
      <c r="H949" s="5" t="s">
        <v>52</v>
      </c>
      <c r="I949" s="5" t="s">
        <v>53</v>
      </c>
      <c r="J949" s="5" t="s">
        <v>41</v>
      </c>
      <c r="K949">
        <v>57</v>
      </c>
      <c r="L949">
        <v>970839</v>
      </c>
      <c r="M949" s="26">
        <v>55337823</v>
      </c>
      <c r="N949">
        <v>42113</v>
      </c>
      <c r="O949" s="26">
        <v>5053797.07</v>
      </c>
      <c r="P949" s="5" t="s">
        <v>50</v>
      </c>
      <c r="Q949" s="5" t="s">
        <v>75</v>
      </c>
      <c r="R949">
        <v>4.7</v>
      </c>
      <c r="S949">
        <v>12</v>
      </c>
      <c r="T949">
        <f t="shared" si="14"/>
        <v>0</v>
      </c>
    </row>
    <row r="950" spans="1:20">
      <c r="A950" s="4">
        <v>44758</v>
      </c>
      <c r="B950">
        <v>2022</v>
      </c>
      <c r="C950">
        <v>7</v>
      </c>
      <c r="D950" s="5" t="s">
        <v>66</v>
      </c>
      <c r="E950" s="5" t="s">
        <v>67</v>
      </c>
      <c r="F950" s="5" t="s">
        <v>68</v>
      </c>
      <c r="G950" s="5" t="s">
        <v>69</v>
      </c>
      <c r="H950" s="5" t="s">
        <v>65</v>
      </c>
      <c r="I950" s="5" t="s">
        <v>53</v>
      </c>
      <c r="J950" s="5" t="s">
        <v>49</v>
      </c>
      <c r="K950">
        <v>7</v>
      </c>
      <c r="L950">
        <v>1249137</v>
      </c>
      <c r="M950" s="26">
        <v>8743959</v>
      </c>
      <c r="N950">
        <v>12946</v>
      </c>
      <c r="O950" s="26">
        <v>1328303.8999999999</v>
      </c>
      <c r="P950" s="5" t="s">
        <v>42</v>
      </c>
      <c r="Q950" s="5" t="s">
        <v>75</v>
      </c>
      <c r="R950">
        <v>4.0999999999999996</v>
      </c>
      <c r="S950">
        <v>15</v>
      </c>
      <c r="T950">
        <f t="shared" si="14"/>
        <v>1</v>
      </c>
    </row>
    <row r="951" spans="1:20">
      <c r="A951" s="4">
        <v>44746</v>
      </c>
      <c r="B951">
        <v>2022</v>
      </c>
      <c r="C951">
        <v>7</v>
      </c>
      <c r="D951" s="5" t="s">
        <v>35</v>
      </c>
      <c r="E951" s="5" t="s">
        <v>76</v>
      </c>
      <c r="F951" s="5" t="s">
        <v>77</v>
      </c>
      <c r="G951" s="5" t="s">
        <v>78</v>
      </c>
      <c r="H951" s="5" t="s">
        <v>65</v>
      </c>
      <c r="I951" s="5" t="s">
        <v>53</v>
      </c>
      <c r="J951" s="5" t="s">
        <v>49</v>
      </c>
      <c r="K951">
        <v>60</v>
      </c>
      <c r="L951">
        <v>1244018</v>
      </c>
      <c r="M951" s="26">
        <v>74641080</v>
      </c>
      <c r="N951">
        <v>30425</v>
      </c>
      <c r="O951" s="26">
        <v>10500588.6</v>
      </c>
      <c r="P951" s="5" t="s">
        <v>42</v>
      </c>
      <c r="Q951" s="5" t="s">
        <v>51</v>
      </c>
      <c r="R951">
        <v>4.8</v>
      </c>
      <c r="S951">
        <v>12</v>
      </c>
      <c r="T951">
        <f t="shared" si="14"/>
        <v>1</v>
      </c>
    </row>
    <row r="952" spans="1:20">
      <c r="A952" s="4">
        <v>44787</v>
      </c>
      <c r="B952">
        <v>2022</v>
      </c>
      <c r="C952">
        <v>8</v>
      </c>
      <c r="D952" s="5" t="s">
        <v>35</v>
      </c>
      <c r="E952" s="5" t="s">
        <v>76</v>
      </c>
      <c r="F952" s="5" t="s">
        <v>77</v>
      </c>
      <c r="G952" s="5" t="s">
        <v>78</v>
      </c>
      <c r="H952" s="5" t="s">
        <v>74</v>
      </c>
      <c r="I952" s="5" t="s">
        <v>40</v>
      </c>
      <c r="J952" s="5" t="s">
        <v>49</v>
      </c>
      <c r="K952">
        <v>9</v>
      </c>
      <c r="L952">
        <v>637400</v>
      </c>
      <c r="M952" s="26">
        <v>5736600</v>
      </c>
      <c r="N952">
        <v>8756</v>
      </c>
      <c r="O952" s="26">
        <v>721691.6</v>
      </c>
      <c r="P952" s="5" t="s">
        <v>50</v>
      </c>
      <c r="Q952" s="5" t="s">
        <v>51</v>
      </c>
      <c r="R952">
        <v>4.4000000000000004</v>
      </c>
      <c r="S952">
        <v>8</v>
      </c>
      <c r="T952">
        <f t="shared" si="14"/>
        <v>0</v>
      </c>
    </row>
    <row r="953" spans="1:20">
      <c r="A953" s="4">
        <v>44790</v>
      </c>
      <c r="B953">
        <v>2022</v>
      </c>
      <c r="C953">
        <v>8</v>
      </c>
      <c r="D953" s="5" t="s">
        <v>54</v>
      </c>
      <c r="E953" s="5" t="s">
        <v>55</v>
      </c>
      <c r="F953" s="5" t="s">
        <v>55</v>
      </c>
      <c r="G953" s="5" t="s">
        <v>56</v>
      </c>
      <c r="H953" s="5" t="s">
        <v>73</v>
      </c>
      <c r="I953" s="5" t="s">
        <v>40</v>
      </c>
      <c r="J953" s="5" t="s">
        <v>49</v>
      </c>
      <c r="K953">
        <v>24</v>
      </c>
      <c r="L953">
        <v>732053</v>
      </c>
      <c r="M953" s="26">
        <v>17569272</v>
      </c>
      <c r="N953">
        <v>9426</v>
      </c>
      <c r="O953" s="26">
        <v>2280596.4300000002</v>
      </c>
      <c r="P953" s="5" t="s">
        <v>50</v>
      </c>
      <c r="Q953" s="5" t="s">
        <v>51</v>
      </c>
      <c r="R953">
        <v>4.7</v>
      </c>
      <c r="S953">
        <v>16</v>
      </c>
      <c r="T953">
        <f t="shared" si="14"/>
        <v>0</v>
      </c>
    </row>
    <row r="954" spans="1:20">
      <c r="A954" s="4">
        <v>44798</v>
      </c>
      <c r="B954">
        <v>2022</v>
      </c>
      <c r="C954">
        <v>8</v>
      </c>
      <c r="D954" s="5" t="s">
        <v>35</v>
      </c>
      <c r="E954" s="5" t="s">
        <v>36</v>
      </c>
      <c r="F954" s="5" t="s">
        <v>37</v>
      </c>
      <c r="G954" s="5" t="s">
        <v>38</v>
      </c>
      <c r="H954" s="5" t="s">
        <v>74</v>
      </c>
      <c r="I954" s="5" t="s">
        <v>40</v>
      </c>
      <c r="J954" s="5" t="s">
        <v>49</v>
      </c>
      <c r="K954">
        <v>45</v>
      </c>
      <c r="L954">
        <v>677325</v>
      </c>
      <c r="M954" s="26">
        <v>30479625</v>
      </c>
      <c r="N954">
        <v>8063</v>
      </c>
      <c r="O954" s="26">
        <v>4029980.37</v>
      </c>
      <c r="P954" s="5" t="s">
        <v>50</v>
      </c>
      <c r="Q954" s="5" t="s">
        <v>75</v>
      </c>
      <c r="R954">
        <v>3.8</v>
      </c>
      <c r="S954">
        <v>2</v>
      </c>
      <c r="T954">
        <f t="shared" si="14"/>
        <v>0</v>
      </c>
    </row>
    <row r="955" spans="1:20">
      <c r="A955" s="4">
        <v>44775</v>
      </c>
      <c r="B955">
        <v>2022</v>
      </c>
      <c r="C955">
        <v>8</v>
      </c>
      <c r="D955" s="5" t="s">
        <v>35</v>
      </c>
      <c r="E955" s="5" t="s">
        <v>60</v>
      </c>
      <c r="F955" s="5" t="s">
        <v>61</v>
      </c>
      <c r="G955" s="5" t="s">
        <v>62</v>
      </c>
      <c r="H955" s="5" t="s">
        <v>85</v>
      </c>
      <c r="I955" s="5" t="s">
        <v>58</v>
      </c>
      <c r="J955" s="5" t="s">
        <v>49</v>
      </c>
      <c r="K955">
        <v>32</v>
      </c>
      <c r="L955">
        <v>964989</v>
      </c>
      <c r="M955" s="26">
        <v>30879648</v>
      </c>
      <c r="N955">
        <v>47473</v>
      </c>
      <c r="O955" s="26">
        <v>2829279.97</v>
      </c>
      <c r="P955" s="5" t="s">
        <v>42</v>
      </c>
      <c r="Q955" s="5" t="s">
        <v>43</v>
      </c>
      <c r="R955">
        <v>5</v>
      </c>
      <c r="S955">
        <v>13</v>
      </c>
      <c r="T955">
        <f t="shared" si="14"/>
        <v>1</v>
      </c>
    </row>
    <row r="956" spans="1:20">
      <c r="A956" s="4">
        <v>44796</v>
      </c>
      <c r="B956">
        <v>2022</v>
      </c>
      <c r="C956">
        <v>8</v>
      </c>
      <c r="D956" s="5" t="s">
        <v>54</v>
      </c>
      <c r="E956" s="5" t="s">
        <v>55</v>
      </c>
      <c r="F956" s="5" t="s">
        <v>55</v>
      </c>
      <c r="G956" s="5" t="s">
        <v>56</v>
      </c>
      <c r="H956" s="5" t="s">
        <v>85</v>
      </c>
      <c r="I956" s="5" t="s">
        <v>58</v>
      </c>
      <c r="J956" s="5" t="s">
        <v>49</v>
      </c>
      <c r="K956">
        <v>35</v>
      </c>
      <c r="L956">
        <v>987439</v>
      </c>
      <c r="M956" s="26">
        <v>34560365</v>
      </c>
      <c r="N956">
        <v>31375</v>
      </c>
      <c r="O956" s="26">
        <v>5456412.1399999997</v>
      </c>
      <c r="P956" s="5" t="s">
        <v>42</v>
      </c>
      <c r="Q956" s="5" t="s">
        <v>43</v>
      </c>
      <c r="R956">
        <v>3.8</v>
      </c>
      <c r="S956">
        <v>13</v>
      </c>
      <c r="T956">
        <f t="shared" si="14"/>
        <v>1</v>
      </c>
    </row>
    <row r="957" spans="1:20">
      <c r="A957" s="4">
        <v>44786</v>
      </c>
      <c r="B957">
        <v>2022</v>
      </c>
      <c r="C957">
        <v>8</v>
      </c>
      <c r="D957" s="5" t="s">
        <v>44</v>
      </c>
      <c r="E957" s="5" t="s">
        <v>82</v>
      </c>
      <c r="F957" s="5" t="s">
        <v>83</v>
      </c>
      <c r="G957" s="5" t="s">
        <v>84</v>
      </c>
      <c r="H957" s="5" t="s">
        <v>73</v>
      </c>
      <c r="I957" s="5" t="s">
        <v>40</v>
      </c>
      <c r="J957" s="5" t="s">
        <v>49</v>
      </c>
      <c r="K957">
        <v>5</v>
      </c>
      <c r="L957">
        <v>741854</v>
      </c>
      <c r="M957" s="26">
        <v>3709270</v>
      </c>
      <c r="N957">
        <v>43190</v>
      </c>
      <c r="O957" s="26">
        <v>452289.82</v>
      </c>
      <c r="P957" s="5" t="s">
        <v>42</v>
      </c>
      <c r="Q957" s="5" t="s">
        <v>51</v>
      </c>
      <c r="R957">
        <v>4.4000000000000004</v>
      </c>
      <c r="S957">
        <v>20</v>
      </c>
      <c r="T957">
        <f t="shared" si="14"/>
        <v>1</v>
      </c>
    </row>
    <row r="958" spans="1:20">
      <c r="A958" s="4">
        <v>44785</v>
      </c>
      <c r="B958">
        <v>2022</v>
      </c>
      <c r="C958">
        <v>8</v>
      </c>
      <c r="D958" s="5" t="s">
        <v>44</v>
      </c>
      <c r="E958" s="5" t="s">
        <v>45</v>
      </c>
      <c r="F958" s="5" t="s">
        <v>46</v>
      </c>
      <c r="G958" s="5" t="s">
        <v>47</v>
      </c>
      <c r="H958" s="5" t="s">
        <v>86</v>
      </c>
      <c r="I958" s="5" t="s">
        <v>40</v>
      </c>
      <c r="J958" s="5" t="s">
        <v>41</v>
      </c>
      <c r="K958">
        <v>51</v>
      </c>
      <c r="L958">
        <v>580698</v>
      </c>
      <c r="M958" s="26">
        <v>29615598</v>
      </c>
      <c r="N958">
        <v>23232</v>
      </c>
      <c r="O958" s="26">
        <v>3875415.27</v>
      </c>
      <c r="P958" s="5" t="s">
        <v>50</v>
      </c>
      <c r="Q958" s="5" t="s">
        <v>43</v>
      </c>
      <c r="R958">
        <v>3.8</v>
      </c>
      <c r="S958">
        <v>4</v>
      </c>
      <c r="T958">
        <f t="shared" si="14"/>
        <v>0</v>
      </c>
    </row>
    <row r="959" spans="1:20">
      <c r="A959" s="4">
        <v>44778</v>
      </c>
      <c r="B959">
        <v>2022</v>
      </c>
      <c r="C959">
        <v>8</v>
      </c>
      <c r="D959" s="5" t="s">
        <v>35</v>
      </c>
      <c r="E959" s="5" t="s">
        <v>60</v>
      </c>
      <c r="F959" s="5" t="s">
        <v>61</v>
      </c>
      <c r="G959" s="5" t="s">
        <v>62</v>
      </c>
      <c r="H959" s="5" t="s">
        <v>74</v>
      </c>
      <c r="I959" s="5" t="s">
        <v>40</v>
      </c>
      <c r="J959" s="5" t="s">
        <v>49</v>
      </c>
      <c r="K959">
        <v>14</v>
      </c>
      <c r="L959">
        <v>664766</v>
      </c>
      <c r="M959" s="26">
        <v>9306724</v>
      </c>
      <c r="N959">
        <v>8313</v>
      </c>
      <c r="O959" s="26">
        <v>1467191.51</v>
      </c>
      <c r="P959" s="5" t="s">
        <v>42</v>
      </c>
      <c r="Q959" s="5" t="s">
        <v>75</v>
      </c>
      <c r="R959">
        <v>4.9000000000000004</v>
      </c>
      <c r="S959">
        <v>6</v>
      </c>
      <c r="T959">
        <f t="shared" si="14"/>
        <v>1</v>
      </c>
    </row>
    <row r="960" spans="1:20">
      <c r="A960" s="4">
        <v>44777</v>
      </c>
      <c r="B960">
        <v>2022</v>
      </c>
      <c r="C960">
        <v>8</v>
      </c>
      <c r="D960" s="5" t="s">
        <v>35</v>
      </c>
      <c r="E960" s="5" t="s">
        <v>36</v>
      </c>
      <c r="F960" s="5" t="s">
        <v>37</v>
      </c>
      <c r="G960" s="5" t="s">
        <v>38</v>
      </c>
      <c r="H960" s="5" t="s">
        <v>39</v>
      </c>
      <c r="I960" s="5" t="s">
        <v>40</v>
      </c>
      <c r="J960" s="5" t="s">
        <v>41</v>
      </c>
      <c r="K960">
        <v>13</v>
      </c>
      <c r="L960">
        <v>570583</v>
      </c>
      <c r="M960" s="26">
        <v>7417579</v>
      </c>
      <c r="N960">
        <v>42711</v>
      </c>
      <c r="O960" s="26">
        <v>733404.13</v>
      </c>
      <c r="P960" s="5" t="s">
        <v>42</v>
      </c>
      <c r="Q960" s="5" t="s">
        <v>43</v>
      </c>
      <c r="R960">
        <v>3.7</v>
      </c>
      <c r="S960">
        <v>3</v>
      </c>
      <c r="T960">
        <f t="shared" si="14"/>
        <v>1</v>
      </c>
    </row>
    <row r="961" spans="1:20">
      <c r="A961" s="4">
        <v>44778</v>
      </c>
      <c r="B961">
        <v>2022</v>
      </c>
      <c r="C961">
        <v>8</v>
      </c>
      <c r="D961" s="5" t="s">
        <v>35</v>
      </c>
      <c r="E961" s="5" t="s">
        <v>36</v>
      </c>
      <c r="F961" s="5" t="s">
        <v>37</v>
      </c>
      <c r="G961" s="5" t="s">
        <v>38</v>
      </c>
      <c r="H961" s="5" t="s">
        <v>73</v>
      </c>
      <c r="I961" s="5" t="s">
        <v>40</v>
      </c>
      <c r="J961" s="5" t="s">
        <v>49</v>
      </c>
      <c r="K961">
        <v>8</v>
      </c>
      <c r="L961">
        <v>730587</v>
      </c>
      <c r="M961" s="26">
        <v>5844696</v>
      </c>
      <c r="N961">
        <v>20638</v>
      </c>
      <c r="O961" s="26">
        <v>489524.4</v>
      </c>
      <c r="P961" s="5" t="s">
        <v>50</v>
      </c>
      <c r="Q961" s="5" t="s">
        <v>51</v>
      </c>
      <c r="R961">
        <v>4.5</v>
      </c>
      <c r="S961">
        <v>16</v>
      </c>
      <c r="T961">
        <f t="shared" si="14"/>
        <v>0</v>
      </c>
    </row>
    <row r="962" spans="1:20">
      <c r="A962" s="4">
        <v>44799</v>
      </c>
      <c r="B962">
        <v>2022</v>
      </c>
      <c r="C962">
        <v>8</v>
      </c>
      <c r="D962" s="5" t="s">
        <v>54</v>
      </c>
      <c r="E962" s="5" t="s">
        <v>55</v>
      </c>
      <c r="F962" s="5" t="s">
        <v>55</v>
      </c>
      <c r="G962" s="5" t="s">
        <v>56</v>
      </c>
      <c r="H962" s="5" t="s">
        <v>79</v>
      </c>
      <c r="I962" s="5" t="s">
        <v>58</v>
      </c>
      <c r="J962" s="5" t="s">
        <v>49</v>
      </c>
      <c r="K962">
        <v>5</v>
      </c>
      <c r="L962">
        <v>878053</v>
      </c>
      <c r="M962" s="26">
        <v>4390265</v>
      </c>
      <c r="N962">
        <v>16781</v>
      </c>
      <c r="O962" s="26">
        <v>379230.9</v>
      </c>
      <c r="P962" s="5" t="s">
        <v>50</v>
      </c>
      <c r="Q962" s="5" t="s">
        <v>43</v>
      </c>
      <c r="R962">
        <v>4.2</v>
      </c>
      <c r="S962">
        <v>21</v>
      </c>
      <c r="T962">
        <f t="shared" ref="T962:T1025" si="15">IF(AND(OR($B962=Sel_Year,Sel_Year="All"),OR($C962=Sel_Month,Sel_Month="All"),OR($D962=Sel_Region,Sel_Region="All"),OR($E962=Sel_State,Sel_State="All"),OR($F962=Sel_City,Sel_City="All"),OR($G962=Sel_Dealer,Sel_Dealer="All"),OR($H962=Sel_Model,Sel_Model="All"),OR($I962=Sel_Segment,Sel_Segment="All"),OR($J962=Sel_Fuel,Sel_Fuel="All"),OR($P962=Sel_CustType,Sel_CustType="All"),OR($Q962=Sel_Payment,Sel_Payment="All")),1,0)</f>
        <v>0</v>
      </c>
    </row>
    <row r="963" spans="1:20">
      <c r="A963" s="4">
        <v>44790</v>
      </c>
      <c r="B963">
        <v>2022</v>
      </c>
      <c r="C963">
        <v>8</v>
      </c>
      <c r="D963" s="5" t="s">
        <v>35</v>
      </c>
      <c r="E963" s="5" t="s">
        <v>60</v>
      </c>
      <c r="F963" s="5" t="s">
        <v>61</v>
      </c>
      <c r="G963" s="5" t="s">
        <v>62</v>
      </c>
      <c r="H963" s="5" t="s">
        <v>63</v>
      </c>
      <c r="I963" s="5" t="s">
        <v>64</v>
      </c>
      <c r="J963" s="5" t="s">
        <v>41</v>
      </c>
      <c r="K963">
        <v>52</v>
      </c>
      <c r="L963">
        <v>761600</v>
      </c>
      <c r="M963" s="26">
        <v>39603200</v>
      </c>
      <c r="N963">
        <v>41401</v>
      </c>
      <c r="O963" s="26">
        <v>5841654.1399999997</v>
      </c>
      <c r="P963" s="5" t="s">
        <v>50</v>
      </c>
      <c r="Q963" s="5" t="s">
        <v>75</v>
      </c>
      <c r="R963">
        <v>4</v>
      </c>
      <c r="S963">
        <v>19</v>
      </c>
      <c r="T963">
        <f t="shared" si="15"/>
        <v>0</v>
      </c>
    </row>
    <row r="964" spans="1:20">
      <c r="A964" s="4">
        <v>44788</v>
      </c>
      <c r="B964">
        <v>2022</v>
      </c>
      <c r="C964">
        <v>8</v>
      </c>
      <c r="D964" s="5" t="s">
        <v>66</v>
      </c>
      <c r="E964" s="5" t="s">
        <v>67</v>
      </c>
      <c r="F964" s="5" t="s">
        <v>68</v>
      </c>
      <c r="G964" s="5" t="s">
        <v>69</v>
      </c>
      <c r="H964" s="5" t="s">
        <v>48</v>
      </c>
      <c r="I964" s="5" t="s">
        <v>40</v>
      </c>
      <c r="J964" s="5" t="s">
        <v>49</v>
      </c>
      <c r="K964">
        <v>6</v>
      </c>
      <c r="L964">
        <v>439452</v>
      </c>
      <c r="M964" s="26">
        <v>2636712</v>
      </c>
      <c r="N964">
        <v>42836</v>
      </c>
      <c r="O964" s="26">
        <v>361769.15</v>
      </c>
      <c r="P964" s="5" t="s">
        <v>50</v>
      </c>
      <c r="Q964" s="5" t="s">
        <v>51</v>
      </c>
      <c r="R964">
        <v>4.5</v>
      </c>
      <c r="S964">
        <v>6</v>
      </c>
      <c r="T964">
        <f t="shared" si="15"/>
        <v>0</v>
      </c>
    </row>
    <row r="965" spans="1:20">
      <c r="A965" s="4">
        <v>44774</v>
      </c>
      <c r="B965">
        <v>2022</v>
      </c>
      <c r="C965">
        <v>8</v>
      </c>
      <c r="D965" s="5" t="s">
        <v>35</v>
      </c>
      <c r="E965" s="5" t="s">
        <v>36</v>
      </c>
      <c r="F965" s="5" t="s">
        <v>37</v>
      </c>
      <c r="G965" s="5" t="s">
        <v>38</v>
      </c>
      <c r="H965" s="5" t="s">
        <v>86</v>
      </c>
      <c r="I965" s="5" t="s">
        <v>40</v>
      </c>
      <c r="J965" s="5" t="s">
        <v>41</v>
      </c>
      <c r="K965">
        <v>9</v>
      </c>
      <c r="L965">
        <v>590818</v>
      </c>
      <c r="M965" s="26">
        <v>5317362</v>
      </c>
      <c r="N965">
        <v>19280</v>
      </c>
      <c r="O965" s="26">
        <v>637726.22</v>
      </c>
      <c r="P965" s="5" t="s">
        <v>50</v>
      </c>
      <c r="Q965" s="5" t="s">
        <v>43</v>
      </c>
      <c r="R965">
        <v>4.5999999999999996</v>
      </c>
      <c r="S965">
        <v>2</v>
      </c>
      <c r="T965">
        <f t="shared" si="15"/>
        <v>0</v>
      </c>
    </row>
    <row r="966" spans="1:20">
      <c r="A966" s="4">
        <v>44790</v>
      </c>
      <c r="B966">
        <v>2022</v>
      </c>
      <c r="C966">
        <v>8</v>
      </c>
      <c r="D966" s="5" t="s">
        <v>54</v>
      </c>
      <c r="E966" s="5" t="s">
        <v>70</v>
      </c>
      <c r="F966" s="5" t="s">
        <v>71</v>
      </c>
      <c r="G966" s="5" t="s">
        <v>72</v>
      </c>
      <c r="H966" s="5" t="s">
        <v>39</v>
      </c>
      <c r="I966" s="5" t="s">
        <v>40</v>
      </c>
      <c r="J966" s="5" t="s">
        <v>41</v>
      </c>
      <c r="K966">
        <v>47</v>
      </c>
      <c r="L966">
        <v>566375</v>
      </c>
      <c r="M966" s="26">
        <v>26619625</v>
      </c>
      <c r="N966">
        <v>13504</v>
      </c>
      <c r="O966" s="26">
        <v>2557856.2400000002</v>
      </c>
      <c r="P966" s="5" t="s">
        <v>42</v>
      </c>
      <c r="Q966" s="5" t="s">
        <v>75</v>
      </c>
      <c r="R966">
        <v>4.5999999999999996</v>
      </c>
      <c r="S966">
        <v>12</v>
      </c>
      <c r="T966">
        <f t="shared" si="15"/>
        <v>1</v>
      </c>
    </row>
    <row r="967" spans="1:20">
      <c r="A967" s="4">
        <v>44785</v>
      </c>
      <c r="B967">
        <v>2022</v>
      </c>
      <c r="C967">
        <v>8</v>
      </c>
      <c r="D967" s="5" t="s">
        <v>35</v>
      </c>
      <c r="E967" s="5" t="s">
        <v>36</v>
      </c>
      <c r="F967" s="5" t="s">
        <v>37</v>
      </c>
      <c r="G967" s="5" t="s">
        <v>38</v>
      </c>
      <c r="H967" s="5" t="s">
        <v>79</v>
      </c>
      <c r="I967" s="5" t="s">
        <v>58</v>
      </c>
      <c r="J967" s="5" t="s">
        <v>49</v>
      </c>
      <c r="K967">
        <v>58</v>
      </c>
      <c r="L967">
        <v>898938</v>
      </c>
      <c r="M967" s="26">
        <v>52138404</v>
      </c>
      <c r="N967">
        <v>16092</v>
      </c>
      <c r="O967" s="26">
        <v>5811149.2599999998</v>
      </c>
      <c r="P967" s="5" t="s">
        <v>42</v>
      </c>
      <c r="Q967" s="5" t="s">
        <v>43</v>
      </c>
      <c r="R967">
        <v>3.8</v>
      </c>
      <c r="S967">
        <v>13</v>
      </c>
      <c r="T967">
        <f t="shared" si="15"/>
        <v>1</v>
      </c>
    </row>
    <row r="968" spans="1:20">
      <c r="A968" s="4">
        <v>44778</v>
      </c>
      <c r="B968">
        <v>2022</v>
      </c>
      <c r="C968">
        <v>8</v>
      </c>
      <c r="D968" s="5" t="s">
        <v>44</v>
      </c>
      <c r="E968" s="5" t="s">
        <v>45</v>
      </c>
      <c r="F968" s="5" t="s">
        <v>46</v>
      </c>
      <c r="G968" s="5" t="s">
        <v>47</v>
      </c>
      <c r="H968" s="5" t="s">
        <v>52</v>
      </c>
      <c r="I968" s="5" t="s">
        <v>53</v>
      </c>
      <c r="J968" s="5" t="s">
        <v>41</v>
      </c>
      <c r="K968">
        <v>44</v>
      </c>
      <c r="L968">
        <v>963262</v>
      </c>
      <c r="M968" s="26">
        <v>42383528</v>
      </c>
      <c r="N968">
        <v>15841</v>
      </c>
      <c r="O968" s="26">
        <v>5883165.7199999997</v>
      </c>
      <c r="P968" s="5" t="s">
        <v>42</v>
      </c>
      <c r="Q968" s="5" t="s">
        <v>75</v>
      </c>
      <c r="R968">
        <v>4.9000000000000004</v>
      </c>
      <c r="S968">
        <v>18</v>
      </c>
      <c r="T968">
        <f t="shared" si="15"/>
        <v>1</v>
      </c>
    </row>
    <row r="969" spans="1:20">
      <c r="A969" s="4">
        <v>44794</v>
      </c>
      <c r="B969">
        <v>2022</v>
      </c>
      <c r="C969">
        <v>8</v>
      </c>
      <c r="D969" s="5" t="s">
        <v>44</v>
      </c>
      <c r="E969" s="5" t="s">
        <v>82</v>
      </c>
      <c r="F969" s="5" t="s">
        <v>83</v>
      </c>
      <c r="G969" s="5" t="s">
        <v>84</v>
      </c>
      <c r="H969" s="5" t="s">
        <v>39</v>
      </c>
      <c r="I969" s="5" t="s">
        <v>40</v>
      </c>
      <c r="J969" s="5" t="s">
        <v>41</v>
      </c>
      <c r="K969">
        <v>20</v>
      </c>
      <c r="L969">
        <v>564661</v>
      </c>
      <c r="M969" s="26">
        <v>11293220</v>
      </c>
      <c r="N969">
        <v>46447</v>
      </c>
      <c r="O969" s="26">
        <v>1323840.68</v>
      </c>
      <c r="P969" s="5" t="s">
        <v>42</v>
      </c>
      <c r="Q969" s="5" t="s">
        <v>51</v>
      </c>
      <c r="R969">
        <v>3.9</v>
      </c>
      <c r="S969">
        <v>17</v>
      </c>
      <c r="T969">
        <f t="shared" si="15"/>
        <v>1</v>
      </c>
    </row>
    <row r="970" spans="1:20">
      <c r="A970" s="4">
        <v>44790</v>
      </c>
      <c r="B970">
        <v>2022</v>
      </c>
      <c r="C970">
        <v>8</v>
      </c>
      <c r="D970" s="5" t="s">
        <v>54</v>
      </c>
      <c r="E970" s="5" t="s">
        <v>70</v>
      </c>
      <c r="F970" s="5" t="s">
        <v>71</v>
      </c>
      <c r="G970" s="5" t="s">
        <v>72</v>
      </c>
      <c r="H970" s="5" t="s">
        <v>86</v>
      </c>
      <c r="I970" s="5" t="s">
        <v>40</v>
      </c>
      <c r="J970" s="5" t="s">
        <v>41</v>
      </c>
      <c r="K970">
        <v>28</v>
      </c>
      <c r="L970">
        <v>590317</v>
      </c>
      <c r="M970" s="26">
        <v>16528876</v>
      </c>
      <c r="N970">
        <v>5256</v>
      </c>
      <c r="O970" s="26">
        <v>2188469.19</v>
      </c>
      <c r="P970" s="5" t="s">
        <v>42</v>
      </c>
      <c r="Q970" s="5" t="s">
        <v>43</v>
      </c>
      <c r="R970">
        <v>5</v>
      </c>
      <c r="S970">
        <v>13</v>
      </c>
      <c r="T970">
        <f t="shared" si="15"/>
        <v>1</v>
      </c>
    </row>
    <row r="971" spans="1:20">
      <c r="A971" s="4">
        <v>44792</v>
      </c>
      <c r="B971">
        <v>2022</v>
      </c>
      <c r="C971">
        <v>8</v>
      </c>
      <c r="D971" s="5" t="s">
        <v>35</v>
      </c>
      <c r="E971" s="5" t="s">
        <v>36</v>
      </c>
      <c r="F971" s="5" t="s">
        <v>37</v>
      </c>
      <c r="G971" s="5" t="s">
        <v>38</v>
      </c>
      <c r="H971" s="5" t="s">
        <v>86</v>
      </c>
      <c r="I971" s="5" t="s">
        <v>40</v>
      </c>
      <c r="J971" s="5" t="s">
        <v>41</v>
      </c>
      <c r="K971">
        <v>48</v>
      </c>
      <c r="L971">
        <v>607433</v>
      </c>
      <c r="M971" s="26">
        <v>29156784</v>
      </c>
      <c r="N971">
        <v>12677</v>
      </c>
      <c r="O971" s="26">
        <v>2528849.06</v>
      </c>
      <c r="P971" s="5" t="s">
        <v>50</v>
      </c>
      <c r="Q971" s="5" t="s">
        <v>75</v>
      </c>
      <c r="R971">
        <v>4.7</v>
      </c>
      <c r="S971">
        <v>9</v>
      </c>
      <c r="T971">
        <f t="shared" si="15"/>
        <v>0</v>
      </c>
    </row>
    <row r="972" spans="1:20">
      <c r="A972" s="4">
        <v>44791</v>
      </c>
      <c r="B972">
        <v>2022</v>
      </c>
      <c r="C972">
        <v>8</v>
      </c>
      <c r="D972" s="5" t="s">
        <v>54</v>
      </c>
      <c r="E972" s="5" t="s">
        <v>70</v>
      </c>
      <c r="F972" s="5" t="s">
        <v>71</v>
      </c>
      <c r="G972" s="5" t="s">
        <v>72</v>
      </c>
      <c r="H972" s="5" t="s">
        <v>74</v>
      </c>
      <c r="I972" s="5" t="s">
        <v>40</v>
      </c>
      <c r="J972" s="5" t="s">
        <v>49</v>
      </c>
      <c r="K972">
        <v>19</v>
      </c>
      <c r="L972">
        <v>644203</v>
      </c>
      <c r="M972" s="26">
        <v>12239857</v>
      </c>
      <c r="N972">
        <v>31968</v>
      </c>
      <c r="O972" s="26">
        <v>1386163.52</v>
      </c>
      <c r="P972" s="5" t="s">
        <v>42</v>
      </c>
      <c r="Q972" s="5" t="s">
        <v>43</v>
      </c>
      <c r="R972">
        <v>4.0999999999999996</v>
      </c>
      <c r="S972">
        <v>2</v>
      </c>
      <c r="T972">
        <f t="shared" si="15"/>
        <v>1</v>
      </c>
    </row>
    <row r="973" spans="1:20">
      <c r="A973" s="4">
        <v>44792</v>
      </c>
      <c r="B973">
        <v>2022</v>
      </c>
      <c r="C973">
        <v>8</v>
      </c>
      <c r="D973" s="5" t="s">
        <v>54</v>
      </c>
      <c r="E973" s="5" t="s">
        <v>70</v>
      </c>
      <c r="F973" s="5" t="s">
        <v>71</v>
      </c>
      <c r="G973" s="5" t="s">
        <v>72</v>
      </c>
      <c r="H973" s="5" t="s">
        <v>48</v>
      </c>
      <c r="I973" s="5" t="s">
        <v>40</v>
      </c>
      <c r="J973" s="5" t="s">
        <v>49</v>
      </c>
      <c r="K973">
        <v>50</v>
      </c>
      <c r="L973">
        <v>457593</v>
      </c>
      <c r="M973" s="26">
        <v>22879650</v>
      </c>
      <c r="N973">
        <v>30326</v>
      </c>
      <c r="O973" s="26">
        <v>1961988.62</v>
      </c>
      <c r="P973" s="5" t="s">
        <v>50</v>
      </c>
      <c r="Q973" s="5" t="s">
        <v>43</v>
      </c>
      <c r="R973">
        <v>4.2</v>
      </c>
      <c r="S973">
        <v>5</v>
      </c>
      <c r="T973">
        <f t="shared" si="15"/>
        <v>0</v>
      </c>
    </row>
    <row r="974" spans="1:20">
      <c r="A974" s="4">
        <v>44778</v>
      </c>
      <c r="B974">
        <v>2022</v>
      </c>
      <c r="C974">
        <v>8</v>
      </c>
      <c r="D974" s="5" t="s">
        <v>66</v>
      </c>
      <c r="E974" s="5" t="s">
        <v>67</v>
      </c>
      <c r="F974" s="5" t="s">
        <v>68</v>
      </c>
      <c r="G974" s="5" t="s">
        <v>69</v>
      </c>
      <c r="H974" s="5" t="s">
        <v>63</v>
      </c>
      <c r="I974" s="5" t="s">
        <v>64</v>
      </c>
      <c r="J974" s="5" t="s">
        <v>41</v>
      </c>
      <c r="K974">
        <v>55</v>
      </c>
      <c r="L974">
        <v>774360</v>
      </c>
      <c r="M974" s="26">
        <v>42589800</v>
      </c>
      <c r="N974">
        <v>36536</v>
      </c>
      <c r="O974" s="26">
        <v>4881837.5999999996</v>
      </c>
      <c r="P974" s="5" t="s">
        <v>50</v>
      </c>
      <c r="Q974" s="5" t="s">
        <v>43</v>
      </c>
      <c r="R974">
        <v>4.4000000000000004</v>
      </c>
      <c r="S974">
        <v>8</v>
      </c>
      <c r="T974">
        <f t="shared" si="15"/>
        <v>0</v>
      </c>
    </row>
    <row r="975" spans="1:20">
      <c r="A975" s="4">
        <v>44777</v>
      </c>
      <c r="B975">
        <v>2022</v>
      </c>
      <c r="C975">
        <v>8</v>
      </c>
      <c r="D975" s="5" t="s">
        <v>66</v>
      </c>
      <c r="E975" s="5" t="s">
        <v>67</v>
      </c>
      <c r="F975" s="5" t="s">
        <v>68</v>
      </c>
      <c r="G975" s="5" t="s">
        <v>69</v>
      </c>
      <c r="H975" s="5" t="s">
        <v>86</v>
      </c>
      <c r="I975" s="5" t="s">
        <v>40</v>
      </c>
      <c r="J975" s="5" t="s">
        <v>41</v>
      </c>
      <c r="K975">
        <v>38</v>
      </c>
      <c r="L975">
        <v>590920</v>
      </c>
      <c r="M975" s="26">
        <v>22454960</v>
      </c>
      <c r="N975">
        <v>7053</v>
      </c>
      <c r="O975" s="26">
        <v>2099822.6800000002</v>
      </c>
      <c r="P975" s="5" t="s">
        <v>50</v>
      </c>
      <c r="Q975" s="5" t="s">
        <v>51</v>
      </c>
      <c r="R975">
        <v>4.4000000000000004</v>
      </c>
      <c r="S975">
        <v>8</v>
      </c>
      <c r="T975">
        <f t="shared" si="15"/>
        <v>0</v>
      </c>
    </row>
    <row r="976" spans="1:20">
      <c r="A976" s="4">
        <v>44801</v>
      </c>
      <c r="B976">
        <v>2022</v>
      </c>
      <c r="C976">
        <v>8</v>
      </c>
      <c r="D976" s="5" t="s">
        <v>54</v>
      </c>
      <c r="E976" s="5" t="s">
        <v>55</v>
      </c>
      <c r="F976" s="5" t="s">
        <v>55</v>
      </c>
      <c r="G976" s="5" t="s">
        <v>56</v>
      </c>
      <c r="H976" s="5" t="s">
        <v>80</v>
      </c>
      <c r="I976" s="5" t="s">
        <v>81</v>
      </c>
      <c r="J976" s="5" t="s">
        <v>41</v>
      </c>
      <c r="K976">
        <v>36</v>
      </c>
      <c r="L976">
        <v>571629</v>
      </c>
      <c r="M976" s="26">
        <v>20578644</v>
      </c>
      <c r="N976">
        <v>25531</v>
      </c>
      <c r="O976" s="26">
        <v>2421201.5499999998</v>
      </c>
      <c r="P976" s="5" t="s">
        <v>42</v>
      </c>
      <c r="Q976" s="5" t="s">
        <v>75</v>
      </c>
      <c r="R976">
        <v>4.4000000000000004</v>
      </c>
      <c r="S976">
        <v>9</v>
      </c>
      <c r="T976">
        <f t="shared" si="15"/>
        <v>1</v>
      </c>
    </row>
    <row r="977" spans="1:20">
      <c r="A977" s="4">
        <v>44774</v>
      </c>
      <c r="B977">
        <v>2022</v>
      </c>
      <c r="C977">
        <v>8</v>
      </c>
      <c r="D977" s="5" t="s">
        <v>54</v>
      </c>
      <c r="E977" s="5" t="s">
        <v>55</v>
      </c>
      <c r="F977" s="5" t="s">
        <v>55</v>
      </c>
      <c r="G977" s="5" t="s">
        <v>56</v>
      </c>
      <c r="H977" s="5" t="s">
        <v>63</v>
      </c>
      <c r="I977" s="5" t="s">
        <v>64</v>
      </c>
      <c r="J977" s="5" t="s">
        <v>41</v>
      </c>
      <c r="K977">
        <v>58</v>
      </c>
      <c r="L977">
        <v>735563</v>
      </c>
      <c r="M977" s="26">
        <v>42662654</v>
      </c>
      <c r="N977">
        <v>6620</v>
      </c>
      <c r="O977" s="26">
        <v>3530720.59</v>
      </c>
      <c r="P977" s="5" t="s">
        <v>42</v>
      </c>
      <c r="Q977" s="5" t="s">
        <v>75</v>
      </c>
      <c r="R977">
        <v>4.4000000000000004</v>
      </c>
      <c r="S977">
        <v>12</v>
      </c>
      <c r="T977">
        <f t="shared" si="15"/>
        <v>1</v>
      </c>
    </row>
    <row r="978" spans="1:20">
      <c r="A978" s="4">
        <v>44798</v>
      </c>
      <c r="B978">
        <v>2022</v>
      </c>
      <c r="C978">
        <v>8</v>
      </c>
      <c r="D978" s="5" t="s">
        <v>54</v>
      </c>
      <c r="E978" s="5" t="s">
        <v>70</v>
      </c>
      <c r="F978" s="5" t="s">
        <v>71</v>
      </c>
      <c r="G978" s="5" t="s">
        <v>72</v>
      </c>
      <c r="H978" s="5" t="s">
        <v>73</v>
      </c>
      <c r="I978" s="5" t="s">
        <v>40</v>
      </c>
      <c r="J978" s="5" t="s">
        <v>49</v>
      </c>
      <c r="K978">
        <v>13</v>
      </c>
      <c r="L978">
        <v>708891</v>
      </c>
      <c r="M978" s="26">
        <v>9215583</v>
      </c>
      <c r="N978">
        <v>22393</v>
      </c>
      <c r="O978" s="26">
        <v>1440582.32</v>
      </c>
      <c r="P978" s="5" t="s">
        <v>50</v>
      </c>
      <c r="Q978" s="5" t="s">
        <v>51</v>
      </c>
      <c r="R978">
        <v>4.0999999999999996</v>
      </c>
      <c r="S978">
        <v>12</v>
      </c>
      <c r="T978">
        <f t="shared" si="15"/>
        <v>0</v>
      </c>
    </row>
    <row r="979" spans="1:20">
      <c r="A979" s="4">
        <v>44775</v>
      </c>
      <c r="B979">
        <v>2022</v>
      </c>
      <c r="C979">
        <v>8</v>
      </c>
      <c r="D979" s="5" t="s">
        <v>35</v>
      </c>
      <c r="E979" s="5" t="s">
        <v>60</v>
      </c>
      <c r="F979" s="5" t="s">
        <v>61</v>
      </c>
      <c r="G979" s="5" t="s">
        <v>62</v>
      </c>
      <c r="H979" s="5" t="s">
        <v>80</v>
      </c>
      <c r="I979" s="5" t="s">
        <v>81</v>
      </c>
      <c r="J979" s="5" t="s">
        <v>41</v>
      </c>
      <c r="K979">
        <v>25</v>
      </c>
      <c r="L979">
        <v>531480</v>
      </c>
      <c r="M979" s="26">
        <v>13287000</v>
      </c>
      <c r="N979">
        <v>42155</v>
      </c>
      <c r="O979" s="26">
        <v>2109772.0299999998</v>
      </c>
      <c r="P979" s="5" t="s">
        <v>42</v>
      </c>
      <c r="Q979" s="5" t="s">
        <v>43</v>
      </c>
      <c r="R979">
        <v>3.5</v>
      </c>
      <c r="S979">
        <v>19</v>
      </c>
      <c r="T979">
        <f t="shared" si="15"/>
        <v>1</v>
      </c>
    </row>
    <row r="980" spans="1:20">
      <c r="A980" s="4">
        <v>44791</v>
      </c>
      <c r="B980">
        <v>2022</v>
      </c>
      <c r="C980">
        <v>8</v>
      </c>
      <c r="D980" s="5" t="s">
        <v>35</v>
      </c>
      <c r="E980" s="5" t="s">
        <v>76</v>
      </c>
      <c r="F980" s="5" t="s">
        <v>77</v>
      </c>
      <c r="G980" s="5" t="s">
        <v>78</v>
      </c>
      <c r="H980" s="5" t="s">
        <v>86</v>
      </c>
      <c r="I980" s="5" t="s">
        <v>40</v>
      </c>
      <c r="J980" s="5" t="s">
        <v>41</v>
      </c>
      <c r="K980">
        <v>54</v>
      </c>
      <c r="L980">
        <v>613482</v>
      </c>
      <c r="M980" s="26">
        <v>33128028</v>
      </c>
      <c r="N980">
        <v>11320</v>
      </c>
      <c r="O980" s="26">
        <v>5281428.8499999996</v>
      </c>
      <c r="P980" s="5" t="s">
        <v>42</v>
      </c>
      <c r="Q980" s="5" t="s">
        <v>43</v>
      </c>
      <c r="R980">
        <v>4.9000000000000004</v>
      </c>
      <c r="S980">
        <v>5</v>
      </c>
      <c r="T980">
        <f t="shared" si="15"/>
        <v>1</v>
      </c>
    </row>
    <row r="981" spans="1:20">
      <c r="A981" s="4">
        <v>44786</v>
      </c>
      <c r="B981">
        <v>2022</v>
      </c>
      <c r="C981">
        <v>8</v>
      </c>
      <c r="D981" s="5" t="s">
        <v>44</v>
      </c>
      <c r="E981" s="5" t="s">
        <v>45</v>
      </c>
      <c r="F981" s="5" t="s">
        <v>46</v>
      </c>
      <c r="G981" s="5" t="s">
        <v>47</v>
      </c>
      <c r="H981" s="5" t="s">
        <v>52</v>
      </c>
      <c r="I981" s="5" t="s">
        <v>53</v>
      </c>
      <c r="J981" s="5" t="s">
        <v>41</v>
      </c>
      <c r="K981">
        <v>31</v>
      </c>
      <c r="L981">
        <v>967762</v>
      </c>
      <c r="M981" s="26">
        <v>30000622</v>
      </c>
      <c r="N981">
        <v>46837</v>
      </c>
      <c r="O981" s="26">
        <v>3465464.45</v>
      </c>
      <c r="P981" s="5" t="s">
        <v>50</v>
      </c>
      <c r="Q981" s="5" t="s">
        <v>51</v>
      </c>
      <c r="R981">
        <v>5</v>
      </c>
      <c r="S981">
        <v>19</v>
      </c>
      <c r="T981">
        <f t="shared" si="15"/>
        <v>0</v>
      </c>
    </row>
    <row r="982" spans="1:20">
      <c r="A982" s="4">
        <v>44796</v>
      </c>
      <c r="B982">
        <v>2022</v>
      </c>
      <c r="C982">
        <v>8</v>
      </c>
      <c r="D982" s="5" t="s">
        <v>54</v>
      </c>
      <c r="E982" s="5" t="s">
        <v>70</v>
      </c>
      <c r="F982" s="5" t="s">
        <v>71</v>
      </c>
      <c r="G982" s="5" t="s">
        <v>72</v>
      </c>
      <c r="H982" s="5" t="s">
        <v>74</v>
      </c>
      <c r="I982" s="5" t="s">
        <v>40</v>
      </c>
      <c r="J982" s="5" t="s">
        <v>49</v>
      </c>
      <c r="K982">
        <v>12</v>
      </c>
      <c r="L982">
        <v>632420</v>
      </c>
      <c r="M982" s="26">
        <v>7589040</v>
      </c>
      <c r="N982">
        <v>30433</v>
      </c>
      <c r="O982" s="26">
        <v>750180.36</v>
      </c>
      <c r="P982" s="5" t="s">
        <v>42</v>
      </c>
      <c r="Q982" s="5" t="s">
        <v>43</v>
      </c>
      <c r="R982">
        <v>4.2</v>
      </c>
      <c r="S982">
        <v>13</v>
      </c>
      <c r="T982">
        <f t="shared" si="15"/>
        <v>1</v>
      </c>
    </row>
    <row r="983" spans="1:20">
      <c r="A983" s="4">
        <v>44783</v>
      </c>
      <c r="B983">
        <v>2022</v>
      </c>
      <c r="C983">
        <v>8</v>
      </c>
      <c r="D983" s="5" t="s">
        <v>66</v>
      </c>
      <c r="E983" s="5" t="s">
        <v>67</v>
      </c>
      <c r="F983" s="5" t="s">
        <v>68</v>
      </c>
      <c r="G983" s="5" t="s">
        <v>69</v>
      </c>
      <c r="H983" s="5" t="s">
        <v>48</v>
      </c>
      <c r="I983" s="5" t="s">
        <v>40</v>
      </c>
      <c r="J983" s="5" t="s">
        <v>49</v>
      </c>
      <c r="K983">
        <v>34</v>
      </c>
      <c r="L983">
        <v>448585</v>
      </c>
      <c r="M983" s="26">
        <v>15251890</v>
      </c>
      <c r="N983">
        <v>10587</v>
      </c>
      <c r="O983" s="26">
        <v>2184725.08</v>
      </c>
      <c r="P983" s="5" t="s">
        <v>42</v>
      </c>
      <c r="Q983" s="5" t="s">
        <v>43</v>
      </c>
      <c r="R983">
        <v>4.2</v>
      </c>
      <c r="S983">
        <v>6</v>
      </c>
      <c r="T983">
        <f t="shared" si="15"/>
        <v>1</v>
      </c>
    </row>
    <row r="984" spans="1:20">
      <c r="A984" s="4">
        <v>44779</v>
      </c>
      <c r="B984">
        <v>2022</v>
      </c>
      <c r="C984">
        <v>8</v>
      </c>
      <c r="D984" s="5" t="s">
        <v>44</v>
      </c>
      <c r="E984" s="5" t="s">
        <v>45</v>
      </c>
      <c r="F984" s="5" t="s">
        <v>46</v>
      </c>
      <c r="G984" s="5" t="s">
        <v>47</v>
      </c>
      <c r="H984" s="5" t="s">
        <v>73</v>
      </c>
      <c r="I984" s="5" t="s">
        <v>40</v>
      </c>
      <c r="J984" s="5" t="s">
        <v>49</v>
      </c>
      <c r="K984">
        <v>48</v>
      </c>
      <c r="L984">
        <v>732849</v>
      </c>
      <c r="M984" s="26">
        <v>35176752</v>
      </c>
      <c r="N984">
        <v>39759</v>
      </c>
      <c r="O984" s="26">
        <v>3934038.12</v>
      </c>
      <c r="P984" s="5" t="s">
        <v>42</v>
      </c>
      <c r="Q984" s="5" t="s">
        <v>75</v>
      </c>
      <c r="R984">
        <v>3.6</v>
      </c>
      <c r="S984">
        <v>15</v>
      </c>
      <c r="T984">
        <f t="shared" si="15"/>
        <v>1</v>
      </c>
    </row>
    <row r="985" spans="1:20">
      <c r="A985" s="4">
        <v>44790</v>
      </c>
      <c r="B985">
        <v>2022</v>
      </c>
      <c r="C985">
        <v>8</v>
      </c>
      <c r="D985" s="5" t="s">
        <v>54</v>
      </c>
      <c r="E985" s="5" t="s">
        <v>55</v>
      </c>
      <c r="F985" s="5" t="s">
        <v>55</v>
      </c>
      <c r="G985" s="5" t="s">
        <v>56</v>
      </c>
      <c r="H985" s="5" t="s">
        <v>85</v>
      </c>
      <c r="I985" s="5" t="s">
        <v>58</v>
      </c>
      <c r="J985" s="5" t="s">
        <v>49</v>
      </c>
      <c r="K985">
        <v>55</v>
      </c>
      <c r="L985">
        <v>1000541</v>
      </c>
      <c r="M985" s="26">
        <v>55029755</v>
      </c>
      <c r="N985">
        <v>33503</v>
      </c>
      <c r="O985" s="26">
        <v>6901485.9000000004</v>
      </c>
      <c r="P985" s="5" t="s">
        <v>50</v>
      </c>
      <c r="Q985" s="5" t="s">
        <v>43</v>
      </c>
      <c r="R985">
        <v>3.6</v>
      </c>
      <c r="S985">
        <v>13</v>
      </c>
      <c r="T985">
        <f t="shared" si="15"/>
        <v>0</v>
      </c>
    </row>
    <row r="986" spans="1:20">
      <c r="A986" s="4">
        <v>44789</v>
      </c>
      <c r="B986">
        <v>2022</v>
      </c>
      <c r="C986">
        <v>8</v>
      </c>
      <c r="D986" s="5" t="s">
        <v>54</v>
      </c>
      <c r="E986" s="5" t="s">
        <v>70</v>
      </c>
      <c r="F986" s="5" t="s">
        <v>71</v>
      </c>
      <c r="G986" s="5" t="s">
        <v>72</v>
      </c>
      <c r="H986" s="5" t="s">
        <v>73</v>
      </c>
      <c r="I986" s="5" t="s">
        <v>40</v>
      </c>
      <c r="J986" s="5" t="s">
        <v>49</v>
      </c>
      <c r="K986">
        <v>14</v>
      </c>
      <c r="L986">
        <v>705255</v>
      </c>
      <c r="M986" s="26">
        <v>9873570</v>
      </c>
      <c r="N986">
        <v>46466</v>
      </c>
      <c r="O986" s="26">
        <v>1526752.13</v>
      </c>
      <c r="P986" s="5" t="s">
        <v>50</v>
      </c>
      <c r="Q986" s="5" t="s">
        <v>43</v>
      </c>
      <c r="R986">
        <v>5</v>
      </c>
      <c r="S986">
        <v>8</v>
      </c>
      <c r="T986">
        <f t="shared" si="15"/>
        <v>0</v>
      </c>
    </row>
    <row r="987" spans="1:20">
      <c r="A987" s="4">
        <v>44784</v>
      </c>
      <c r="B987">
        <v>2022</v>
      </c>
      <c r="C987">
        <v>8</v>
      </c>
      <c r="D987" s="5" t="s">
        <v>44</v>
      </c>
      <c r="E987" s="5" t="s">
        <v>82</v>
      </c>
      <c r="F987" s="5" t="s">
        <v>83</v>
      </c>
      <c r="G987" s="5" t="s">
        <v>84</v>
      </c>
      <c r="H987" s="5" t="s">
        <v>39</v>
      </c>
      <c r="I987" s="5" t="s">
        <v>40</v>
      </c>
      <c r="J987" s="5" t="s">
        <v>41</v>
      </c>
      <c r="K987">
        <v>41</v>
      </c>
      <c r="L987">
        <v>567020</v>
      </c>
      <c r="M987" s="26">
        <v>23247820</v>
      </c>
      <c r="N987">
        <v>34719</v>
      </c>
      <c r="O987" s="26">
        <v>1946423.07</v>
      </c>
      <c r="P987" s="5" t="s">
        <v>50</v>
      </c>
      <c r="Q987" s="5" t="s">
        <v>43</v>
      </c>
      <c r="R987">
        <v>4.8</v>
      </c>
      <c r="S987">
        <v>17</v>
      </c>
      <c r="T987">
        <f t="shared" si="15"/>
        <v>0</v>
      </c>
    </row>
    <row r="988" spans="1:20">
      <c r="A988" s="4">
        <v>44780</v>
      </c>
      <c r="B988">
        <v>2022</v>
      </c>
      <c r="C988">
        <v>8</v>
      </c>
      <c r="D988" s="5" t="s">
        <v>54</v>
      </c>
      <c r="E988" s="5" t="s">
        <v>55</v>
      </c>
      <c r="F988" s="5" t="s">
        <v>55</v>
      </c>
      <c r="G988" s="5" t="s">
        <v>56</v>
      </c>
      <c r="H988" s="5" t="s">
        <v>52</v>
      </c>
      <c r="I988" s="5" t="s">
        <v>53</v>
      </c>
      <c r="J988" s="5" t="s">
        <v>41</v>
      </c>
      <c r="K988">
        <v>34</v>
      </c>
      <c r="L988">
        <v>951989</v>
      </c>
      <c r="M988" s="26">
        <v>32367626</v>
      </c>
      <c r="N988">
        <v>28685</v>
      </c>
      <c r="O988" s="26">
        <v>2636680.7599999998</v>
      </c>
      <c r="P988" s="5" t="s">
        <v>50</v>
      </c>
      <c r="Q988" s="5" t="s">
        <v>75</v>
      </c>
      <c r="R988">
        <v>4.9000000000000004</v>
      </c>
      <c r="S988">
        <v>11</v>
      </c>
      <c r="T988">
        <f t="shared" si="15"/>
        <v>0</v>
      </c>
    </row>
    <row r="989" spans="1:20">
      <c r="A989" s="4">
        <v>44795</v>
      </c>
      <c r="B989">
        <v>2022</v>
      </c>
      <c r="C989">
        <v>8</v>
      </c>
      <c r="D989" s="5" t="s">
        <v>66</v>
      </c>
      <c r="E989" s="5" t="s">
        <v>67</v>
      </c>
      <c r="F989" s="5" t="s">
        <v>68</v>
      </c>
      <c r="G989" s="5" t="s">
        <v>69</v>
      </c>
      <c r="H989" s="5" t="s">
        <v>79</v>
      </c>
      <c r="I989" s="5" t="s">
        <v>58</v>
      </c>
      <c r="J989" s="5" t="s">
        <v>49</v>
      </c>
      <c r="K989">
        <v>25</v>
      </c>
      <c r="L989">
        <v>887323</v>
      </c>
      <c r="M989" s="26">
        <v>22183075</v>
      </c>
      <c r="N989">
        <v>49894</v>
      </c>
      <c r="O989" s="26">
        <v>2978310.95</v>
      </c>
      <c r="P989" s="5" t="s">
        <v>42</v>
      </c>
      <c r="Q989" s="5" t="s">
        <v>75</v>
      </c>
      <c r="R989">
        <v>4.0999999999999996</v>
      </c>
      <c r="S989">
        <v>4</v>
      </c>
      <c r="T989">
        <f t="shared" si="15"/>
        <v>1</v>
      </c>
    </row>
    <row r="990" spans="1:20">
      <c r="A990" s="4">
        <v>44781</v>
      </c>
      <c r="B990">
        <v>2022</v>
      </c>
      <c r="C990">
        <v>8</v>
      </c>
      <c r="D990" s="5" t="s">
        <v>35</v>
      </c>
      <c r="E990" s="5" t="s">
        <v>60</v>
      </c>
      <c r="F990" s="5" t="s">
        <v>61</v>
      </c>
      <c r="G990" s="5" t="s">
        <v>62</v>
      </c>
      <c r="H990" s="5" t="s">
        <v>86</v>
      </c>
      <c r="I990" s="5" t="s">
        <v>40</v>
      </c>
      <c r="J990" s="5" t="s">
        <v>41</v>
      </c>
      <c r="K990">
        <v>16</v>
      </c>
      <c r="L990">
        <v>606752</v>
      </c>
      <c r="M990" s="26">
        <v>9708032</v>
      </c>
      <c r="N990">
        <v>38777</v>
      </c>
      <c r="O990" s="26">
        <v>1197002.3500000001</v>
      </c>
      <c r="P990" s="5" t="s">
        <v>42</v>
      </c>
      <c r="Q990" s="5" t="s">
        <v>75</v>
      </c>
      <c r="R990">
        <v>4.5999999999999996</v>
      </c>
      <c r="S990">
        <v>7</v>
      </c>
      <c r="T990">
        <f t="shared" si="15"/>
        <v>1</v>
      </c>
    </row>
    <row r="991" spans="1:20">
      <c r="A991" s="4">
        <v>44775</v>
      </c>
      <c r="B991">
        <v>2022</v>
      </c>
      <c r="C991">
        <v>8</v>
      </c>
      <c r="D991" s="5" t="s">
        <v>35</v>
      </c>
      <c r="E991" s="5" t="s">
        <v>60</v>
      </c>
      <c r="F991" s="5" t="s">
        <v>61</v>
      </c>
      <c r="G991" s="5" t="s">
        <v>62</v>
      </c>
      <c r="H991" s="5" t="s">
        <v>52</v>
      </c>
      <c r="I991" s="5" t="s">
        <v>53</v>
      </c>
      <c r="J991" s="5" t="s">
        <v>41</v>
      </c>
      <c r="K991">
        <v>53</v>
      </c>
      <c r="L991">
        <v>972526</v>
      </c>
      <c r="M991" s="26">
        <v>51543878</v>
      </c>
      <c r="N991">
        <v>33971</v>
      </c>
      <c r="O991" s="26">
        <v>5013520.46</v>
      </c>
      <c r="P991" s="5" t="s">
        <v>42</v>
      </c>
      <c r="Q991" s="5" t="s">
        <v>43</v>
      </c>
      <c r="R991">
        <v>3.5</v>
      </c>
      <c r="S991">
        <v>7</v>
      </c>
      <c r="T991">
        <f t="shared" si="15"/>
        <v>1</v>
      </c>
    </row>
    <row r="992" spans="1:20">
      <c r="A992" s="4">
        <v>44798</v>
      </c>
      <c r="B992">
        <v>2022</v>
      </c>
      <c r="C992">
        <v>8</v>
      </c>
      <c r="D992" s="5" t="s">
        <v>44</v>
      </c>
      <c r="E992" s="5" t="s">
        <v>82</v>
      </c>
      <c r="F992" s="5" t="s">
        <v>83</v>
      </c>
      <c r="G992" s="5" t="s">
        <v>84</v>
      </c>
      <c r="H992" s="5" t="s">
        <v>39</v>
      </c>
      <c r="I992" s="5" t="s">
        <v>40</v>
      </c>
      <c r="J992" s="5" t="s">
        <v>41</v>
      </c>
      <c r="K992">
        <v>29</v>
      </c>
      <c r="L992">
        <v>568990</v>
      </c>
      <c r="M992" s="26">
        <v>16500710</v>
      </c>
      <c r="N992">
        <v>18315</v>
      </c>
      <c r="O992" s="26">
        <v>1714220.67</v>
      </c>
      <c r="P992" s="5" t="s">
        <v>42</v>
      </c>
      <c r="Q992" s="5" t="s">
        <v>51</v>
      </c>
      <c r="R992">
        <v>4.8</v>
      </c>
      <c r="S992">
        <v>11</v>
      </c>
      <c r="T992">
        <f t="shared" si="15"/>
        <v>1</v>
      </c>
    </row>
    <row r="993" spans="1:20">
      <c r="A993" s="4">
        <v>44780</v>
      </c>
      <c r="B993">
        <v>2022</v>
      </c>
      <c r="C993">
        <v>8</v>
      </c>
      <c r="D993" s="5" t="s">
        <v>44</v>
      </c>
      <c r="E993" s="5" t="s">
        <v>82</v>
      </c>
      <c r="F993" s="5" t="s">
        <v>83</v>
      </c>
      <c r="G993" s="5" t="s">
        <v>84</v>
      </c>
      <c r="H993" s="5" t="s">
        <v>65</v>
      </c>
      <c r="I993" s="5" t="s">
        <v>53</v>
      </c>
      <c r="J993" s="5" t="s">
        <v>49</v>
      </c>
      <c r="K993">
        <v>33</v>
      </c>
      <c r="L993">
        <v>1262729</v>
      </c>
      <c r="M993" s="26">
        <v>41670057</v>
      </c>
      <c r="N993">
        <v>19138</v>
      </c>
      <c r="O993" s="26">
        <v>5916266.9699999997</v>
      </c>
      <c r="P993" s="5" t="s">
        <v>42</v>
      </c>
      <c r="Q993" s="5" t="s">
        <v>43</v>
      </c>
      <c r="R993">
        <v>3.6</v>
      </c>
      <c r="S993">
        <v>2</v>
      </c>
      <c r="T993">
        <f t="shared" si="15"/>
        <v>1</v>
      </c>
    </row>
    <row r="994" spans="1:20">
      <c r="A994" s="4">
        <v>44797</v>
      </c>
      <c r="B994">
        <v>2022</v>
      </c>
      <c r="C994">
        <v>8</v>
      </c>
      <c r="D994" s="5" t="s">
        <v>44</v>
      </c>
      <c r="E994" s="5" t="s">
        <v>45</v>
      </c>
      <c r="F994" s="5" t="s">
        <v>46</v>
      </c>
      <c r="G994" s="5" t="s">
        <v>47</v>
      </c>
      <c r="H994" s="5" t="s">
        <v>52</v>
      </c>
      <c r="I994" s="5" t="s">
        <v>53</v>
      </c>
      <c r="J994" s="5" t="s">
        <v>41</v>
      </c>
      <c r="K994">
        <v>29</v>
      </c>
      <c r="L994">
        <v>942663</v>
      </c>
      <c r="M994" s="26">
        <v>27337227</v>
      </c>
      <c r="N994">
        <v>19739</v>
      </c>
      <c r="O994" s="26">
        <v>3654354.4</v>
      </c>
      <c r="P994" s="5" t="s">
        <v>50</v>
      </c>
      <c r="Q994" s="5" t="s">
        <v>75</v>
      </c>
      <c r="R994">
        <v>4.4000000000000004</v>
      </c>
      <c r="S994">
        <v>19</v>
      </c>
      <c r="T994">
        <f t="shared" si="15"/>
        <v>0</v>
      </c>
    </row>
    <row r="995" spans="1:20">
      <c r="A995" s="4">
        <v>44783</v>
      </c>
      <c r="B995">
        <v>2022</v>
      </c>
      <c r="C995">
        <v>8</v>
      </c>
      <c r="D995" s="5" t="s">
        <v>54</v>
      </c>
      <c r="E995" s="5" t="s">
        <v>70</v>
      </c>
      <c r="F995" s="5" t="s">
        <v>71</v>
      </c>
      <c r="G995" s="5" t="s">
        <v>72</v>
      </c>
      <c r="H995" s="5" t="s">
        <v>79</v>
      </c>
      <c r="I995" s="5" t="s">
        <v>58</v>
      </c>
      <c r="J995" s="5" t="s">
        <v>49</v>
      </c>
      <c r="K995">
        <v>49</v>
      </c>
      <c r="L995">
        <v>890930</v>
      </c>
      <c r="M995" s="26">
        <v>43655570</v>
      </c>
      <c r="N995">
        <v>26695</v>
      </c>
      <c r="O995" s="26">
        <v>6389198.4800000004</v>
      </c>
      <c r="P995" s="5" t="s">
        <v>50</v>
      </c>
      <c r="Q995" s="5" t="s">
        <v>43</v>
      </c>
      <c r="R995">
        <v>3.9</v>
      </c>
      <c r="S995">
        <v>14</v>
      </c>
      <c r="T995">
        <f t="shared" si="15"/>
        <v>0</v>
      </c>
    </row>
    <row r="996" spans="1:20">
      <c r="A996" s="4">
        <v>44800</v>
      </c>
      <c r="B996">
        <v>2022</v>
      </c>
      <c r="C996">
        <v>8</v>
      </c>
      <c r="D996" s="5" t="s">
        <v>66</v>
      </c>
      <c r="E996" s="5" t="s">
        <v>67</v>
      </c>
      <c r="F996" s="5" t="s">
        <v>68</v>
      </c>
      <c r="G996" s="5" t="s">
        <v>69</v>
      </c>
      <c r="H996" s="5" t="s">
        <v>74</v>
      </c>
      <c r="I996" s="5" t="s">
        <v>40</v>
      </c>
      <c r="J996" s="5" t="s">
        <v>49</v>
      </c>
      <c r="K996">
        <v>40</v>
      </c>
      <c r="L996">
        <v>676655</v>
      </c>
      <c r="M996" s="26">
        <v>27066200</v>
      </c>
      <c r="N996">
        <v>45046</v>
      </c>
      <c r="O996" s="26">
        <v>4270999.5999999996</v>
      </c>
      <c r="P996" s="5" t="s">
        <v>42</v>
      </c>
      <c r="Q996" s="5" t="s">
        <v>75</v>
      </c>
      <c r="R996">
        <v>4.3</v>
      </c>
      <c r="S996">
        <v>9</v>
      </c>
      <c r="T996">
        <f t="shared" si="15"/>
        <v>1</v>
      </c>
    </row>
    <row r="997" spans="1:20">
      <c r="A997" s="4">
        <v>44800</v>
      </c>
      <c r="B997">
        <v>2022</v>
      </c>
      <c r="C997">
        <v>8</v>
      </c>
      <c r="D997" s="5" t="s">
        <v>44</v>
      </c>
      <c r="E997" s="5" t="s">
        <v>82</v>
      </c>
      <c r="F997" s="5" t="s">
        <v>83</v>
      </c>
      <c r="G997" s="5" t="s">
        <v>84</v>
      </c>
      <c r="H997" s="5" t="s">
        <v>74</v>
      </c>
      <c r="I997" s="5" t="s">
        <v>40</v>
      </c>
      <c r="J997" s="5" t="s">
        <v>49</v>
      </c>
      <c r="K997">
        <v>51</v>
      </c>
      <c r="L997">
        <v>644924</v>
      </c>
      <c r="M997" s="26">
        <v>32891124</v>
      </c>
      <c r="N997">
        <v>49576</v>
      </c>
      <c r="O997" s="26">
        <v>3202156.61</v>
      </c>
      <c r="P997" s="5" t="s">
        <v>42</v>
      </c>
      <c r="Q997" s="5" t="s">
        <v>43</v>
      </c>
      <c r="R997">
        <v>5</v>
      </c>
      <c r="S997">
        <v>14</v>
      </c>
      <c r="T997">
        <f t="shared" si="15"/>
        <v>1</v>
      </c>
    </row>
    <row r="998" spans="1:20">
      <c r="A998" s="4">
        <v>44780</v>
      </c>
      <c r="B998">
        <v>2022</v>
      </c>
      <c r="C998">
        <v>8</v>
      </c>
      <c r="D998" s="5" t="s">
        <v>44</v>
      </c>
      <c r="E998" s="5" t="s">
        <v>82</v>
      </c>
      <c r="F998" s="5" t="s">
        <v>83</v>
      </c>
      <c r="G998" s="5" t="s">
        <v>84</v>
      </c>
      <c r="H998" s="5" t="s">
        <v>73</v>
      </c>
      <c r="I998" s="5" t="s">
        <v>40</v>
      </c>
      <c r="J998" s="5" t="s">
        <v>49</v>
      </c>
      <c r="K998">
        <v>39</v>
      </c>
      <c r="L998">
        <v>724099</v>
      </c>
      <c r="M998" s="26">
        <v>28239861</v>
      </c>
      <c r="N998">
        <v>49719</v>
      </c>
      <c r="O998" s="26">
        <v>3970989.55</v>
      </c>
      <c r="P998" s="5" t="s">
        <v>50</v>
      </c>
      <c r="Q998" s="5" t="s">
        <v>51</v>
      </c>
      <c r="R998">
        <v>4.2</v>
      </c>
      <c r="S998">
        <v>2</v>
      </c>
      <c r="T998">
        <f t="shared" si="15"/>
        <v>0</v>
      </c>
    </row>
    <row r="999" spans="1:20">
      <c r="A999" s="4">
        <v>44780</v>
      </c>
      <c r="B999">
        <v>2022</v>
      </c>
      <c r="C999">
        <v>8</v>
      </c>
      <c r="D999" s="5" t="s">
        <v>66</v>
      </c>
      <c r="E999" s="5" t="s">
        <v>67</v>
      </c>
      <c r="F999" s="5" t="s">
        <v>68</v>
      </c>
      <c r="G999" s="5" t="s">
        <v>69</v>
      </c>
      <c r="H999" s="5" t="s">
        <v>57</v>
      </c>
      <c r="I999" s="5" t="s">
        <v>58</v>
      </c>
      <c r="J999" s="5" t="s">
        <v>59</v>
      </c>
      <c r="K999">
        <v>7</v>
      </c>
      <c r="L999">
        <v>1391960</v>
      </c>
      <c r="M999" s="26">
        <v>9743720</v>
      </c>
      <c r="N999">
        <v>15673</v>
      </c>
      <c r="O999" s="26">
        <v>1028067.99</v>
      </c>
      <c r="P999" s="5" t="s">
        <v>42</v>
      </c>
      <c r="Q999" s="5" t="s">
        <v>43</v>
      </c>
      <c r="R999">
        <v>3.8</v>
      </c>
      <c r="S999">
        <v>19</v>
      </c>
      <c r="T999">
        <f t="shared" si="15"/>
        <v>1</v>
      </c>
    </row>
    <row r="1000" spans="1:20">
      <c r="A1000" s="4">
        <v>44791</v>
      </c>
      <c r="B1000">
        <v>2022</v>
      </c>
      <c r="C1000">
        <v>8</v>
      </c>
      <c r="D1000" s="5" t="s">
        <v>44</v>
      </c>
      <c r="E1000" s="5" t="s">
        <v>45</v>
      </c>
      <c r="F1000" s="5" t="s">
        <v>46</v>
      </c>
      <c r="G1000" s="5" t="s">
        <v>47</v>
      </c>
      <c r="H1000" s="5" t="s">
        <v>52</v>
      </c>
      <c r="I1000" s="5" t="s">
        <v>53</v>
      </c>
      <c r="J1000" s="5" t="s">
        <v>41</v>
      </c>
      <c r="K1000">
        <v>50</v>
      </c>
      <c r="L1000">
        <v>948323</v>
      </c>
      <c r="M1000" s="26">
        <v>47416150</v>
      </c>
      <c r="N1000">
        <v>16094</v>
      </c>
      <c r="O1000" s="26">
        <v>6509783.3600000003</v>
      </c>
      <c r="P1000" s="5" t="s">
        <v>42</v>
      </c>
      <c r="Q1000" s="5" t="s">
        <v>75</v>
      </c>
      <c r="R1000">
        <v>4.8</v>
      </c>
      <c r="S1000">
        <v>12</v>
      </c>
      <c r="T1000">
        <f t="shared" si="15"/>
        <v>1</v>
      </c>
    </row>
    <row r="1001" spans="1:20">
      <c r="A1001" s="4">
        <v>44791</v>
      </c>
      <c r="B1001">
        <v>2022</v>
      </c>
      <c r="C1001">
        <v>8</v>
      </c>
      <c r="D1001" s="5" t="s">
        <v>44</v>
      </c>
      <c r="E1001" s="5" t="s">
        <v>45</v>
      </c>
      <c r="F1001" s="5" t="s">
        <v>46</v>
      </c>
      <c r="G1001" s="5" t="s">
        <v>47</v>
      </c>
      <c r="H1001" s="5" t="s">
        <v>85</v>
      </c>
      <c r="I1001" s="5" t="s">
        <v>58</v>
      </c>
      <c r="J1001" s="5" t="s">
        <v>49</v>
      </c>
      <c r="K1001">
        <v>8</v>
      </c>
      <c r="L1001">
        <v>957942</v>
      </c>
      <c r="M1001" s="26">
        <v>7663536</v>
      </c>
      <c r="N1001">
        <v>13733</v>
      </c>
      <c r="O1001" s="26">
        <v>685470.67</v>
      </c>
      <c r="P1001" s="5" t="s">
        <v>42</v>
      </c>
      <c r="Q1001" s="5" t="s">
        <v>51</v>
      </c>
      <c r="R1001">
        <v>4.7</v>
      </c>
      <c r="S1001">
        <v>16</v>
      </c>
      <c r="T1001">
        <f t="shared" si="15"/>
        <v>1</v>
      </c>
    </row>
    <row r="1002" spans="1:20">
      <c r="A1002" s="4">
        <v>44820</v>
      </c>
      <c r="B1002">
        <v>2022</v>
      </c>
      <c r="C1002">
        <v>9</v>
      </c>
      <c r="D1002" s="5" t="s">
        <v>66</v>
      </c>
      <c r="E1002" s="5" t="s">
        <v>67</v>
      </c>
      <c r="F1002" s="5" t="s">
        <v>68</v>
      </c>
      <c r="G1002" s="5" t="s">
        <v>69</v>
      </c>
      <c r="H1002" s="5" t="s">
        <v>63</v>
      </c>
      <c r="I1002" s="5" t="s">
        <v>64</v>
      </c>
      <c r="J1002" s="5" t="s">
        <v>41</v>
      </c>
      <c r="K1002">
        <v>59</v>
      </c>
      <c r="L1002">
        <v>730722</v>
      </c>
      <c r="M1002" s="26">
        <v>43112598</v>
      </c>
      <c r="N1002">
        <v>34900</v>
      </c>
      <c r="O1002" s="26">
        <v>3953568.95</v>
      </c>
      <c r="P1002" s="5" t="s">
        <v>42</v>
      </c>
      <c r="Q1002" s="5" t="s">
        <v>51</v>
      </c>
      <c r="R1002">
        <v>4.2</v>
      </c>
      <c r="S1002">
        <v>16</v>
      </c>
      <c r="T1002">
        <f t="shared" si="15"/>
        <v>1</v>
      </c>
    </row>
    <row r="1003" spans="1:20">
      <c r="A1003" s="4">
        <v>44825</v>
      </c>
      <c r="B1003">
        <v>2022</v>
      </c>
      <c r="C1003">
        <v>9</v>
      </c>
      <c r="D1003" s="5" t="s">
        <v>66</v>
      </c>
      <c r="E1003" s="5" t="s">
        <v>67</v>
      </c>
      <c r="F1003" s="5" t="s">
        <v>68</v>
      </c>
      <c r="G1003" s="5" t="s">
        <v>69</v>
      </c>
      <c r="H1003" s="5" t="s">
        <v>65</v>
      </c>
      <c r="I1003" s="5" t="s">
        <v>53</v>
      </c>
      <c r="J1003" s="5" t="s">
        <v>49</v>
      </c>
      <c r="K1003">
        <v>10</v>
      </c>
      <c r="L1003">
        <v>1222502</v>
      </c>
      <c r="M1003" s="26">
        <v>12225020</v>
      </c>
      <c r="N1003">
        <v>41603</v>
      </c>
      <c r="O1003" s="26">
        <v>1514929.12</v>
      </c>
      <c r="P1003" s="5" t="s">
        <v>50</v>
      </c>
      <c r="Q1003" s="5" t="s">
        <v>43</v>
      </c>
      <c r="R1003">
        <v>4.2</v>
      </c>
      <c r="S1003">
        <v>15</v>
      </c>
      <c r="T1003">
        <f t="shared" si="15"/>
        <v>0</v>
      </c>
    </row>
    <row r="1004" spans="1:20">
      <c r="A1004" s="4">
        <v>44826</v>
      </c>
      <c r="B1004">
        <v>2022</v>
      </c>
      <c r="C1004">
        <v>9</v>
      </c>
      <c r="D1004" s="5" t="s">
        <v>54</v>
      </c>
      <c r="E1004" s="5" t="s">
        <v>55</v>
      </c>
      <c r="F1004" s="5" t="s">
        <v>55</v>
      </c>
      <c r="G1004" s="5" t="s">
        <v>56</v>
      </c>
      <c r="H1004" s="5" t="s">
        <v>52</v>
      </c>
      <c r="I1004" s="5" t="s">
        <v>53</v>
      </c>
      <c r="J1004" s="5" t="s">
        <v>41</v>
      </c>
      <c r="K1004">
        <v>12</v>
      </c>
      <c r="L1004">
        <v>923980</v>
      </c>
      <c r="M1004" s="26">
        <v>11087760</v>
      </c>
      <c r="N1004">
        <v>27986</v>
      </c>
      <c r="O1004" s="26">
        <v>1108576.1100000001</v>
      </c>
      <c r="P1004" s="5" t="s">
        <v>50</v>
      </c>
      <c r="Q1004" s="5" t="s">
        <v>51</v>
      </c>
      <c r="R1004">
        <v>4.5</v>
      </c>
      <c r="S1004">
        <v>11</v>
      </c>
      <c r="T1004">
        <f t="shared" si="15"/>
        <v>0</v>
      </c>
    </row>
    <row r="1005" spans="1:20">
      <c r="A1005" s="4">
        <v>44832</v>
      </c>
      <c r="B1005">
        <v>2022</v>
      </c>
      <c r="C1005">
        <v>9</v>
      </c>
      <c r="D1005" s="5" t="s">
        <v>66</v>
      </c>
      <c r="E1005" s="5" t="s">
        <v>67</v>
      </c>
      <c r="F1005" s="5" t="s">
        <v>68</v>
      </c>
      <c r="G1005" s="5" t="s">
        <v>69</v>
      </c>
      <c r="H1005" s="5" t="s">
        <v>80</v>
      </c>
      <c r="I1005" s="5" t="s">
        <v>81</v>
      </c>
      <c r="J1005" s="5" t="s">
        <v>41</v>
      </c>
      <c r="K1005">
        <v>48</v>
      </c>
      <c r="L1005">
        <v>522772</v>
      </c>
      <c r="M1005" s="26">
        <v>25093056</v>
      </c>
      <c r="N1005">
        <v>13872</v>
      </c>
      <c r="O1005" s="26">
        <v>2101023.4900000002</v>
      </c>
      <c r="P1005" s="5" t="s">
        <v>50</v>
      </c>
      <c r="Q1005" s="5" t="s">
        <v>51</v>
      </c>
      <c r="R1005">
        <v>3.8</v>
      </c>
      <c r="S1005">
        <v>14</v>
      </c>
      <c r="T1005">
        <f t="shared" si="15"/>
        <v>0</v>
      </c>
    </row>
    <row r="1006" spans="1:20">
      <c r="A1006" s="4">
        <v>44806</v>
      </c>
      <c r="B1006">
        <v>2022</v>
      </c>
      <c r="C1006">
        <v>9</v>
      </c>
      <c r="D1006" s="5" t="s">
        <v>54</v>
      </c>
      <c r="E1006" s="5" t="s">
        <v>70</v>
      </c>
      <c r="F1006" s="5" t="s">
        <v>71</v>
      </c>
      <c r="G1006" s="5" t="s">
        <v>72</v>
      </c>
      <c r="H1006" s="5" t="s">
        <v>52</v>
      </c>
      <c r="I1006" s="5" t="s">
        <v>53</v>
      </c>
      <c r="J1006" s="5" t="s">
        <v>41</v>
      </c>
      <c r="K1006">
        <v>33</v>
      </c>
      <c r="L1006">
        <v>959589</v>
      </c>
      <c r="M1006" s="26">
        <v>31666437</v>
      </c>
      <c r="N1006">
        <v>29071</v>
      </c>
      <c r="O1006" s="26">
        <v>2628419.5499999998</v>
      </c>
      <c r="P1006" s="5" t="s">
        <v>50</v>
      </c>
      <c r="Q1006" s="5" t="s">
        <v>75</v>
      </c>
      <c r="R1006">
        <v>4.8</v>
      </c>
      <c r="S1006">
        <v>20</v>
      </c>
      <c r="T1006">
        <f t="shared" si="15"/>
        <v>0</v>
      </c>
    </row>
    <row r="1007" spans="1:20">
      <c r="A1007" s="4">
        <v>44831</v>
      </c>
      <c r="B1007">
        <v>2022</v>
      </c>
      <c r="C1007">
        <v>9</v>
      </c>
      <c r="D1007" s="5" t="s">
        <v>44</v>
      </c>
      <c r="E1007" s="5" t="s">
        <v>45</v>
      </c>
      <c r="F1007" s="5" t="s">
        <v>46</v>
      </c>
      <c r="G1007" s="5" t="s">
        <v>47</v>
      </c>
      <c r="H1007" s="5" t="s">
        <v>86</v>
      </c>
      <c r="I1007" s="5" t="s">
        <v>40</v>
      </c>
      <c r="J1007" s="5" t="s">
        <v>41</v>
      </c>
      <c r="K1007">
        <v>8</v>
      </c>
      <c r="L1007">
        <v>571737</v>
      </c>
      <c r="M1007" s="26">
        <v>4573896</v>
      </c>
      <c r="N1007">
        <v>11454</v>
      </c>
      <c r="O1007" s="26">
        <v>369680.36</v>
      </c>
      <c r="P1007" s="5" t="s">
        <v>42</v>
      </c>
      <c r="Q1007" s="5" t="s">
        <v>43</v>
      </c>
      <c r="R1007">
        <v>4.4000000000000004</v>
      </c>
      <c r="S1007">
        <v>9</v>
      </c>
      <c r="T1007">
        <f t="shared" si="15"/>
        <v>1</v>
      </c>
    </row>
    <row r="1008" spans="1:20">
      <c r="A1008" s="4">
        <v>44805</v>
      </c>
      <c r="B1008">
        <v>2022</v>
      </c>
      <c r="C1008">
        <v>9</v>
      </c>
      <c r="D1008" s="5" t="s">
        <v>35</v>
      </c>
      <c r="E1008" s="5" t="s">
        <v>76</v>
      </c>
      <c r="F1008" s="5" t="s">
        <v>77</v>
      </c>
      <c r="G1008" s="5" t="s">
        <v>78</v>
      </c>
      <c r="H1008" s="5" t="s">
        <v>85</v>
      </c>
      <c r="I1008" s="5" t="s">
        <v>58</v>
      </c>
      <c r="J1008" s="5" t="s">
        <v>49</v>
      </c>
      <c r="K1008">
        <v>34</v>
      </c>
      <c r="L1008">
        <v>979604</v>
      </c>
      <c r="M1008" s="26">
        <v>33306536</v>
      </c>
      <c r="N1008">
        <v>45655</v>
      </c>
      <c r="O1008" s="26">
        <v>3834399.5</v>
      </c>
      <c r="P1008" s="5" t="s">
        <v>50</v>
      </c>
      <c r="Q1008" s="5" t="s">
        <v>43</v>
      </c>
      <c r="R1008">
        <v>3.8</v>
      </c>
      <c r="S1008">
        <v>9</v>
      </c>
      <c r="T1008">
        <f t="shared" si="15"/>
        <v>0</v>
      </c>
    </row>
    <row r="1009" spans="1:20">
      <c r="A1009" s="4">
        <v>44826</v>
      </c>
      <c r="B1009">
        <v>2022</v>
      </c>
      <c r="C1009">
        <v>9</v>
      </c>
      <c r="D1009" s="5" t="s">
        <v>44</v>
      </c>
      <c r="E1009" s="5" t="s">
        <v>82</v>
      </c>
      <c r="F1009" s="5" t="s">
        <v>83</v>
      </c>
      <c r="G1009" s="5" t="s">
        <v>84</v>
      </c>
      <c r="H1009" s="5" t="s">
        <v>52</v>
      </c>
      <c r="I1009" s="5" t="s">
        <v>53</v>
      </c>
      <c r="J1009" s="5" t="s">
        <v>41</v>
      </c>
      <c r="K1009">
        <v>60</v>
      </c>
      <c r="L1009">
        <v>936639</v>
      </c>
      <c r="M1009" s="26">
        <v>56198340</v>
      </c>
      <c r="N1009">
        <v>43321</v>
      </c>
      <c r="O1009" s="26">
        <v>8317827.29</v>
      </c>
      <c r="P1009" s="5" t="s">
        <v>42</v>
      </c>
      <c r="Q1009" s="5" t="s">
        <v>75</v>
      </c>
      <c r="R1009">
        <v>3.9</v>
      </c>
      <c r="S1009">
        <v>8</v>
      </c>
      <c r="T1009">
        <f t="shared" si="15"/>
        <v>1</v>
      </c>
    </row>
    <row r="1010" spans="1:20">
      <c r="A1010" s="4">
        <v>44812</v>
      </c>
      <c r="B1010">
        <v>2022</v>
      </c>
      <c r="C1010">
        <v>9</v>
      </c>
      <c r="D1010" s="5" t="s">
        <v>66</v>
      </c>
      <c r="E1010" s="5" t="s">
        <v>67</v>
      </c>
      <c r="F1010" s="5" t="s">
        <v>68</v>
      </c>
      <c r="G1010" s="5" t="s">
        <v>69</v>
      </c>
      <c r="H1010" s="5" t="s">
        <v>86</v>
      </c>
      <c r="I1010" s="5" t="s">
        <v>40</v>
      </c>
      <c r="J1010" s="5" t="s">
        <v>41</v>
      </c>
      <c r="K1010">
        <v>42</v>
      </c>
      <c r="L1010">
        <v>598186</v>
      </c>
      <c r="M1010" s="26">
        <v>25123812</v>
      </c>
      <c r="N1010">
        <v>14569</v>
      </c>
      <c r="O1010" s="26">
        <v>3993773.84</v>
      </c>
      <c r="P1010" s="5" t="s">
        <v>42</v>
      </c>
      <c r="Q1010" s="5" t="s">
        <v>75</v>
      </c>
      <c r="R1010">
        <v>4</v>
      </c>
      <c r="S1010">
        <v>4</v>
      </c>
      <c r="T1010">
        <f t="shared" si="15"/>
        <v>1</v>
      </c>
    </row>
    <row r="1011" spans="1:20">
      <c r="A1011" s="4">
        <v>44820</v>
      </c>
      <c r="B1011">
        <v>2022</v>
      </c>
      <c r="C1011">
        <v>9</v>
      </c>
      <c r="D1011" s="5" t="s">
        <v>66</v>
      </c>
      <c r="E1011" s="5" t="s">
        <v>67</v>
      </c>
      <c r="F1011" s="5" t="s">
        <v>68</v>
      </c>
      <c r="G1011" s="5" t="s">
        <v>69</v>
      </c>
      <c r="H1011" s="5" t="s">
        <v>80</v>
      </c>
      <c r="I1011" s="5" t="s">
        <v>81</v>
      </c>
      <c r="J1011" s="5" t="s">
        <v>41</v>
      </c>
      <c r="K1011">
        <v>42</v>
      </c>
      <c r="L1011">
        <v>527770</v>
      </c>
      <c r="M1011" s="26">
        <v>22166340</v>
      </c>
      <c r="N1011">
        <v>38555</v>
      </c>
      <c r="O1011" s="26">
        <v>2654486.09</v>
      </c>
      <c r="P1011" s="5" t="s">
        <v>50</v>
      </c>
      <c r="Q1011" s="5" t="s">
        <v>75</v>
      </c>
      <c r="R1011">
        <v>4</v>
      </c>
      <c r="S1011">
        <v>10</v>
      </c>
      <c r="T1011">
        <f t="shared" si="15"/>
        <v>0</v>
      </c>
    </row>
    <row r="1012" spans="1:20">
      <c r="A1012" s="4">
        <v>44829</v>
      </c>
      <c r="B1012">
        <v>2022</v>
      </c>
      <c r="C1012">
        <v>9</v>
      </c>
      <c r="D1012" s="5" t="s">
        <v>54</v>
      </c>
      <c r="E1012" s="5" t="s">
        <v>70</v>
      </c>
      <c r="F1012" s="5" t="s">
        <v>71</v>
      </c>
      <c r="G1012" s="5" t="s">
        <v>72</v>
      </c>
      <c r="H1012" s="5" t="s">
        <v>52</v>
      </c>
      <c r="I1012" s="5" t="s">
        <v>53</v>
      </c>
      <c r="J1012" s="5" t="s">
        <v>41</v>
      </c>
      <c r="K1012">
        <v>50</v>
      </c>
      <c r="L1012">
        <v>964798</v>
      </c>
      <c r="M1012" s="26">
        <v>48239900</v>
      </c>
      <c r="N1012">
        <v>19850</v>
      </c>
      <c r="O1012" s="26">
        <v>6008776.0800000001</v>
      </c>
      <c r="P1012" s="5" t="s">
        <v>42</v>
      </c>
      <c r="Q1012" s="5" t="s">
        <v>75</v>
      </c>
      <c r="R1012">
        <v>3.9</v>
      </c>
      <c r="S1012">
        <v>10</v>
      </c>
      <c r="T1012">
        <f t="shared" si="15"/>
        <v>1</v>
      </c>
    </row>
    <row r="1013" spans="1:20">
      <c r="A1013" s="4">
        <v>44811</v>
      </c>
      <c r="B1013">
        <v>2022</v>
      </c>
      <c r="C1013">
        <v>9</v>
      </c>
      <c r="D1013" s="5" t="s">
        <v>66</v>
      </c>
      <c r="E1013" s="5" t="s">
        <v>67</v>
      </c>
      <c r="F1013" s="5" t="s">
        <v>68</v>
      </c>
      <c r="G1013" s="5" t="s">
        <v>69</v>
      </c>
      <c r="H1013" s="5" t="s">
        <v>57</v>
      </c>
      <c r="I1013" s="5" t="s">
        <v>58</v>
      </c>
      <c r="J1013" s="5" t="s">
        <v>59</v>
      </c>
      <c r="K1013">
        <v>41</v>
      </c>
      <c r="L1013">
        <v>1400537</v>
      </c>
      <c r="M1013" s="26">
        <v>57422017</v>
      </c>
      <c r="N1013">
        <v>23201</v>
      </c>
      <c r="O1013" s="26">
        <v>7144604.79</v>
      </c>
      <c r="P1013" s="5" t="s">
        <v>50</v>
      </c>
      <c r="Q1013" s="5" t="s">
        <v>51</v>
      </c>
      <c r="R1013">
        <v>3.8</v>
      </c>
      <c r="S1013">
        <v>11</v>
      </c>
      <c r="T1013">
        <f t="shared" si="15"/>
        <v>0</v>
      </c>
    </row>
    <row r="1014" spans="1:20">
      <c r="A1014" s="4">
        <v>44816</v>
      </c>
      <c r="B1014">
        <v>2022</v>
      </c>
      <c r="C1014">
        <v>9</v>
      </c>
      <c r="D1014" s="5" t="s">
        <v>44</v>
      </c>
      <c r="E1014" s="5" t="s">
        <v>45</v>
      </c>
      <c r="F1014" s="5" t="s">
        <v>46</v>
      </c>
      <c r="G1014" s="5" t="s">
        <v>47</v>
      </c>
      <c r="H1014" s="5" t="s">
        <v>73</v>
      </c>
      <c r="I1014" s="5" t="s">
        <v>40</v>
      </c>
      <c r="J1014" s="5" t="s">
        <v>49</v>
      </c>
      <c r="K1014">
        <v>52</v>
      </c>
      <c r="L1014">
        <v>707178</v>
      </c>
      <c r="M1014" s="26">
        <v>36773256</v>
      </c>
      <c r="N1014">
        <v>20119</v>
      </c>
      <c r="O1014" s="26">
        <v>3559796.03</v>
      </c>
      <c r="P1014" s="5" t="s">
        <v>50</v>
      </c>
      <c r="Q1014" s="5" t="s">
        <v>75</v>
      </c>
      <c r="R1014">
        <v>4.5</v>
      </c>
      <c r="S1014">
        <v>14</v>
      </c>
      <c r="T1014">
        <f t="shared" si="15"/>
        <v>0</v>
      </c>
    </row>
    <row r="1015" spans="1:20">
      <c r="A1015" s="4">
        <v>44820</v>
      </c>
      <c r="B1015">
        <v>2022</v>
      </c>
      <c r="C1015">
        <v>9</v>
      </c>
      <c r="D1015" s="5" t="s">
        <v>35</v>
      </c>
      <c r="E1015" s="5" t="s">
        <v>60</v>
      </c>
      <c r="F1015" s="5" t="s">
        <v>61</v>
      </c>
      <c r="G1015" s="5" t="s">
        <v>62</v>
      </c>
      <c r="H1015" s="5" t="s">
        <v>73</v>
      </c>
      <c r="I1015" s="5" t="s">
        <v>40</v>
      </c>
      <c r="J1015" s="5" t="s">
        <v>49</v>
      </c>
      <c r="K1015">
        <v>38</v>
      </c>
      <c r="L1015">
        <v>728777</v>
      </c>
      <c r="M1015" s="26">
        <v>27693526</v>
      </c>
      <c r="N1015">
        <v>15102</v>
      </c>
      <c r="O1015" s="26">
        <v>2682702.4500000002</v>
      </c>
      <c r="P1015" s="5" t="s">
        <v>42</v>
      </c>
      <c r="Q1015" s="5" t="s">
        <v>75</v>
      </c>
      <c r="R1015">
        <v>4</v>
      </c>
      <c r="S1015">
        <v>3</v>
      </c>
      <c r="T1015">
        <f t="shared" si="15"/>
        <v>1</v>
      </c>
    </row>
    <row r="1016" spans="1:20">
      <c r="A1016" s="4">
        <v>44826</v>
      </c>
      <c r="B1016">
        <v>2022</v>
      </c>
      <c r="C1016">
        <v>9</v>
      </c>
      <c r="D1016" s="5" t="s">
        <v>54</v>
      </c>
      <c r="E1016" s="5" t="s">
        <v>55</v>
      </c>
      <c r="F1016" s="5" t="s">
        <v>55</v>
      </c>
      <c r="G1016" s="5" t="s">
        <v>56</v>
      </c>
      <c r="H1016" s="5" t="s">
        <v>80</v>
      </c>
      <c r="I1016" s="5" t="s">
        <v>81</v>
      </c>
      <c r="J1016" s="5" t="s">
        <v>41</v>
      </c>
      <c r="K1016">
        <v>18</v>
      </c>
      <c r="L1016">
        <v>553181</v>
      </c>
      <c r="M1016" s="26">
        <v>9957258</v>
      </c>
      <c r="N1016">
        <v>14819</v>
      </c>
      <c r="O1016" s="26">
        <v>962659.16</v>
      </c>
      <c r="P1016" s="5" t="s">
        <v>50</v>
      </c>
      <c r="Q1016" s="5" t="s">
        <v>51</v>
      </c>
      <c r="R1016">
        <v>4.7</v>
      </c>
      <c r="S1016">
        <v>16</v>
      </c>
      <c r="T1016">
        <f t="shared" si="15"/>
        <v>0</v>
      </c>
    </row>
    <row r="1017" spans="1:20">
      <c r="A1017" s="4">
        <v>44817</v>
      </c>
      <c r="B1017">
        <v>2022</v>
      </c>
      <c r="C1017">
        <v>9</v>
      </c>
      <c r="D1017" s="5" t="s">
        <v>54</v>
      </c>
      <c r="E1017" s="5" t="s">
        <v>55</v>
      </c>
      <c r="F1017" s="5" t="s">
        <v>55</v>
      </c>
      <c r="G1017" s="5" t="s">
        <v>56</v>
      </c>
      <c r="H1017" s="5" t="s">
        <v>39</v>
      </c>
      <c r="I1017" s="5" t="s">
        <v>40</v>
      </c>
      <c r="J1017" s="5" t="s">
        <v>41</v>
      </c>
      <c r="K1017">
        <v>25</v>
      </c>
      <c r="L1017">
        <v>579882</v>
      </c>
      <c r="M1017" s="26">
        <v>14497050</v>
      </c>
      <c r="N1017">
        <v>20116</v>
      </c>
      <c r="O1017" s="26">
        <v>1391207.21</v>
      </c>
      <c r="P1017" s="5" t="s">
        <v>42</v>
      </c>
      <c r="Q1017" s="5" t="s">
        <v>75</v>
      </c>
      <c r="R1017">
        <v>3.5</v>
      </c>
      <c r="S1017">
        <v>18</v>
      </c>
      <c r="T1017">
        <f t="shared" si="15"/>
        <v>1</v>
      </c>
    </row>
    <row r="1018" spans="1:20">
      <c r="A1018" s="4">
        <v>44819</v>
      </c>
      <c r="B1018">
        <v>2022</v>
      </c>
      <c r="C1018">
        <v>9</v>
      </c>
      <c r="D1018" s="5" t="s">
        <v>35</v>
      </c>
      <c r="E1018" s="5" t="s">
        <v>36</v>
      </c>
      <c r="F1018" s="5" t="s">
        <v>37</v>
      </c>
      <c r="G1018" s="5" t="s">
        <v>38</v>
      </c>
      <c r="H1018" s="5" t="s">
        <v>52</v>
      </c>
      <c r="I1018" s="5" t="s">
        <v>53</v>
      </c>
      <c r="J1018" s="5" t="s">
        <v>41</v>
      </c>
      <c r="K1018">
        <v>24</v>
      </c>
      <c r="L1018">
        <v>951062</v>
      </c>
      <c r="M1018" s="26">
        <v>22825488</v>
      </c>
      <c r="N1018">
        <v>35788</v>
      </c>
      <c r="O1018" s="26">
        <v>2299155.4</v>
      </c>
      <c r="P1018" s="5" t="s">
        <v>42</v>
      </c>
      <c r="Q1018" s="5" t="s">
        <v>43</v>
      </c>
      <c r="R1018">
        <v>4.3</v>
      </c>
      <c r="S1018">
        <v>15</v>
      </c>
      <c r="T1018">
        <f t="shared" si="15"/>
        <v>1</v>
      </c>
    </row>
    <row r="1019" spans="1:20">
      <c r="A1019" s="4">
        <v>44829</v>
      </c>
      <c r="B1019">
        <v>2022</v>
      </c>
      <c r="C1019">
        <v>9</v>
      </c>
      <c r="D1019" s="5" t="s">
        <v>44</v>
      </c>
      <c r="E1019" s="5" t="s">
        <v>45</v>
      </c>
      <c r="F1019" s="5" t="s">
        <v>46</v>
      </c>
      <c r="G1019" s="5" t="s">
        <v>47</v>
      </c>
      <c r="H1019" s="5" t="s">
        <v>65</v>
      </c>
      <c r="I1019" s="5" t="s">
        <v>53</v>
      </c>
      <c r="J1019" s="5" t="s">
        <v>49</v>
      </c>
      <c r="K1019">
        <v>60</v>
      </c>
      <c r="L1019">
        <v>1269459</v>
      </c>
      <c r="M1019" s="26">
        <v>76167540</v>
      </c>
      <c r="N1019">
        <v>24059</v>
      </c>
      <c r="O1019" s="26">
        <v>10763093.880000001</v>
      </c>
      <c r="P1019" s="5" t="s">
        <v>42</v>
      </c>
      <c r="Q1019" s="5" t="s">
        <v>43</v>
      </c>
      <c r="R1019">
        <v>4.9000000000000004</v>
      </c>
      <c r="S1019">
        <v>5</v>
      </c>
      <c r="T1019">
        <f t="shared" si="15"/>
        <v>1</v>
      </c>
    </row>
    <row r="1020" spans="1:20">
      <c r="A1020" s="4">
        <v>44805</v>
      </c>
      <c r="B1020">
        <v>2022</v>
      </c>
      <c r="C1020">
        <v>9</v>
      </c>
      <c r="D1020" s="5" t="s">
        <v>35</v>
      </c>
      <c r="E1020" s="5" t="s">
        <v>76</v>
      </c>
      <c r="F1020" s="5" t="s">
        <v>77</v>
      </c>
      <c r="G1020" s="5" t="s">
        <v>78</v>
      </c>
      <c r="H1020" s="5" t="s">
        <v>39</v>
      </c>
      <c r="I1020" s="5" t="s">
        <v>40</v>
      </c>
      <c r="J1020" s="5" t="s">
        <v>41</v>
      </c>
      <c r="K1020">
        <v>18</v>
      </c>
      <c r="L1020">
        <v>568119</v>
      </c>
      <c r="M1020" s="26">
        <v>10226142</v>
      </c>
      <c r="N1020">
        <v>33092</v>
      </c>
      <c r="O1020" s="26">
        <v>1105169.1200000001</v>
      </c>
      <c r="P1020" s="5" t="s">
        <v>50</v>
      </c>
      <c r="Q1020" s="5" t="s">
        <v>51</v>
      </c>
      <c r="R1020">
        <v>4.2</v>
      </c>
      <c r="S1020">
        <v>5</v>
      </c>
      <c r="T1020">
        <f t="shared" si="15"/>
        <v>0</v>
      </c>
    </row>
    <row r="1021" spans="1:20">
      <c r="A1021" s="4">
        <v>44806</v>
      </c>
      <c r="B1021">
        <v>2022</v>
      </c>
      <c r="C1021">
        <v>9</v>
      </c>
      <c r="D1021" s="5" t="s">
        <v>54</v>
      </c>
      <c r="E1021" s="5" t="s">
        <v>70</v>
      </c>
      <c r="F1021" s="5" t="s">
        <v>71</v>
      </c>
      <c r="G1021" s="5" t="s">
        <v>72</v>
      </c>
      <c r="H1021" s="5" t="s">
        <v>65</v>
      </c>
      <c r="I1021" s="5" t="s">
        <v>53</v>
      </c>
      <c r="J1021" s="5" t="s">
        <v>49</v>
      </c>
      <c r="K1021">
        <v>20</v>
      </c>
      <c r="L1021">
        <v>1256227</v>
      </c>
      <c r="M1021" s="26">
        <v>25124540</v>
      </c>
      <c r="N1021">
        <v>9874</v>
      </c>
      <c r="O1021" s="26">
        <v>2204252.84</v>
      </c>
      <c r="P1021" s="5" t="s">
        <v>42</v>
      </c>
      <c r="Q1021" s="5" t="s">
        <v>43</v>
      </c>
      <c r="R1021">
        <v>3.6</v>
      </c>
      <c r="S1021">
        <v>20</v>
      </c>
      <c r="T1021">
        <f t="shared" si="15"/>
        <v>1</v>
      </c>
    </row>
    <row r="1022" spans="1:20">
      <c r="A1022" s="4">
        <v>44825</v>
      </c>
      <c r="B1022">
        <v>2022</v>
      </c>
      <c r="C1022">
        <v>9</v>
      </c>
      <c r="D1022" s="5" t="s">
        <v>54</v>
      </c>
      <c r="E1022" s="5" t="s">
        <v>55</v>
      </c>
      <c r="F1022" s="5" t="s">
        <v>55</v>
      </c>
      <c r="G1022" s="5" t="s">
        <v>56</v>
      </c>
      <c r="H1022" s="5" t="s">
        <v>52</v>
      </c>
      <c r="I1022" s="5" t="s">
        <v>53</v>
      </c>
      <c r="J1022" s="5" t="s">
        <v>41</v>
      </c>
      <c r="K1022">
        <v>16</v>
      </c>
      <c r="L1022">
        <v>941878</v>
      </c>
      <c r="M1022" s="26">
        <v>15070048</v>
      </c>
      <c r="N1022">
        <v>34239</v>
      </c>
      <c r="O1022" s="26">
        <v>1598093.84</v>
      </c>
      <c r="P1022" s="5" t="s">
        <v>42</v>
      </c>
      <c r="Q1022" s="5" t="s">
        <v>75</v>
      </c>
      <c r="R1022">
        <v>4.5999999999999996</v>
      </c>
      <c r="S1022">
        <v>18</v>
      </c>
      <c r="T1022">
        <f t="shared" si="15"/>
        <v>1</v>
      </c>
    </row>
    <row r="1023" spans="1:20">
      <c r="A1023" s="4">
        <v>44826</v>
      </c>
      <c r="B1023">
        <v>2022</v>
      </c>
      <c r="C1023">
        <v>9</v>
      </c>
      <c r="D1023" s="5" t="s">
        <v>54</v>
      </c>
      <c r="E1023" s="5" t="s">
        <v>55</v>
      </c>
      <c r="F1023" s="5" t="s">
        <v>55</v>
      </c>
      <c r="G1023" s="5" t="s">
        <v>56</v>
      </c>
      <c r="H1023" s="5" t="s">
        <v>79</v>
      </c>
      <c r="I1023" s="5" t="s">
        <v>58</v>
      </c>
      <c r="J1023" s="5" t="s">
        <v>49</v>
      </c>
      <c r="K1023">
        <v>11</v>
      </c>
      <c r="L1023">
        <v>922351</v>
      </c>
      <c r="M1023" s="26">
        <v>10145861</v>
      </c>
      <c r="N1023">
        <v>32662</v>
      </c>
      <c r="O1023" s="26">
        <v>1341455.47</v>
      </c>
      <c r="P1023" s="5" t="s">
        <v>50</v>
      </c>
      <c r="Q1023" s="5" t="s">
        <v>51</v>
      </c>
      <c r="R1023">
        <v>4.7</v>
      </c>
      <c r="S1023">
        <v>14</v>
      </c>
      <c r="T1023">
        <f t="shared" si="15"/>
        <v>0</v>
      </c>
    </row>
    <row r="1024" spans="1:20">
      <c r="A1024" s="4">
        <v>44817</v>
      </c>
      <c r="B1024">
        <v>2022</v>
      </c>
      <c r="C1024">
        <v>9</v>
      </c>
      <c r="D1024" s="5" t="s">
        <v>66</v>
      </c>
      <c r="E1024" s="5" t="s">
        <v>67</v>
      </c>
      <c r="F1024" s="5" t="s">
        <v>68</v>
      </c>
      <c r="G1024" s="5" t="s">
        <v>69</v>
      </c>
      <c r="H1024" s="5" t="s">
        <v>73</v>
      </c>
      <c r="I1024" s="5" t="s">
        <v>40</v>
      </c>
      <c r="J1024" s="5" t="s">
        <v>49</v>
      </c>
      <c r="K1024">
        <v>14</v>
      </c>
      <c r="L1024">
        <v>709675</v>
      </c>
      <c r="M1024" s="26">
        <v>9935450</v>
      </c>
      <c r="N1024">
        <v>30105</v>
      </c>
      <c r="O1024" s="26">
        <v>972843.96</v>
      </c>
      <c r="P1024" s="5" t="s">
        <v>42</v>
      </c>
      <c r="Q1024" s="5" t="s">
        <v>51</v>
      </c>
      <c r="R1024">
        <v>4.5</v>
      </c>
      <c r="S1024">
        <v>20</v>
      </c>
      <c r="T1024">
        <f t="shared" si="15"/>
        <v>1</v>
      </c>
    </row>
    <row r="1025" spans="1:20">
      <c r="A1025" s="4">
        <v>44810</v>
      </c>
      <c r="B1025">
        <v>2022</v>
      </c>
      <c r="C1025">
        <v>9</v>
      </c>
      <c r="D1025" s="5" t="s">
        <v>66</v>
      </c>
      <c r="E1025" s="5" t="s">
        <v>67</v>
      </c>
      <c r="F1025" s="5" t="s">
        <v>68</v>
      </c>
      <c r="G1025" s="5" t="s">
        <v>69</v>
      </c>
      <c r="H1025" s="5" t="s">
        <v>65</v>
      </c>
      <c r="I1025" s="5" t="s">
        <v>53</v>
      </c>
      <c r="J1025" s="5" t="s">
        <v>49</v>
      </c>
      <c r="K1025">
        <v>39</v>
      </c>
      <c r="L1025">
        <v>1251160</v>
      </c>
      <c r="M1025" s="26">
        <v>48795240</v>
      </c>
      <c r="N1025">
        <v>32090</v>
      </c>
      <c r="O1025" s="26">
        <v>7496945.0899999999</v>
      </c>
      <c r="P1025" s="5" t="s">
        <v>50</v>
      </c>
      <c r="Q1025" s="5" t="s">
        <v>51</v>
      </c>
      <c r="R1025">
        <v>4.5999999999999996</v>
      </c>
      <c r="S1025">
        <v>3</v>
      </c>
      <c r="T1025">
        <f t="shared" si="15"/>
        <v>0</v>
      </c>
    </row>
    <row r="1026" spans="1:20">
      <c r="A1026" s="4">
        <v>44812</v>
      </c>
      <c r="B1026">
        <v>2022</v>
      </c>
      <c r="C1026">
        <v>9</v>
      </c>
      <c r="D1026" s="5" t="s">
        <v>35</v>
      </c>
      <c r="E1026" s="5" t="s">
        <v>76</v>
      </c>
      <c r="F1026" s="5" t="s">
        <v>77</v>
      </c>
      <c r="G1026" s="5" t="s">
        <v>78</v>
      </c>
      <c r="H1026" s="5" t="s">
        <v>73</v>
      </c>
      <c r="I1026" s="5" t="s">
        <v>40</v>
      </c>
      <c r="J1026" s="5" t="s">
        <v>49</v>
      </c>
      <c r="K1026">
        <v>8</v>
      </c>
      <c r="L1026">
        <v>721321</v>
      </c>
      <c r="M1026" s="26">
        <v>5770568</v>
      </c>
      <c r="N1026">
        <v>29069</v>
      </c>
      <c r="O1026" s="26">
        <v>539297.69999999995</v>
      </c>
      <c r="P1026" s="5" t="s">
        <v>42</v>
      </c>
      <c r="Q1026" s="5" t="s">
        <v>51</v>
      </c>
      <c r="R1026">
        <v>4.5</v>
      </c>
      <c r="S1026">
        <v>15</v>
      </c>
      <c r="T1026">
        <f t="shared" ref="T1026:T1089" si="16">IF(AND(OR($B1026=Sel_Year,Sel_Year="All"),OR($C1026=Sel_Month,Sel_Month="All"),OR($D1026=Sel_Region,Sel_Region="All"),OR($E1026=Sel_State,Sel_State="All"),OR($F1026=Sel_City,Sel_City="All"),OR($G1026=Sel_Dealer,Sel_Dealer="All"),OR($H1026=Sel_Model,Sel_Model="All"),OR($I1026=Sel_Segment,Sel_Segment="All"),OR($J1026=Sel_Fuel,Sel_Fuel="All"),OR($P1026=Sel_CustType,Sel_CustType="All"),OR($Q1026=Sel_Payment,Sel_Payment="All")),1,0)</f>
        <v>1</v>
      </c>
    </row>
    <row r="1027" spans="1:20">
      <c r="A1027" s="4">
        <v>44813</v>
      </c>
      <c r="B1027">
        <v>2022</v>
      </c>
      <c r="C1027">
        <v>9</v>
      </c>
      <c r="D1027" s="5" t="s">
        <v>35</v>
      </c>
      <c r="E1027" s="5" t="s">
        <v>60</v>
      </c>
      <c r="F1027" s="5" t="s">
        <v>61</v>
      </c>
      <c r="G1027" s="5" t="s">
        <v>62</v>
      </c>
      <c r="H1027" s="5" t="s">
        <v>52</v>
      </c>
      <c r="I1027" s="5" t="s">
        <v>53</v>
      </c>
      <c r="J1027" s="5" t="s">
        <v>41</v>
      </c>
      <c r="K1027">
        <v>55</v>
      </c>
      <c r="L1027">
        <v>957982</v>
      </c>
      <c r="M1027" s="26">
        <v>52689010</v>
      </c>
      <c r="N1027">
        <v>42214</v>
      </c>
      <c r="O1027" s="26">
        <v>8008658.9400000004</v>
      </c>
      <c r="P1027" s="5" t="s">
        <v>50</v>
      </c>
      <c r="Q1027" s="5" t="s">
        <v>75</v>
      </c>
      <c r="R1027">
        <v>4.4000000000000004</v>
      </c>
      <c r="S1027">
        <v>9</v>
      </c>
      <c r="T1027">
        <f t="shared" si="16"/>
        <v>0</v>
      </c>
    </row>
    <row r="1028" spans="1:20">
      <c r="A1028" s="4">
        <v>44828</v>
      </c>
      <c r="B1028">
        <v>2022</v>
      </c>
      <c r="C1028">
        <v>9</v>
      </c>
      <c r="D1028" s="5" t="s">
        <v>35</v>
      </c>
      <c r="E1028" s="5" t="s">
        <v>60</v>
      </c>
      <c r="F1028" s="5" t="s">
        <v>61</v>
      </c>
      <c r="G1028" s="5" t="s">
        <v>62</v>
      </c>
      <c r="H1028" s="5" t="s">
        <v>52</v>
      </c>
      <c r="I1028" s="5" t="s">
        <v>53</v>
      </c>
      <c r="J1028" s="5" t="s">
        <v>41</v>
      </c>
      <c r="K1028">
        <v>59</v>
      </c>
      <c r="L1028">
        <v>933825</v>
      </c>
      <c r="M1028" s="26">
        <v>55095675</v>
      </c>
      <c r="N1028">
        <v>13168</v>
      </c>
      <c r="O1028" s="26">
        <v>7805989.1900000004</v>
      </c>
      <c r="P1028" s="5" t="s">
        <v>50</v>
      </c>
      <c r="Q1028" s="5" t="s">
        <v>75</v>
      </c>
      <c r="R1028">
        <v>4.8</v>
      </c>
      <c r="S1028">
        <v>5</v>
      </c>
      <c r="T1028">
        <f t="shared" si="16"/>
        <v>0</v>
      </c>
    </row>
    <row r="1029" spans="1:20">
      <c r="A1029" s="4">
        <v>44830</v>
      </c>
      <c r="B1029">
        <v>2022</v>
      </c>
      <c r="C1029">
        <v>9</v>
      </c>
      <c r="D1029" s="5" t="s">
        <v>66</v>
      </c>
      <c r="E1029" s="5" t="s">
        <v>67</v>
      </c>
      <c r="F1029" s="5" t="s">
        <v>68</v>
      </c>
      <c r="G1029" s="5" t="s">
        <v>69</v>
      </c>
      <c r="H1029" s="5" t="s">
        <v>57</v>
      </c>
      <c r="I1029" s="5" t="s">
        <v>58</v>
      </c>
      <c r="J1029" s="5" t="s">
        <v>59</v>
      </c>
      <c r="K1029">
        <v>11</v>
      </c>
      <c r="L1029">
        <v>1413461</v>
      </c>
      <c r="M1029" s="26">
        <v>15548071</v>
      </c>
      <c r="N1029">
        <v>17430</v>
      </c>
      <c r="O1029" s="26">
        <v>2204321.86</v>
      </c>
      <c r="P1029" s="5" t="s">
        <v>42</v>
      </c>
      <c r="Q1029" s="5" t="s">
        <v>75</v>
      </c>
      <c r="R1029">
        <v>4.9000000000000004</v>
      </c>
      <c r="S1029">
        <v>4</v>
      </c>
      <c r="T1029">
        <f t="shared" si="16"/>
        <v>1</v>
      </c>
    </row>
    <row r="1030" spans="1:20">
      <c r="A1030" s="4">
        <v>44818</v>
      </c>
      <c r="B1030">
        <v>2022</v>
      </c>
      <c r="C1030">
        <v>9</v>
      </c>
      <c r="D1030" s="5" t="s">
        <v>66</v>
      </c>
      <c r="E1030" s="5" t="s">
        <v>67</v>
      </c>
      <c r="F1030" s="5" t="s">
        <v>68</v>
      </c>
      <c r="G1030" s="5" t="s">
        <v>69</v>
      </c>
      <c r="H1030" s="5" t="s">
        <v>52</v>
      </c>
      <c r="I1030" s="5" t="s">
        <v>53</v>
      </c>
      <c r="J1030" s="5" t="s">
        <v>41</v>
      </c>
      <c r="K1030">
        <v>33</v>
      </c>
      <c r="L1030">
        <v>949299</v>
      </c>
      <c r="M1030" s="26">
        <v>31326867</v>
      </c>
      <c r="N1030">
        <v>49671</v>
      </c>
      <c r="O1030" s="26">
        <v>3878286.65</v>
      </c>
      <c r="P1030" s="5" t="s">
        <v>50</v>
      </c>
      <c r="Q1030" s="5" t="s">
        <v>51</v>
      </c>
      <c r="R1030">
        <v>4.2</v>
      </c>
      <c r="S1030">
        <v>19</v>
      </c>
      <c r="T1030">
        <f t="shared" si="16"/>
        <v>0</v>
      </c>
    </row>
    <row r="1031" spans="1:20">
      <c r="A1031" s="4">
        <v>44832</v>
      </c>
      <c r="B1031">
        <v>2022</v>
      </c>
      <c r="C1031">
        <v>9</v>
      </c>
      <c r="D1031" s="5" t="s">
        <v>66</v>
      </c>
      <c r="E1031" s="5" t="s">
        <v>67</v>
      </c>
      <c r="F1031" s="5" t="s">
        <v>68</v>
      </c>
      <c r="G1031" s="5" t="s">
        <v>69</v>
      </c>
      <c r="H1031" s="5" t="s">
        <v>74</v>
      </c>
      <c r="I1031" s="5" t="s">
        <v>40</v>
      </c>
      <c r="J1031" s="5" t="s">
        <v>49</v>
      </c>
      <c r="K1031">
        <v>55</v>
      </c>
      <c r="L1031">
        <v>623885</v>
      </c>
      <c r="M1031" s="26">
        <v>34313675</v>
      </c>
      <c r="N1031">
        <v>31377</v>
      </c>
      <c r="O1031" s="26">
        <v>4607207.5999999996</v>
      </c>
      <c r="P1031" s="5" t="s">
        <v>42</v>
      </c>
      <c r="Q1031" s="5" t="s">
        <v>43</v>
      </c>
      <c r="R1031">
        <v>4</v>
      </c>
      <c r="S1031">
        <v>20</v>
      </c>
      <c r="T1031">
        <f t="shared" si="16"/>
        <v>1</v>
      </c>
    </row>
    <row r="1032" spans="1:20">
      <c r="A1032" s="4">
        <v>44820</v>
      </c>
      <c r="B1032">
        <v>2022</v>
      </c>
      <c r="C1032">
        <v>9</v>
      </c>
      <c r="D1032" s="5" t="s">
        <v>35</v>
      </c>
      <c r="E1032" s="5" t="s">
        <v>60</v>
      </c>
      <c r="F1032" s="5" t="s">
        <v>61</v>
      </c>
      <c r="G1032" s="5" t="s">
        <v>62</v>
      </c>
      <c r="H1032" s="5" t="s">
        <v>48</v>
      </c>
      <c r="I1032" s="5" t="s">
        <v>40</v>
      </c>
      <c r="J1032" s="5" t="s">
        <v>49</v>
      </c>
      <c r="K1032">
        <v>21</v>
      </c>
      <c r="L1032">
        <v>465008</v>
      </c>
      <c r="M1032" s="26">
        <v>9765168</v>
      </c>
      <c r="N1032">
        <v>33113</v>
      </c>
      <c r="O1032" s="26">
        <v>1294136.83</v>
      </c>
      <c r="P1032" s="5" t="s">
        <v>50</v>
      </c>
      <c r="Q1032" s="5" t="s">
        <v>51</v>
      </c>
      <c r="R1032">
        <v>4.4000000000000004</v>
      </c>
      <c r="S1032">
        <v>6</v>
      </c>
      <c r="T1032">
        <f t="shared" si="16"/>
        <v>0</v>
      </c>
    </row>
    <row r="1033" spans="1:20">
      <c r="A1033" s="4">
        <v>44812</v>
      </c>
      <c r="B1033">
        <v>2022</v>
      </c>
      <c r="C1033">
        <v>9</v>
      </c>
      <c r="D1033" s="5" t="s">
        <v>54</v>
      </c>
      <c r="E1033" s="5" t="s">
        <v>70</v>
      </c>
      <c r="F1033" s="5" t="s">
        <v>71</v>
      </c>
      <c r="G1033" s="5" t="s">
        <v>72</v>
      </c>
      <c r="H1033" s="5" t="s">
        <v>80</v>
      </c>
      <c r="I1033" s="5" t="s">
        <v>81</v>
      </c>
      <c r="J1033" s="5" t="s">
        <v>41</v>
      </c>
      <c r="K1033">
        <v>10</v>
      </c>
      <c r="L1033">
        <v>546052</v>
      </c>
      <c r="M1033" s="26">
        <v>5460520</v>
      </c>
      <c r="N1033">
        <v>20702</v>
      </c>
      <c r="O1033" s="26">
        <v>827405.97</v>
      </c>
      <c r="P1033" s="5" t="s">
        <v>42</v>
      </c>
      <c r="Q1033" s="5" t="s">
        <v>51</v>
      </c>
      <c r="R1033">
        <v>4</v>
      </c>
      <c r="S1033">
        <v>8</v>
      </c>
      <c r="T1033">
        <f t="shared" si="16"/>
        <v>1</v>
      </c>
    </row>
    <row r="1034" spans="1:20">
      <c r="A1034" s="4">
        <v>44808</v>
      </c>
      <c r="B1034">
        <v>2022</v>
      </c>
      <c r="C1034">
        <v>9</v>
      </c>
      <c r="D1034" s="5" t="s">
        <v>54</v>
      </c>
      <c r="E1034" s="5" t="s">
        <v>70</v>
      </c>
      <c r="F1034" s="5" t="s">
        <v>71</v>
      </c>
      <c r="G1034" s="5" t="s">
        <v>72</v>
      </c>
      <c r="H1034" s="5" t="s">
        <v>48</v>
      </c>
      <c r="I1034" s="5" t="s">
        <v>40</v>
      </c>
      <c r="J1034" s="5" t="s">
        <v>49</v>
      </c>
      <c r="K1034">
        <v>51</v>
      </c>
      <c r="L1034">
        <v>464366</v>
      </c>
      <c r="M1034" s="26">
        <v>23682666</v>
      </c>
      <c r="N1034">
        <v>17434</v>
      </c>
      <c r="O1034" s="26">
        <v>2851007.19</v>
      </c>
      <c r="P1034" s="5" t="s">
        <v>50</v>
      </c>
      <c r="Q1034" s="5" t="s">
        <v>43</v>
      </c>
      <c r="R1034">
        <v>4.0999999999999996</v>
      </c>
      <c r="S1034">
        <v>15</v>
      </c>
      <c r="T1034">
        <f t="shared" si="16"/>
        <v>0</v>
      </c>
    </row>
    <row r="1035" spans="1:20">
      <c r="A1035" s="4">
        <v>44812</v>
      </c>
      <c r="B1035">
        <v>2022</v>
      </c>
      <c r="C1035">
        <v>9</v>
      </c>
      <c r="D1035" s="5" t="s">
        <v>44</v>
      </c>
      <c r="E1035" s="5" t="s">
        <v>82</v>
      </c>
      <c r="F1035" s="5" t="s">
        <v>83</v>
      </c>
      <c r="G1035" s="5" t="s">
        <v>84</v>
      </c>
      <c r="H1035" s="5" t="s">
        <v>85</v>
      </c>
      <c r="I1035" s="5" t="s">
        <v>58</v>
      </c>
      <c r="J1035" s="5" t="s">
        <v>49</v>
      </c>
      <c r="K1035">
        <v>13</v>
      </c>
      <c r="L1035">
        <v>1002886</v>
      </c>
      <c r="M1035" s="26">
        <v>13037518</v>
      </c>
      <c r="N1035">
        <v>23340</v>
      </c>
      <c r="O1035" s="26">
        <v>1322152.58</v>
      </c>
      <c r="P1035" s="5" t="s">
        <v>50</v>
      </c>
      <c r="Q1035" s="5" t="s">
        <v>75</v>
      </c>
      <c r="R1035">
        <v>4.5</v>
      </c>
      <c r="S1035">
        <v>3</v>
      </c>
      <c r="T1035">
        <f t="shared" si="16"/>
        <v>0</v>
      </c>
    </row>
    <row r="1036" spans="1:20">
      <c r="A1036" s="4">
        <v>44828</v>
      </c>
      <c r="B1036">
        <v>2022</v>
      </c>
      <c r="C1036">
        <v>9</v>
      </c>
      <c r="D1036" s="5" t="s">
        <v>54</v>
      </c>
      <c r="E1036" s="5" t="s">
        <v>70</v>
      </c>
      <c r="F1036" s="5" t="s">
        <v>71</v>
      </c>
      <c r="G1036" s="5" t="s">
        <v>72</v>
      </c>
      <c r="H1036" s="5" t="s">
        <v>57</v>
      </c>
      <c r="I1036" s="5" t="s">
        <v>58</v>
      </c>
      <c r="J1036" s="5" t="s">
        <v>59</v>
      </c>
      <c r="K1036">
        <v>13</v>
      </c>
      <c r="L1036">
        <v>1376271</v>
      </c>
      <c r="M1036" s="26">
        <v>17891523</v>
      </c>
      <c r="N1036">
        <v>45709</v>
      </c>
      <c r="O1036" s="26">
        <v>2710649.47</v>
      </c>
      <c r="P1036" s="5" t="s">
        <v>42</v>
      </c>
      <c r="Q1036" s="5" t="s">
        <v>51</v>
      </c>
      <c r="R1036">
        <v>4</v>
      </c>
      <c r="S1036">
        <v>10</v>
      </c>
      <c r="T1036">
        <f t="shared" si="16"/>
        <v>1</v>
      </c>
    </row>
    <row r="1037" spans="1:20">
      <c r="A1037" s="4">
        <v>44832</v>
      </c>
      <c r="B1037">
        <v>2022</v>
      </c>
      <c r="C1037">
        <v>9</v>
      </c>
      <c r="D1037" s="5" t="s">
        <v>44</v>
      </c>
      <c r="E1037" s="5" t="s">
        <v>45</v>
      </c>
      <c r="F1037" s="5" t="s">
        <v>46</v>
      </c>
      <c r="G1037" s="5" t="s">
        <v>47</v>
      </c>
      <c r="H1037" s="5" t="s">
        <v>39</v>
      </c>
      <c r="I1037" s="5" t="s">
        <v>40</v>
      </c>
      <c r="J1037" s="5" t="s">
        <v>41</v>
      </c>
      <c r="K1037">
        <v>19</v>
      </c>
      <c r="L1037">
        <v>607192</v>
      </c>
      <c r="M1037" s="26">
        <v>11536648</v>
      </c>
      <c r="N1037">
        <v>24465</v>
      </c>
      <c r="O1037" s="26">
        <v>1530811.28</v>
      </c>
      <c r="P1037" s="5" t="s">
        <v>42</v>
      </c>
      <c r="Q1037" s="5" t="s">
        <v>75</v>
      </c>
      <c r="R1037">
        <v>4.8</v>
      </c>
      <c r="S1037">
        <v>7</v>
      </c>
      <c r="T1037">
        <f t="shared" si="16"/>
        <v>1</v>
      </c>
    </row>
    <row r="1038" spans="1:20">
      <c r="A1038" s="4">
        <v>44826</v>
      </c>
      <c r="B1038">
        <v>2022</v>
      </c>
      <c r="C1038">
        <v>9</v>
      </c>
      <c r="D1038" s="5" t="s">
        <v>44</v>
      </c>
      <c r="E1038" s="5" t="s">
        <v>82</v>
      </c>
      <c r="F1038" s="5" t="s">
        <v>83</v>
      </c>
      <c r="G1038" s="5" t="s">
        <v>84</v>
      </c>
      <c r="H1038" s="5" t="s">
        <v>85</v>
      </c>
      <c r="I1038" s="5" t="s">
        <v>58</v>
      </c>
      <c r="J1038" s="5" t="s">
        <v>49</v>
      </c>
      <c r="K1038">
        <v>16</v>
      </c>
      <c r="L1038">
        <v>959342</v>
      </c>
      <c r="M1038" s="26">
        <v>15349472</v>
      </c>
      <c r="N1038">
        <v>19704</v>
      </c>
      <c r="O1038" s="26">
        <v>1803278.02</v>
      </c>
      <c r="P1038" s="5" t="s">
        <v>42</v>
      </c>
      <c r="Q1038" s="5" t="s">
        <v>43</v>
      </c>
      <c r="R1038">
        <v>4.5</v>
      </c>
      <c r="S1038">
        <v>2</v>
      </c>
      <c r="T1038">
        <f t="shared" si="16"/>
        <v>1</v>
      </c>
    </row>
    <row r="1039" spans="1:20">
      <c r="A1039" s="4">
        <v>44820</v>
      </c>
      <c r="B1039">
        <v>2022</v>
      </c>
      <c r="C1039">
        <v>9</v>
      </c>
      <c r="D1039" s="5" t="s">
        <v>54</v>
      </c>
      <c r="E1039" s="5" t="s">
        <v>70</v>
      </c>
      <c r="F1039" s="5" t="s">
        <v>71</v>
      </c>
      <c r="G1039" s="5" t="s">
        <v>72</v>
      </c>
      <c r="H1039" s="5" t="s">
        <v>79</v>
      </c>
      <c r="I1039" s="5" t="s">
        <v>58</v>
      </c>
      <c r="J1039" s="5" t="s">
        <v>49</v>
      </c>
      <c r="K1039">
        <v>8</v>
      </c>
      <c r="L1039">
        <v>894232</v>
      </c>
      <c r="M1039" s="26">
        <v>7153856</v>
      </c>
      <c r="N1039">
        <v>20728</v>
      </c>
      <c r="O1039" s="26">
        <v>751960.56</v>
      </c>
      <c r="P1039" s="5" t="s">
        <v>50</v>
      </c>
      <c r="Q1039" s="5" t="s">
        <v>43</v>
      </c>
      <c r="R1039">
        <v>4</v>
      </c>
      <c r="S1039">
        <v>4</v>
      </c>
      <c r="T1039">
        <f t="shared" si="16"/>
        <v>0</v>
      </c>
    </row>
    <row r="1040" spans="1:20">
      <c r="A1040" s="4">
        <v>44816</v>
      </c>
      <c r="B1040">
        <v>2022</v>
      </c>
      <c r="C1040">
        <v>9</v>
      </c>
      <c r="D1040" s="5" t="s">
        <v>44</v>
      </c>
      <c r="E1040" s="5" t="s">
        <v>45</v>
      </c>
      <c r="F1040" s="5" t="s">
        <v>46</v>
      </c>
      <c r="G1040" s="5" t="s">
        <v>47</v>
      </c>
      <c r="H1040" s="5" t="s">
        <v>86</v>
      </c>
      <c r="I1040" s="5" t="s">
        <v>40</v>
      </c>
      <c r="J1040" s="5" t="s">
        <v>41</v>
      </c>
      <c r="K1040">
        <v>60</v>
      </c>
      <c r="L1040">
        <v>573506</v>
      </c>
      <c r="M1040" s="26">
        <v>34410360</v>
      </c>
      <c r="N1040">
        <v>33846</v>
      </c>
      <c r="O1040" s="26">
        <v>5310340.72</v>
      </c>
      <c r="P1040" s="5" t="s">
        <v>42</v>
      </c>
      <c r="Q1040" s="5" t="s">
        <v>75</v>
      </c>
      <c r="R1040">
        <v>3.7</v>
      </c>
      <c r="S1040">
        <v>18</v>
      </c>
      <c r="T1040">
        <f t="shared" si="16"/>
        <v>1</v>
      </c>
    </row>
    <row r="1041" spans="1:20">
      <c r="A1041" s="4">
        <v>44815</v>
      </c>
      <c r="B1041">
        <v>2022</v>
      </c>
      <c r="C1041">
        <v>9</v>
      </c>
      <c r="D1041" s="5" t="s">
        <v>54</v>
      </c>
      <c r="E1041" s="5" t="s">
        <v>70</v>
      </c>
      <c r="F1041" s="5" t="s">
        <v>71</v>
      </c>
      <c r="G1041" s="5" t="s">
        <v>72</v>
      </c>
      <c r="H1041" s="5" t="s">
        <v>79</v>
      </c>
      <c r="I1041" s="5" t="s">
        <v>58</v>
      </c>
      <c r="J1041" s="5" t="s">
        <v>49</v>
      </c>
      <c r="K1041">
        <v>36</v>
      </c>
      <c r="L1041">
        <v>912874</v>
      </c>
      <c r="M1041" s="26">
        <v>32863464</v>
      </c>
      <c r="N1041">
        <v>16772</v>
      </c>
      <c r="O1041" s="26">
        <v>3939245.93</v>
      </c>
      <c r="P1041" s="5" t="s">
        <v>42</v>
      </c>
      <c r="Q1041" s="5" t="s">
        <v>75</v>
      </c>
      <c r="R1041">
        <v>3.9</v>
      </c>
      <c r="S1041">
        <v>14</v>
      </c>
      <c r="T1041">
        <f t="shared" si="16"/>
        <v>1</v>
      </c>
    </row>
    <row r="1042" spans="1:20">
      <c r="A1042" s="4">
        <v>44816</v>
      </c>
      <c r="B1042">
        <v>2022</v>
      </c>
      <c r="C1042">
        <v>9</v>
      </c>
      <c r="D1042" s="5" t="s">
        <v>35</v>
      </c>
      <c r="E1042" s="5" t="s">
        <v>60</v>
      </c>
      <c r="F1042" s="5" t="s">
        <v>61</v>
      </c>
      <c r="G1042" s="5" t="s">
        <v>62</v>
      </c>
      <c r="H1042" s="5" t="s">
        <v>57</v>
      </c>
      <c r="I1042" s="5" t="s">
        <v>58</v>
      </c>
      <c r="J1042" s="5" t="s">
        <v>59</v>
      </c>
      <c r="K1042">
        <v>53</v>
      </c>
      <c r="L1042">
        <v>1375720</v>
      </c>
      <c r="M1042" s="26">
        <v>72913160</v>
      </c>
      <c r="N1042">
        <v>5419</v>
      </c>
      <c r="O1042" s="26">
        <v>7081741.2300000004</v>
      </c>
      <c r="P1042" s="5" t="s">
        <v>50</v>
      </c>
      <c r="Q1042" s="5" t="s">
        <v>75</v>
      </c>
      <c r="R1042">
        <v>3.8</v>
      </c>
      <c r="S1042">
        <v>17</v>
      </c>
      <c r="T1042">
        <f t="shared" si="16"/>
        <v>0</v>
      </c>
    </row>
    <row r="1043" spans="1:20">
      <c r="A1043" s="4">
        <v>44828</v>
      </c>
      <c r="B1043">
        <v>2022</v>
      </c>
      <c r="C1043">
        <v>9</v>
      </c>
      <c r="D1043" s="5" t="s">
        <v>35</v>
      </c>
      <c r="E1043" s="5" t="s">
        <v>60</v>
      </c>
      <c r="F1043" s="5" t="s">
        <v>61</v>
      </c>
      <c r="G1043" s="5" t="s">
        <v>62</v>
      </c>
      <c r="H1043" s="5" t="s">
        <v>79</v>
      </c>
      <c r="I1043" s="5" t="s">
        <v>58</v>
      </c>
      <c r="J1043" s="5" t="s">
        <v>49</v>
      </c>
      <c r="K1043">
        <v>46</v>
      </c>
      <c r="L1043">
        <v>885039</v>
      </c>
      <c r="M1043" s="26">
        <v>40711794</v>
      </c>
      <c r="N1043">
        <v>32770</v>
      </c>
      <c r="O1043" s="26">
        <v>4868558.08</v>
      </c>
      <c r="P1043" s="5" t="s">
        <v>42</v>
      </c>
      <c r="Q1043" s="5" t="s">
        <v>75</v>
      </c>
      <c r="R1043">
        <v>3.5</v>
      </c>
      <c r="S1043">
        <v>7</v>
      </c>
      <c r="T1043">
        <f t="shared" si="16"/>
        <v>1</v>
      </c>
    </row>
    <row r="1044" spans="1:20">
      <c r="A1044" s="4">
        <v>44806</v>
      </c>
      <c r="B1044">
        <v>2022</v>
      </c>
      <c r="C1044">
        <v>9</v>
      </c>
      <c r="D1044" s="5" t="s">
        <v>35</v>
      </c>
      <c r="E1044" s="5" t="s">
        <v>36</v>
      </c>
      <c r="F1044" s="5" t="s">
        <v>37</v>
      </c>
      <c r="G1044" s="5" t="s">
        <v>38</v>
      </c>
      <c r="H1044" s="5" t="s">
        <v>48</v>
      </c>
      <c r="I1044" s="5" t="s">
        <v>40</v>
      </c>
      <c r="J1044" s="5" t="s">
        <v>49</v>
      </c>
      <c r="K1044">
        <v>16</v>
      </c>
      <c r="L1044">
        <v>457475</v>
      </c>
      <c r="M1044" s="26">
        <v>7319600</v>
      </c>
      <c r="N1044">
        <v>19977</v>
      </c>
      <c r="O1044" s="26">
        <v>1130117.26</v>
      </c>
      <c r="P1044" s="5" t="s">
        <v>42</v>
      </c>
      <c r="Q1044" s="5" t="s">
        <v>51</v>
      </c>
      <c r="R1044">
        <v>4.3</v>
      </c>
      <c r="S1044">
        <v>8</v>
      </c>
      <c r="T1044">
        <f t="shared" si="16"/>
        <v>1</v>
      </c>
    </row>
    <row r="1045" spans="1:20">
      <c r="A1045" s="4">
        <v>44828</v>
      </c>
      <c r="B1045">
        <v>2022</v>
      </c>
      <c r="C1045">
        <v>9</v>
      </c>
      <c r="D1045" s="5" t="s">
        <v>54</v>
      </c>
      <c r="E1045" s="5" t="s">
        <v>70</v>
      </c>
      <c r="F1045" s="5" t="s">
        <v>71</v>
      </c>
      <c r="G1045" s="5" t="s">
        <v>72</v>
      </c>
      <c r="H1045" s="5" t="s">
        <v>86</v>
      </c>
      <c r="I1045" s="5" t="s">
        <v>40</v>
      </c>
      <c r="J1045" s="5" t="s">
        <v>41</v>
      </c>
      <c r="K1045">
        <v>42</v>
      </c>
      <c r="L1045">
        <v>616239</v>
      </c>
      <c r="M1045" s="26">
        <v>25882038</v>
      </c>
      <c r="N1045">
        <v>18075</v>
      </c>
      <c r="O1045" s="26">
        <v>3897939.07</v>
      </c>
      <c r="P1045" s="5" t="s">
        <v>50</v>
      </c>
      <c r="Q1045" s="5" t="s">
        <v>51</v>
      </c>
      <c r="R1045">
        <v>4.0999999999999996</v>
      </c>
      <c r="S1045">
        <v>6</v>
      </c>
      <c r="T1045">
        <f t="shared" si="16"/>
        <v>0</v>
      </c>
    </row>
    <row r="1046" spans="1:20">
      <c r="A1046" s="4">
        <v>44827</v>
      </c>
      <c r="B1046">
        <v>2022</v>
      </c>
      <c r="C1046">
        <v>9</v>
      </c>
      <c r="D1046" s="5" t="s">
        <v>35</v>
      </c>
      <c r="E1046" s="5" t="s">
        <v>60</v>
      </c>
      <c r="F1046" s="5" t="s">
        <v>61</v>
      </c>
      <c r="G1046" s="5" t="s">
        <v>62</v>
      </c>
      <c r="H1046" s="5" t="s">
        <v>80</v>
      </c>
      <c r="I1046" s="5" t="s">
        <v>81</v>
      </c>
      <c r="J1046" s="5" t="s">
        <v>41</v>
      </c>
      <c r="K1046">
        <v>21</v>
      </c>
      <c r="L1046">
        <v>577975</v>
      </c>
      <c r="M1046" s="26">
        <v>12137475</v>
      </c>
      <c r="N1046">
        <v>36737</v>
      </c>
      <c r="O1046" s="26">
        <v>1333579.73</v>
      </c>
      <c r="P1046" s="5" t="s">
        <v>50</v>
      </c>
      <c r="Q1046" s="5" t="s">
        <v>51</v>
      </c>
      <c r="R1046">
        <v>3.6</v>
      </c>
      <c r="S1046">
        <v>7</v>
      </c>
      <c r="T1046">
        <f t="shared" si="16"/>
        <v>0</v>
      </c>
    </row>
    <row r="1047" spans="1:20">
      <c r="A1047" s="4">
        <v>44830</v>
      </c>
      <c r="B1047">
        <v>2022</v>
      </c>
      <c r="C1047">
        <v>9</v>
      </c>
      <c r="D1047" s="5" t="s">
        <v>54</v>
      </c>
      <c r="E1047" s="5" t="s">
        <v>70</v>
      </c>
      <c r="F1047" s="5" t="s">
        <v>71</v>
      </c>
      <c r="G1047" s="5" t="s">
        <v>72</v>
      </c>
      <c r="H1047" s="5" t="s">
        <v>63</v>
      </c>
      <c r="I1047" s="5" t="s">
        <v>64</v>
      </c>
      <c r="J1047" s="5" t="s">
        <v>41</v>
      </c>
      <c r="K1047">
        <v>40</v>
      </c>
      <c r="L1047">
        <v>783492</v>
      </c>
      <c r="M1047" s="26">
        <v>31339680</v>
      </c>
      <c r="N1047">
        <v>13284</v>
      </c>
      <c r="O1047" s="26">
        <v>3787058.33</v>
      </c>
      <c r="P1047" s="5" t="s">
        <v>42</v>
      </c>
      <c r="Q1047" s="5" t="s">
        <v>75</v>
      </c>
      <c r="R1047">
        <v>4.3</v>
      </c>
      <c r="S1047">
        <v>6</v>
      </c>
      <c r="T1047">
        <f t="shared" si="16"/>
        <v>1</v>
      </c>
    </row>
    <row r="1048" spans="1:20">
      <c r="A1048" s="4">
        <v>44830</v>
      </c>
      <c r="B1048">
        <v>2022</v>
      </c>
      <c r="C1048">
        <v>9</v>
      </c>
      <c r="D1048" s="5" t="s">
        <v>35</v>
      </c>
      <c r="E1048" s="5" t="s">
        <v>76</v>
      </c>
      <c r="F1048" s="5" t="s">
        <v>77</v>
      </c>
      <c r="G1048" s="5" t="s">
        <v>78</v>
      </c>
      <c r="H1048" s="5" t="s">
        <v>85</v>
      </c>
      <c r="I1048" s="5" t="s">
        <v>58</v>
      </c>
      <c r="J1048" s="5" t="s">
        <v>49</v>
      </c>
      <c r="K1048">
        <v>18</v>
      </c>
      <c r="L1048">
        <v>998287</v>
      </c>
      <c r="M1048" s="26">
        <v>17969166</v>
      </c>
      <c r="N1048">
        <v>28137</v>
      </c>
      <c r="O1048" s="26">
        <v>1767755.44</v>
      </c>
      <c r="P1048" s="5" t="s">
        <v>42</v>
      </c>
      <c r="Q1048" s="5" t="s">
        <v>75</v>
      </c>
      <c r="R1048">
        <v>4.5999999999999996</v>
      </c>
      <c r="S1048">
        <v>21</v>
      </c>
      <c r="T1048">
        <f t="shared" si="16"/>
        <v>1</v>
      </c>
    </row>
    <row r="1049" spans="1:20">
      <c r="A1049" s="4">
        <v>44813</v>
      </c>
      <c r="B1049">
        <v>2022</v>
      </c>
      <c r="C1049">
        <v>9</v>
      </c>
      <c r="D1049" s="5" t="s">
        <v>35</v>
      </c>
      <c r="E1049" s="5" t="s">
        <v>36</v>
      </c>
      <c r="F1049" s="5" t="s">
        <v>37</v>
      </c>
      <c r="G1049" s="5" t="s">
        <v>38</v>
      </c>
      <c r="H1049" s="5" t="s">
        <v>57</v>
      </c>
      <c r="I1049" s="5" t="s">
        <v>58</v>
      </c>
      <c r="J1049" s="5" t="s">
        <v>59</v>
      </c>
      <c r="K1049">
        <v>22</v>
      </c>
      <c r="L1049">
        <v>1379371</v>
      </c>
      <c r="M1049" s="26">
        <v>30346162</v>
      </c>
      <c r="N1049">
        <v>33733</v>
      </c>
      <c r="O1049" s="26">
        <v>3275059.45</v>
      </c>
      <c r="P1049" s="5" t="s">
        <v>42</v>
      </c>
      <c r="Q1049" s="5" t="s">
        <v>75</v>
      </c>
      <c r="R1049">
        <v>4.2</v>
      </c>
      <c r="S1049">
        <v>18</v>
      </c>
      <c r="T1049">
        <f t="shared" si="16"/>
        <v>1</v>
      </c>
    </row>
    <row r="1050" spans="1:20">
      <c r="A1050" s="4">
        <v>44825</v>
      </c>
      <c r="B1050">
        <v>2022</v>
      </c>
      <c r="C1050">
        <v>9</v>
      </c>
      <c r="D1050" s="5" t="s">
        <v>44</v>
      </c>
      <c r="E1050" s="5" t="s">
        <v>82</v>
      </c>
      <c r="F1050" s="5" t="s">
        <v>83</v>
      </c>
      <c r="G1050" s="5" t="s">
        <v>84</v>
      </c>
      <c r="H1050" s="5" t="s">
        <v>79</v>
      </c>
      <c r="I1050" s="5" t="s">
        <v>58</v>
      </c>
      <c r="J1050" s="5" t="s">
        <v>49</v>
      </c>
      <c r="K1050">
        <v>44</v>
      </c>
      <c r="L1050">
        <v>891046</v>
      </c>
      <c r="M1050" s="26">
        <v>39206024</v>
      </c>
      <c r="N1050">
        <v>7298</v>
      </c>
      <c r="O1050" s="26">
        <v>5235602.01</v>
      </c>
      <c r="P1050" s="5" t="s">
        <v>42</v>
      </c>
      <c r="Q1050" s="5" t="s">
        <v>43</v>
      </c>
      <c r="R1050">
        <v>4.9000000000000004</v>
      </c>
      <c r="S1050">
        <v>9</v>
      </c>
      <c r="T1050">
        <f t="shared" si="16"/>
        <v>1</v>
      </c>
    </row>
    <row r="1051" spans="1:20">
      <c r="A1051" s="4">
        <v>44825</v>
      </c>
      <c r="B1051">
        <v>2022</v>
      </c>
      <c r="C1051">
        <v>9</v>
      </c>
      <c r="D1051" s="5" t="s">
        <v>54</v>
      </c>
      <c r="E1051" s="5" t="s">
        <v>55</v>
      </c>
      <c r="F1051" s="5" t="s">
        <v>55</v>
      </c>
      <c r="G1051" s="5" t="s">
        <v>56</v>
      </c>
      <c r="H1051" s="5" t="s">
        <v>65</v>
      </c>
      <c r="I1051" s="5" t="s">
        <v>53</v>
      </c>
      <c r="J1051" s="5" t="s">
        <v>49</v>
      </c>
      <c r="K1051">
        <v>46</v>
      </c>
      <c r="L1051">
        <v>1223118</v>
      </c>
      <c r="M1051" s="26">
        <v>56263428</v>
      </c>
      <c r="N1051">
        <v>38834</v>
      </c>
      <c r="O1051" s="26">
        <v>7511702.3499999996</v>
      </c>
      <c r="P1051" s="5" t="s">
        <v>42</v>
      </c>
      <c r="Q1051" s="5" t="s">
        <v>75</v>
      </c>
      <c r="R1051">
        <v>4.9000000000000004</v>
      </c>
      <c r="S1051">
        <v>13</v>
      </c>
      <c r="T1051">
        <f t="shared" si="16"/>
        <v>1</v>
      </c>
    </row>
    <row r="1052" spans="1:20">
      <c r="A1052" s="4">
        <v>44841</v>
      </c>
      <c r="B1052">
        <v>2022</v>
      </c>
      <c r="C1052">
        <v>10</v>
      </c>
      <c r="D1052" s="5" t="s">
        <v>35</v>
      </c>
      <c r="E1052" s="5" t="s">
        <v>60</v>
      </c>
      <c r="F1052" s="5" t="s">
        <v>61</v>
      </c>
      <c r="G1052" s="5" t="s">
        <v>62</v>
      </c>
      <c r="H1052" s="5" t="s">
        <v>39</v>
      </c>
      <c r="I1052" s="5" t="s">
        <v>40</v>
      </c>
      <c r="J1052" s="5" t="s">
        <v>41</v>
      </c>
      <c r="K1052">
        <v>54</v>
      </c>
      <c r="L1052">
        <v>556288</v>
      </c>
      <c r="M1052" s="26">
        <v>30039552</v>
      </c>
      <c r="N1052">
        <v>41707</v>
      </c>
      <c r="O1052" s="26">
        <v>2442548.79</v>
      </c>
      <c r="P1052" s="5" t="s">
        <v>42</v>
      </c>
      <c r="Q1052" s="5" t="s">
        <v>43</v>
      </c>
      <c r="R1052">
        <v>3.7</v>
      </c>
      <c r="S1052">
        <v>9</v>
      </c>
      <c r="T1052">
        <f t="shared" si="16"/>
        <v>1</v>
      </c>
    </row>
    <row r="1053" spans="1:20">
      <c r="A1053" s="4">
        <v>44835</v>
      </c>
      <c r="B1053">
        <v>2022</v>
      </c>
      <c r="C1053">
        <v>10</v>
      </c>
      <c r="D1053" s="5" t="s">
        <v>35</v>
      </c>
      <c r="E1053" s="5" t="s">
        <v>36</v>
      </c>
      <c r="F1053" s="5" t="s">
        <v>37</v>
      </c>
      <c r="G1053" s="5" t="s">
        <v>38</v>
      </c>
      <c r="H1053" s="5" t="s">
        <v>73</v>
      </c>
      <c r="I1053" s="5" t="s">
        <v>40</v>
      </c>
      <c r="J1053" s="5" t="s">
        <v>49</v>
      </c>
      <c r="K1053">
        <v>34</v>
      </c>
      <c r="L1053">
        <v>706307</v>
      </c>
      <c r="M1053" s="26">
        <v>24014438</v>
      </c>
      <c r="N1053">
        <v>20241</v>
      </c>
      <c r="O1053" s="26">
        <v>3568619.19</v>
      </c>
      <c r="P1053" s="5" t="s">
        <v>42</v>
      </c>
      <c r="Q1053" s="5" t="s">
        <v>75</v>
      </c>
      <c r="R1053">
        <v>4.0999999999999996</v>
      </c>
      <c r="S1053">
        <v>7</v>
      </c>
      <c r="T1053">
        <f t="shared" si="16"/>
        <v>1</v>
      </c>
    </row>
    <row r="1054" spans="1:20">
      <c r="A1054" s="4">
        <v>44843</v>
      </c>
      <c r="B1054">
        <v>2022</v>
      </c>
      <c r="C1054">
        <v>10</v>
      </c>
      <c r="D1054" s="5" t="s">
        <v>44</v>
      </c>
      <c r="E1054" s="5" t="s">
        <v>45</v>
      </c>
      <c r="F1054" s="5" t="s">
        <v>46</v>
      </c>
      <c r="G1054" s="5" t="s">
        <v>47</v>
      </c>
      <c r="H1054" s="5" t="s">
        <v>48</v>
      </c>
      <c r="I1054" s="5" t="s">
        <v>40</v>
      </c>
      <c r="J1054" s="5" t="s">
        <v>49</v>
      </c>
      <c r="K1054">
        <v>55</v>
      </c>
      <c r="L1054">
        <v>432478</v>
      </c>
      <c r="M1054" s="26">
        <v>23786290</v>
      </c>
      <c r="N1054">
        <v>40197</v>
      </c>
      <c r="O1054" s="26">
        <v>2458586.4</v>
      </c>
      <c r="P1054" s="5" t="s">
        <v>42</v>
      </c>
      <c r="Q1054" s="5" t="s">
        <v>75</v>
      </c>
      <c r="R1054">
        <v>4.4000000000000004</v>
      </c>
      <c r="S1054">
        <v>9</v>
      </c>
      <c r="T1054">
        <f t="shared" si="16"/>
        <v>1</v>
      </c>
    </row>
    <row r="1055" spans="1:20">
      <c r="A1055" s="4">
        <v>44859</v>
      </c>
      <c r="B1055">
        <v>2022</v>
      </c>
      <c r="C1055">
        <v>10</v>
      </c>
      <c r="D1055" s="5" t="s">
        <v>35</v>
      </c>
      <c r="E1055" s="5" t="s">
        <v>36</v>
      </c>
      <c r="F1055" s="5" t="s">
        <v>37</v>
      </c>
      <c r="G1055" s="5" t="s">
        <v>38</v>
      </c>
      <c r="H1055" s="5" t="s">
        <v>57</v>
      </c>
      <c r="I1055" s="5" t="s">
        <v>58</v>
      </c>
      <c r="J1055" s="5" t="s">
        <v>59</v>
      </c>
      <c r="K1055">
        <v>13</v>
      </c>
      <c r="L1055">
        <v>1397118</v>
      </c>
      <c r="M1055" s="26">
        <v>18162534</v>
      </c>
      <c r="N1055">
        <v>27574</v>
      </c>
      <c r="O1055" s="26">
        <v>2285358.91</v>
      </c>
      <c r="P1055" s="5" t="s">
        <v>42</v>
      </c>
      <c r="Q1055" s="5" t="s">
        <v>43</v>
      </c>
      <c r="R1055">
        <v>4</v>
      </c>
      <c r="S1055">
        <v>4</v>
      </c>
      <c r="T1055">
        <f t="shared" si="16"/>
        <v>1</v>
      </c>
    </row>
    <row r="1056" spans="1:20">
      <c r="A1056" s="4">
        <v>44846</v>
      </c>
      <c r="B1056">
        <v>2022</v>
      </c>
      <c r="C1056">
        <v>10</v>
      </c>
      <c r="D1056" s="5" t="s">
        <v>44</v>
      </c>
      <c r="E1056" s="5" t="s">
        <v>45</v>
      </c>
      <c r="F1056" s="5" t="s">
        <v>46</v>
      </c>
      <c r="G1056" s="5" t="s">
        <v>47</v>
      </c>
      <c r="H1056" s="5" t="s">
        <v>39</v>
      </c>
      <c r="I1056" s="5" t="s">
        <v>40</v>
      </c>
      <c r="J1056" s="5" t="s">
        <v>41</v>
      </c>
      <c r="K1056">
        <v>54</v>
      </c>
      <c r="L1056">
        <v>587750</v>
      </c>
      <c r="M1056" s="26">
        <v>31738500</v>
      </c>
      <c r="N1056">
        <v>45213</v>
      </c>
      <c r="O1056" s="26">
        <v>3512576.99</v>
      </c>
      <c r="P1056" s="5" t="s">
        <v>50</v>
      </c>
      <c r="Q1056" s="5" t="s">
        <v>75</v>
      </c>
      <c r="R1056">
        <v>5</v>
      </c>
      <c r="S1056">
        <v>15</v>
      </c>
      <c r="T1056">
        <f t="shared" si="16"/>
        <v>0</v>
      </c>
    </row>
    <row r="1057" spans="1:20">
      <c r="A1057" s="4">
        <v>44847</v>
      </c>
      <c r="B1057">
        <v>2022</v>
      </c>
      <c r="C1057">
        <v>10</v>
      </c>
      <c r="D1057" s="5" t="s">
        <v>66</v>
      </c>
      <c r="E1057" s="5" t="s">
        <v>67</v>
      </c>
      <c r="F1057" s="5" t="s">
        <v>68</v>
      </c>
      <c r="G1057" s="5" t="s">
        <v>69</v>
      </c>
      <c r="H1057" s="5" t="s">
        <v>80</v>
      </c>
      <c r="I1057" s="5" t="s">
        <v>81</v>
      </c>
      <c r="J1057" s="5" t="s">
        <v>41</v>
      </c>
      <c r="K1057">
        <v>17</v>
      </c>
      <c r="L1057">
        <v>564856</v>
      </c>
      <c r="M1057" s="26">
        <v>9602552</v>
      </c>
      <c r="N1057">
        <v>8944</v>
      </c>
      <c r="O1057" s="26">
        <v>1420237.21</v>
      </c>
      <c r="P1057" s="5" t="s">
        <v>50</v>
      </c>
      <c r="Q1057" s="5" t="s">
        <v>75</v>
      </c>
      <c r="R1057">
        <v>4</v>
      </c>
      <c r="S1057">
        <v>3</v>
      </c>
      <c r="T1057">
        <f t="shared" si="16"/>
        <v>0</v>
      </c>
    </row>
    <row r="1058" spans="1:20">
      <c r="A1058" s="4">
        <v>44845</v>
      </c>
      <c r="B1058">
        <v>2022</v>
      </c>
      <c r="C1058">
        <v>10</v>
      </c>
      <c r="D1058" s="5" t="s">
        <v>54</v>
      </c>
      <c r="E1058" s="5" t="s">
        <v>70</v>
      </c>
      <c r="F1058" s="5" t="s">
        <v>71</v>
      </c>
      <c r="G1058" s="5" t="s">
        <v>72</v>
      </c>
      <c r="H1058" s="5" t="s">
        <v>52</v>
      </c>
      <c r="I1058" s="5" t="s">
        <v>53</v>
      </c>
      <c r="J1058" s="5" t="s">
        <v>41</v>
      </c>
      <c r="K1058">
        <v>60</v>
      </c>
      <c r="L1058">
        <v>940077</v>
      </c>
      <c r="M1058" s="26">
        <v>56404620</v>
      </c>
      <c r="N1058">
        <v>18972</v>
      </c>
      <c r="O1058" s="26">
        <v>8699890.7599999998</v>
      </c>
      <c r="P1058" s="5" t="s">
        <v>42</v>
      </c>
      <c r="Q1058" s="5" t="s">
        <v>75</v>
      </c>
      <c r="R1058">
        <v>3.9</v>
      </c>
      <c r="S1058">
        <v>2</v>
      </c>
      <c r="T1058">
        <f t="shared" si="16"/>
        <v>1</v>
      </c>
    </row>
    <row r="1059" spans="1:20">
      <c r="A1059" s="4">
        <v>44862</v>
      </c>
      <c r="B1059">
        <v>2022</v>
      </c>
      <c r="C1059">
        <v>10</v>
      </c>
      <c r="D1059" s="5" t="s">
        <v>35</v>
      </c>
      <c r="E1059" s="5" t="s">
        <v>60</v>
      </c>
      <c r="F1059" s="5" t="s">
        <v>61</v>
      </c>
      <c r="G1059" s="5" t="s">
        <v>62</v>
      </c>
      <c r="H1059" s="5" t="s">
        <v>74</v>
      </c>
      <c r="I1059" s="5" t="s">
        <v>40</v>
      </c>
      <c r="J1059" s="5" t="s">
        <v>49</v>
      </c>
      <c r="K1059">
        <v>32</v>
      </c>
      <c r="L1059">
        <v>623636</v>
      </c>
      <c r="M1059" s="26">
        <v>19956352</v>
      </c>
      <c r="N1059">
        <v>29243</v>
      </c>
      <c r="O1059" s="26">
        <v>2964779.64</v>
      </c>
      <c r="P1059" s="5" t="s">
        <v>42</v>
      </c>
      <c r="Q1059" s="5" t="s">
        <v>43</v>
      </c>
      <c r="R1059">
        <v>3.9</v>
      </c>
      <c r="S1059">
        <v>15</v>
      </c>
      <c r="T1059">
        <f t="shared" si="16"/>
        <v>1</v>
      </c>
    </row>
    <row r="1060" spans="1:20">
      <c r="A1060" s="4">
        <v>44836</v>
      </c>
      <c r="B1060">
        <v>2022</v>
      </c>
      <c r="C1060">
        <v>10</v>
      </c>
      <c r="D1060" s="5" t="s">
        <v>44</v>
      </c>
      <c r="E1060" s="5" t="s">
        <v>82</v>
      </c>
      <c r="F1060" s="5" t="s">
        <v>83</v>
      </c>
      <c r="G1060" s="5" t="s">
        <v>84</v>
      </c>
      <c r="H1060" s="5" t="s">
        <v>74</v>
      </c>
      <c r="I1060" s="5" t="s">
        <v>40</v>
      </c>
      <c r="J1060" s="5" t="s">
        <v>49</v>
      </c>
      <c r="K1060">
        <v>29</v>
      </c>
      <c r="L1060">
        <v>661001</v>
      </c>
      <c r="M1060" s="26">
        <v>19169029</v>
      </c>
      <c r="N1060">
        <v>18806</v>
      </c>
      <c r="O1060" s="26">
        <v>2495479.91</v>
      </c>
      <c r="P1060" s="5" t="s">
        <v>50</v>
      </c>
      <c r="Q1060" s="5" t="s">
        <v>75</v>
      </c>
      <c r="R1060">
        <v>3.6</v>
      </c>
      <c r="S1060">
        <v>3</v>
      </c>
      <c r="T1060">
        <f t="shared" si="16"/>
        <v>0</v>
      </c>
    </row>
    <row r="1061" spans="1:20">
      <c r="A1061" s="4">
        <v>44836</v>
      </c>
      <c r="B1061">
        <v>2022</v>
      </c>
      <c r="C1061">
        <v>10</v>
      </c>
      <c r="D1061" s="5" t="s">
        <v>54</v>
      </c>
      <c r="E1061" s="5" t="s">
        <v>70</v>
      </c>
      <c r="F1061" s="5" t="s">
        <v>71</v>
      </c>
      <c r="G1061" s="5" t="s">
        <v>72</v>
      </c>
      <c r="H1061" s="5" t="s">
        <v>65</v>
      </c>
      <c r="I1061" s="5" t="s">
        <v>53</v>
      </c>
      <c r="J1061" s="5" t="s">
        <v>49</v>
      </c>
      <c r="K1061">
        <v>18</v>
      </c>
      <c r="L1061">
        <v>1240363</v>
      </c>
      <c r="M1061" s="26">
        <v>22326534</v>
      </c>
      <c r="N1061">
        <v>31715</v>
      </c>
      <c r="O1061" s="26">
        <v>2793451.06</v>
      </c>
      <c r="P1061" s="5" t="s">
        <v>42</v>
      </c>
      <c r="Q1061" s="5" t="s">
        <v>51</v>
      </c>
      <c r="R1061">
        <v>3.7</v>
      </c>
      <c r="S1061">
        <v>21</v>
      </c>
      <c r="T1061">
        <f t="shared" si="16"/>
        <v>1</v>
      </c>
    </row>
    <row r="1062" spans="1:20">
      <c r="A1062" s="4">
        <v>44862</v>
      </c>
      <c r="B1062">
        <v>2022</v>
      </c>
      <c r="C1062">
        <v>10</v>
      </c>
      <c r="D1062" s="5" t="s">
        <v>54</v>
      </c>
      <c r="E1062" s="5" t="s">
        <v>55</v>
      </c>
      <c r="F1062" s="5" t="s">
        <v>55</v>
      </c>
      <c r="G1062" s="5" t="s">
        <v>56</v>
      </c>
      <c r="H1062" s="5" t="s">
        <v>65</v>
      </c>
      <c r="I1062" s="5" t="s">
        <v>53</v>
      </c>
      <c r="J1062" s="5" t="s">
        <v>49</v>
      </c>
      <c r="K1062">
        <v>28</v>
      </c>
      <c r="L1062">
        <v>1256565</v>
      </c>
      <c r="M1062" s="26">
        <v>35183820</v>
      </c>
      <c r="N1062">
        <v>28043</v>
      </c>
      <c r="O1062" s="26">
        <v>4731555.45</v>
      </c>
      <c r="P1062" s="5" t="s">
        <v>50</v>
      </c>
      <c r="Q1062" s="5" t="s">
        <v>75</v>
      </c>
      <c r="R1062">
        <v>4.0999999999999996</v>
      </c>
      <c r="S1062">
        <v>5</v>
      </c>
      <c r="T1062">
        <f t="shared" si="16"/>
        <v>0</v>
      </c>
    </row>
    <row r="1063" spans="1:20">
      <c r="A1063" s="4">
        <v>44848</v>
      </c>
      <c r="B1063">
        <v>2022</v>
      </c>
      <c r="C1063">
        <v>10</v>
      </c>
      <c r="D1063" s="5" t="s">
        <v>44</v>
      </c>
      <c r="E1063" s="5" t="s">
        <v>82</v>
      </c>
      <c r="F1063" s="5" t="s">
        <v>83</v>
      </c>
      <c r="G1063" s="5" t="s">
        <v>84</v>
      </c>
      <c r="H1063" s="5" t="s">
        <v>65</v>
      </c>
      <c r="I1063" s="5" t="s">
        <v>53</v>
      </c>
      <c r="J1063" s="5" t="s">
        <v>49</v>
      </c>
      <c r="K1063">
        <v>31</v>
      </c>
      <c r="L1063">
        <v>1230040</v>
      </c>
      <c r="M1063" s="26">
        <v>38131240</v>
      </c>
      <c r="N1063">
        <v>5053</v>
      </c>
      <c r="O1063" s="26">
        <v>3651227.04</v>
      </c>
      <c r="P1063" s="5" t="s">
        <v>42</v>
      </c>
      <c r="Q1063" s="5" t="s">
        <v>43</v>
      </c>
      <c r="R1063">
        <v>4.5999999999999996</v>
      </c>
      <c r="S1063">
        <v>12</v>
      </c>
      <c r="T1063">
        <f t="shared" si="16"/>
        <v>1</v>
      </c>
    </row>
    <row r="1064" spans="1:20">
      <c r="A1064" s="4">
        <v>44838</v>
      </c>
      <c r="B1064">
        <v>2022</v>
      </c>
      <c r="C1064">
        <v>10</v>
      </c>
      <c r="D1064" s="5" t="s">
        <v>66</v>
      </c>
      <c r="E1064" s="5" t="s">
        <v>67</v>
      </c>
      <c r="F1064" s="5" t="s">
        <v>68</v>
      </c>
      <c r="G1064" s="5" t="s">
        <v>69</v>
      </c>
      <c r="H1064" s="5" t="s">
        <v>86</v>
      </c>
      <c r="I1064" s="5" t="s">
        <v>40</v>
      </c>
      <c r="J1064" s="5" t="s">
        <v>41</v>
      </c>
      <c r="K1064">
        <v>54</v>
      </c>
      <c r="L1064">
        <v>605445</v>
      </c>
      <c r="M1064" s="26">
        <v>32694030</v>
      </c>
      <c r="N1064">
        <v>22167</v>
      </c>
      <c r="O1064" s="26">
        <v>4446615.24</v>
      </c>
      <c r="P1064" s="5" t="s">
        <v>50</v>
      </c>
      <c r="Q1064" s="5" t="s">
        <v>75</v>
      </c>
      <c r="R1064">
        <v>3.6</v>
      </c>
      <c r="S1064">
        <v>4</v>
      </c>
      <c r="T1064">
        <f t="shared" si="16"/>
        <v>0</v>
      </c>
    </row>
    <row r="1065" spans="1:20">
      <c r="A1065" s="4">
        <v>44842</v>
      </c>
      <c r="B1065">
        <v>2022</v>
      </c>
      <c r="C1065">
        <v>10</v>
      </c>
      <c r="D1065" s="5" t="s">
        <v>44</v>
      </c>
      <c r="E1065" s="5" t="s">
        <v>82</v>
      </c>
      <c r="F1065" s="5" t="s">
        <v>83</v>
      </c>
      <c r="G1065" s="5" t="s">
        <v>84</v>
      </c>
      <c r="H1065" s="5" t="s">
        <v>63</v>
      </c>
      <c r="I1065" s="5" t="s">
        <v>64</v>
      </c>
      <c r="J1065" s="5" t="s">
        <v>41</v>
      </c>
      <c r="K1065">
        <v>44</v>
      </c>
      <c r="L1065">
        <v>775425</v>
      </c>
      <c r="M1065" s="26">
        <v>34118700</v>
      </c>
      <c r="N1065">
        <v>41528</v>
      </c>
      <c r="O1065" s="26">
        <v>3218237.6</v>
      </c>
      <c r="P1065" s="5" t="s">
        <v>50</v>
      </c>
      <c r="Q1065" s="5" t="s">
        <v>75</v>
      </c>
      <c r="R1065">
        <v>4.5999999999999996</v>
      </c>
      <c r="S1065">
        <v>19</v>
      </c>
      <c r="T1065">
        <f t="shared" si="16"/>
        <v>0</v>
      </c>
    </row>
    <row r="1066" spans="1:20">
      <c r="A1066" s="4">
        <v>44846</v>
      </c>
      <c r="B1066">
        <v>2022</v>
      </c>
      <c r="C1066">
        <v>10</v>
      </c>
      <c r="D1066" s="5" t="s">
        <v>44</v>
      </c>
      <c r="E1066" s="5" t="s">
        <v>82</v>
      </c>
      <c r="F1066" s="5" t="s">
        <v>83</v>
      </c>
      <c r="G1066" s="5" t="s">
        <v>84</v>
      </c>
      <c r="H1066" s="5" t="s">
        <v>73</v>
      </c>
      <c r="I1066" s="5" t="s">
        <v>40</v>
      </c>
      <c r="J1066" s="5" t="s">
        <v>49</v>
      </c>
      <c r="K1066">
        <v>8</v>
      </c>
      <c r="L1066">
        <v>727345</v>
      </c>
      <c r="M1066" s="26">
        <v>5818760</v>
      </c>
      <c r="N1066">
        <v>16834</v>
      </c>
      <c r="O1066" s="26">
        <v>711314.06</v>
      </c>
      <c r="P1066" s="5" t="s">
        <v>50</v>
      </c>
      <c r="Q1066" s="5" t="s">
        <v>51</v>
      </c>
      <c r="R1066">
        <v>4.4000000000000004</v>
      </c>
      <c r="S1066">
        <v>20</v>
      </c>
      <c r="T1066">
        <f t="shared" si="16"/>
        <v>0</v>
      </c>
    </row>
    <row r="1067" spans="1:20">
      <c r="A1067" s="4">
        <v>44862</v>
      </c>
      <c r="B1067">
        <v>2022</v>
      </c>
      <c r="C1067">
        <v>10</v>
      </c>
      <c r="D1067" s="5" t="s">
        <v>54</v>
      </c>
      <c r="E1067" s="5" t="s">
        <v>55</v>
      </c>
      <c r="F1067" s="5" t="s">
        <v>55</v>
      </c>
      <c r="G1067" s="5" t="s">
        <v>56</v>
      </c>
      <c r="H1067" s="5" t="s">
        <v>52</v>
      </c>
      <c r="I1067" s="5" t="s">
        <v>53</v>
      </c>
      <c r="J1067" s="5" t="s">
        <v>41</v>
      </c>
      <c r="K1067">
        <v>38</v>
      </c>
      <c r="L1067">
        <v>929671</v>
      </c>
      <c r="M1067" s="26">
        <v>35327498</v>
      </c>
      <c r="N1067">
        <v>38522</v>
      </c>
      <c r="O1067" s="26">
        <v>2902981.39</v>
      </c>
      <c r="P1067" s="5" t="s">
        <v>50</v>
      </c>
      <c r="Q1067" s="5" t="s">
        <v>43</v>
      </c>
      <c r="R1067">
        <v>4.0999999999999996</v>
      </c>
      <c r="S1067">
        <v>16</v>
      </c>
      <c r="T1067">
        <f t="shared" si="16"/>
        <v>0</v>
      </c>
    </row>
    <row r="1068" spans="1:20">
      <c r="A1068" s="4">
        <v>44861</v>
      </c>
      <c r="B1068">
        <v>2022</v>
      </c>
      <c r="C1068">
        <v>10</v>
      </c>
      <c r="D1068" s="5" t="s">
        <v>54</v>
      </c>
      <c r="E1068" s="5" t="s">
        <v>55</v>
      </c>
      <c r="F1068" s="5" t="s">
        <v>55</v>
      </c>
      <c r="G1068" s="5" t="s">
        <v>56</v>
      </c>
      <c r="H1068" s="5" t="s">
        <v>79</v>
      </c>
      <c r="I1068" s="5" t="s">
        <v>58</v>
      </c>
      <c r="J1068" s="5" t="s">
        <v>49</v>
      </c>
      <c r="K1068">
        <v>37</v>
      </c>
      <c r="L1068">
        <v>875240</v>
      </c>
      <c r="M1068" s="26">
        <v>32383880</v>
      </c>
      <c r="N1068">
        <v>10964</v>
      </c>
      <c r="O1068" s="26">
        <v>2619794.4700000002</v>
      </c>
      <c r="P1068" s="5" t="s">
        <v>42</v>
      </c>
      <c r="Q1068" s="5" t="s">
        <v>51</v>
      </c>
      <c r="R1068">
        <v>4.0999999999999996</v>
      </c>
      <c r="S1068">
        <v>7</v>
      </c>
      <c r="T1068">
        <f t="shared" si="16"/>
        <v>1</v>
      </c>
    </row>
    <row r="1069" spans="1:20">
      <c r="A1069" s="4">
        <v>44841</v>
      </c>
      <c r="B1069">
        <v>2022</v>
      </c>
      <c r="C1069">
        <v>10</v>
      </c>
      <c r="D1069" s="5" t="s">
        <v>35</v>
      </c>
      <c r="E1069" s="5" t="s">
        <v>76</v>
      </c>
      <c r="F1069" s="5" t="s">
        <v>77</v>
      </c>
      <c r="G1069" s="5" t="s">
        <v>78</v>
      </c>
      <c r="H1069" s="5" t="s">
        <v>74</v>
      </c>
      <c r="I1069" s="5" t="s">
        <v>40</v>
      </c>
      <c r="J1069" s="5" t="s">
        <v>49</v>
      </c>
      <c r="K1069">
        <v>33</v>
      </c>
      <c r="L1069">
        <v>620900</v>
      </c>
      <c r="M1069" s="26">
        <v>20489700</v>
      </c>
      <c r="N1069">
        <v>46511</v>
      </c>
      <c r="O1069" s="26">
        <v>3023788.24</v>
      </c>
      <c r="P1069" s="5" t="s">
        <v>50</v>
      </c>
      <c r="Q1069" s="5" t="s">
        <v>51</v>
      </c>
      <c r="R1069">
        <v>4.5</v>
      </c>
      <c r="S1069">
        <v>20</v>
      </c>
      <c r="T1069">
        <f t="shared" si="16"/>
        <v>0</v>
      </c>
    </row>
    <row r="1070" spans="1:20">
      <c r="A1070" s="4">
        <v>44838</v>
      </c>
      <c r="B1070">
        <v>2022</v>
      </c>
      <c r="C1070">
        <v>10</v>
      </c>
      <c r="D1070" s="5" t="s">
        <v>54</v>
      </c>
      <c r="E1070" s="5" t="s">
        <v>55</v>
      </c>
      <c r="F1070" s="5" t="s">
        <v>55</v>
      </c>
      <c r="G1070" s="5" t="s">
        <v>56</v>
      </c>
      <c r="H1070" s="5" t="s">
        <v>73</v>
      </c>
      <c r="I1070" s="5" t="s">
        <v>40</v>
      </c>
      <c r="J1070" s="5" t="s">
        <v>49</v>
      </c>
      <c r="K1070">
        <v>43</v>
      </c>
      <c r="L1070">
        <v>708754</v>
      </c>
      <c r="M1070" s="26">
        <v>30476422</v>
      </c>
      <c r="N1070">
        <v>18692</v>
      </c>
      <c r="O1070" s="26">
        <v>2593275.67</v>
      </c>
      <c r="P1070" s="5" t="s">
        <v>42</v>
      </c>
      <c r="Q1070" s="5" t="s">
        <v>43</v>
      </c>
      <c r="R1070">
        <v>5</v>
      </c>
      <c r="S1070">
        <v>3</v>
      </c>
      <c r="T1070">
        <f t="shared" si="16"/>
        <v>1</v>
      </c>
    </row>
    <row r="1071" spans="1:20">
      <c r="A1071" s="4">
        <v>44839</v>
      </c>
      <c r="B1071">
        <v>2022</v>
      </c>
      <c r="C1071">
        <v>10</v>
      </c>
      <c r="D1071" s="5" t="s">
        <v>54</v>
      </c>
      <c r="E1071" s="5" t="s">
        <v>55</v>
      </c>
      <c r="F1071" s="5" t="s">
        <v>55</v>
      </c>
      <c r="G1071" s="5" t="s">
        <v>56</v>
      </c>
      <c r="H1071" s="5" t="s">
        <v>57</v>
      </c>
      <c r="I1071" s="5" t="s">
        <v>58</v>
      </c>
      <c r="J1071" s="5" t="s">
        <v>59</v>
      </c>
      <c r="K1071">
        <v>55</v>
      </c>
      <c r="L1071">
        <v>1398411</v>
      </c>
      <c r="M1071" s="26">
        <v>76912605</v>
      </c>
      <c r="N1071">
        <v>5678</v>
      </c>
      <c r="O1071" s="26">
        <v>7240748.2999999998</v>
      </c>
      <c r="P1071" s="5" t="s">
        <v>50</v>
      </c>
      <c r="Q1071" s="5" t="s">
        <v>43</v>
      </c>
      <c r="R1071">
        <v>4.0999999999999996</v>
      </c>
      <c r="S1071">
        <v>7</v>
      </c>
      <c r="T1071">
        <f t="shared" si="16"/>
        <v>0</v>
      </c>
    </row>
    <row r="1072" spans="1:20">
      <c r="A1072" s="4">
        <v>44851</v>
      </c>
      <c r="B1072">
        <v>2022</v>
      </c>
      <c r="C1072">
        <v>10</v>
      </c>
      <c r="D1072" s="5" t="s">
        <v>44</v>
      </c>
      <c r="E1072" s="5" t="s">
        <v>82</v>
      </c>
      <c r="F1072" s="5" t="s">
        <v>83</v>
      </c>
      <c r="G1072" s="5" t="s">
        <v>84</v>
      </c>
      <c r="H1072" s="5" t="s">
        <v>65</v>
      </c>
      <c r="I1072" s="5" t="s">
        <v>53</v>
      </c>
      <c r="J1072" s="5" t="s">
        <v>49</v>
      </c>
      <c r="K1072">
        <v>30</v>
      </c>
      <c r="L1072">
        <v>1230340</v>
      </c>
      <c r="M1072" s="26">
        <v>36910200</v>
      </c>
      <c r="N1072">
        <v>13634</v>
      </c>
      <c r="O1072" s="26">
        <v>3795254.28</v>
      </c>
      <c r="P1072" s="5" t="s">
        <v>42</v>
      </c>
      <c r="Q1072" s="5" t="s">
        <v>51</v>
      </c>
      <c r="R1072">
        <v>4.4000000000000004</v>
      </c>
      <c r="S1072">
        <v>10</v>
      </c>
      <c r="T1072">
        <f t="shared" si="16"/>
        <v>1</v>
      </c>
    </row>
    <row r="1073" spans="1:20">
      <c r="A1073" s="4">
        <v>44860</v>
      </c>
      <c r="B1073">
        <v>2022</v>
      </c>
      <c r="C1073">
        <v>10</v>
      </c>
      <c r="D1073" s="5" t="s">
        <v>44</v>
      </c>
      <c r="E1073" s="5" t="s">
        <v>82</v>
      </c>
      <c r="F1073" s="5" t="s">
        <v>83</v>
      </c>
      <c r="G1073" s="5" t="s">
        <v>84</v>
      </c>
      <c r="H1073" s="5" t="s">
        <v>80</v>
      </c>
      <c r="I1073" s="5" t="s">
        <v>81</v>
      </c>
      <c r="J1073" s="5" t="s">
        <v>41</v>
      </c>
      <c r="K1073">
        <v>60</v>
      </c>
      <c r="L1073">
        <v>550426</v>
      </c>
      <c r="M1073" s="26">
        <v>33025560</v>
      </c>
      <c r="N1073">
        <v>25228</v>
      </c>
      <c r="O1073" s="26">
        <v>2696601.09</v>
      </c>
      <c r="P1073" s="5" t="s">
        <v>42</v>
      </c>
      <c r="Q1073" s="5" t="s">
        <v>43</v>
      </c>
      <c r="R1073">
        <v>4.8</v>
      </c>
      <c r="S1073">
        <v>7</v>
      </c>
      <c r="T1073">
        <f t="shared" si="16"/>
        <v>1</v>
      </c>
    </row>
    <row r="1074" spans="1:20">
      <c r="A1074" s="4">
        <v>44852</v>
      </c>
      <c r="B1074">
        <v>2022</v>
      </c>
      <c r="C1074">
        <v>10</v>
      </c>
      <c r="D1074" s="5" t="s">
        <v>66</v>
      </c>
      <c r="E1074" s="5" t="s">
        <v>67</v>
      </c>
      <c r="F1074" s="5" t="s">
        <v>68</v>
      </c>
      <c r="G1074" s="5" t="s">
        <v>69</v>
      </c>
      <c r="H1074" s="5" t="s">
        <v>79</v>
      </c>
      <c r="I1074" s="5" t="s">
        <v>58</v>
      </c>
      <c r="J1074" s="5" t="s">
        <v>49</v>
      </c>
      <c r="K1074">
        <v>31</v>
      </c>
      <c r="L1074">
        <v>901140</v>
      </c>
      <c r="M1074" s="26">
        <v>27935340</v>
      </c>
      <c r="N1074">
        <v>36776</v>
      </c>
      <c r="O1074" s="26">
        <v>3383996.4</v>
      </c>
      <c r="P1074" s="5" t="s">
        <v>50</v>
      </c>
      <c r="Q1074" s="5" t="s">
        <v>75</v>
      </c>
      <c r="R1074">
        <v>4.2</v>
      </c>
      <c r="S1074">
        <v>3</v>
      </c>
      <c r="T1074">
        <f t="shared" si="16"/>
        <v>0</v>
      </c>
    </row>
    <row r="1075" spans="1:20">
      <c r="A1075" s="4">
        <v>44855</v>
      </c>
      <c r="B1075">
        <v>2022</v>
      </c>
      <c r="C1075">
        <v>10</v>
      </c>
      <c r="D1075" s="5" t="s">
        <v>44</v>
      </c>
      <c r="E1075" s="5" t="s">
        <v>45</v>
      </c>
      <c r="F1075" s="5" t="s">
        <v>46</v>
      </c>
      <c r="G1075" s="5" t="s">
        <v>47</v>
      </c>
      <c r="H1075" s="5" t="s">
        <v>48</v>
      </c>
      <c r="I1075" s="5" t="s">
        <v>40</v>
      </c>
      <c r="J1075" s="5" t="s">
        <v>49</v>
      </c>
      <c r="K1075">
        <v>42</v>
      </c>
      <c r="L1075">
        <v>473656</v>
      </c>
      <c r="M1075" s="26">
        <v>19893552</v>
      </c>
      <c r="N1075">
        <v>32364</v>
      </c>
      <c r="O1075" s="26">
        <v>2281690.1800000002</v>
      </c>
      <c r="P1075" s="5" t="s">
        <v>42</v>
      </c>
      <c r="Q1075" s="5" t="s">
        <v>43</v>
      </c>
      <c r="R1075">
        <v>4.5</v>
      </c>
      <c r="S1075">
        <v>13</v>
      </c>
      <c r="T1075">
        <f t="shared" si="16"/>
        <v>1</v>
      </c>
    </row>
    <row r="1076" spans="1:20">
      <c r="A1076" s="4">
        <v>44850</v>
      </c>
      <c r="B1076">
        <v>2022</v>
      </c>
      <c r="C1076">
        <v>10</v>
      </c>
      <c r="D1076" s="5" t="s">
        <v>66</v>
      </c>
      <c r="E1076" s="5" t="s">
        <v>67</v>
      </c>
      <c r="F1076" s="5" t="s">
        <v>68</v>
      </c>
      <c r="G1076" s="5" t="s">
        <v>69</v>
      </c>
      <c r="H1076" s="5" t="s">
        <v>52</v>
      </c>
      <c r="I1076" s="5" t="s">
        <v>53</v>
      </c>
      <c r="J1076" s="5" t="s">
        <v>41</v>
      </c>
      <c r="K1076">
        <v>29</v>
      </c>
      <c r="L1076">
        <v>962056</v>
      </c>
      <c r="M1076" s="26">
        <v>27899624</v>
      </c>
      <c r="N1076">
        <v>31018</v>
      </c>
      <c r="O1076" s="26">
        <v>2260024.46</v>
      </c>
      <c r="P1076" s="5" t="s">
        <v>50</v>
      </c>
      <c r="Q1076" s="5" t="s">
        <v>75</v>
      </c>
      <c r="R1076">
        <v>4.5</v>
      </c>
      <c r="S1076">
        <v>12</v>
      </c>
      <c r="T1076">
        <f t="shared" si="16"/>
        <v>0</v>
      </c>
    </row>
    <row r="1077" spans="1:20">
      <c r="A1077" s="4">
        <v>44860</v>
      </c>
      <c r="B1077">
        <v>2022</v>
      </c>
      <c r="C1077">
        <v>10</v>
      </c>
      <c r="D1077" s="5" t="s">
        <v>44</v>
      </c>
      <c r="E1077" s="5" t="s">
        <v>82</v>
      </c>
      <c r="F1077" s="5" t="s">
        <v>83</v>
      </c>
      <c r="G1077" s="5" t="s">
        <v>84</v>
      </c>
      <c r="H1077" s="5" t="s">
        <v>74</v>
      </c>
      <c r="I1077" s="5" t="s">
        <v>40</v>
      </c>
      <c r="J1077" s="5" t="s">
        <v>49</v>
      </c>
      <c r="K1077">
        <v>50</v>
      </c>
      <c r="L1077">
        <v>645601</v>
      </c>
      <c r="M1077" s="26">
        <v>32280050</v>
      </c>
      <c r="N1077">
        <v>10130</v>
      </c>
      <c r="O1077" s="26">
        <v>3650906.17</v>
      </c>
      <c r="P1077" s="5" t="s">
        <v>42</v>
      </c>
      <c r="Q1077" s="5" t="s">
        <v>51</v>
      </c>
      <c r="R1077">
        <v>4.5999999999999996</v>
      </c>
      <c r="S1077">
        <v>8</v>
      </c>
      <c r="T1077">
        <f t="shared" si="16"/>
        <v>1</v>
      </c>
    </row>
    <row r="1078" spans="1:20">
      <c r="A1078" s="4">
        <v>44836</v>
      </c>
      <c r="B1078">
        <v>2022</v>
      </c>
      <c r="C1078">
        <v>10</v>
      </c>
      <c r="D1078" s="5" t="s">
        <v>54</v>
      </c>
      <c r="E1078" s="5" t="s">
        <v>70</v>
      </c>
      <c r="F1078" s="5" t="s">
        <v>71</v>
      </c>
      <c r="G1078" s="5" t="s">
        <v>72</v>
      </c>
      <c r="H1078" s="5" t="s">
        <v>73</v>
      </c>
      <c r="I1078" s="5" t="s">
        <v>40</v>
      </c>
      <c r="J1078" s="5" t="s">
        <v>49</v>
      </c>
      <c r="K1078">
        <v>10</v>
      </c>
      <c r="L1078">
        <v>693208</v>
      </c>
      <c r="M1078" s="26">
        <v>6932080</v>
      </c>
      <c r="N1078">
        <v>41152</v>
      </c>
      <c r="O1078" s="26">
        <v>844028.83</v>
      </c>
      <c r="P1078" s="5" t="s">
        <v>42</v>
      </c>
      <c r="Q1078" s="5" t="s">
        <v>43</v>
      </c>
      <c r="R1078">
        <v>3.6</v>
      </c>
      <c r="S1078">
        <v>10</v>
      </c>
      <c r="T1078">
        <f t="shared" si="16"/>
        <v>1</v>
      </c>
    </row>
    <row r="1079" spans="1:20">
      <c r="A1079" s="4">
        <v>44852</v>
      </c>
      <c r="B1079">
        <v>2022</v>
      </c>
      <c r="C1079">
        <v>10</v>
      </c>
      <c r="D1079" s="5" t="s">
        <v>44</v>
      </c>
      <c r="E1079" s="5" t="s">
        <v>45</v>
      </c>
      <c r="F1079" s="5" t="s">
        <v>46</v>
      </c>
      <c r="G1079" s="5" t="s">
        <v>47</v>
      </c>
      <c r="H1079" s="5" t="s">
        <v>73</v>
      </c>
      <c r="I1079" s="5" t="s">
        <v>40</v>
      </c>
      <c r="J1079" s="5" t="s">
        <v>49</v>
      </c>
      <c r="K1079">
        <v>45</v>
      </c>
      <c r="L1079">
        <v>749550</v>
      </c>
      <c r="M1079" s="26">
        <v>33729750</v>
      </c>
      <c r="N1079">
        <v>5618</v>
      </c>
      <c r="O1079" s="26">
        <v>3201726.22</v>
      </c>
      <c r="P1079" s="5" t="s">
        <v>50</v>
      </c>
      <c r="Q1079" s="5" t="s">
        <v>51</v>
      </c>
      <c r="R1079">
        <v>4.3</v>
      </c>
      <c r="S1079">
        <v>19</v>
      </c>
      <c r="T1079">
        <f t="shared" si="16"/>
        <v>0</v>
      </c>
    </row>
    <row r="1080" spans="1:20">
      <c r="A1080" s="4">
        <v>44848</v>
      </c>
      <c r="B1080">
        <v>2022</v>
      </c>
      <c r="C1080">
        <v>10</v>
      </c>
      <c r="D1080" s="5" t="s">
        <v>54</v>
      </c>
      <c r="E1080" s="5" t="s">
        <v>70</v>
      </c>
      <c r="F1080" s="5" t="s">
        <v>71</v>
      </c>
      <c r="G1080" s="5" t="s">
        <v>72</v>
      </c>
      <c r="H1080" s="5" t="s">
        <v>86</v>
      </c>
      <c r="I1080" s="5" t="s">
        <v>40</v>
      </c>
      <c r="J1080" s="5" t="s">
        <v>41</v>
      </c>
      <c r="K1080">
        <v>41</v>
      </c>
      <c r="L1080">
        <v>583387</v>
      </c>
      <c r="M1080" s="26">
        <v>23918867</v>
      </c>
      <c r="N1080">
        <v>6500</v>
      </c>
      <c r="O1080" s="26">
        <v>2394525.46</v>
      </c>
      <c r="P1080" s="5" t="s">
        <v>42</v>
      </c>
      <c r="Q1080" s="5" t="s">
        <v>51</v>
      </c>
      <c r="R1080">
        <v>4.0999999999999996</v>
      </c>
      <c r="S1080">
        <v>15</v>
      </c>
      <c r="T1080">
        <f t="shared" si="16"/>
        <v>1</v>
      </c>
    </row>
    <row r="1081" spans="1:20">
      <c r="A1081" s="4">
        <v>44841</v>
      </c>
      <c r="B1081">
        <v>2022</v>
      </c>
      <c r="C1081">
        <v>10</v>
      </c>
      <c r="D1081" s="5" t="s">
        <v>35</v>
      </c>
      <c r="E1081" s="5" t="s">
        <v>76</v>
      </c>
      <c r="F1081" s="5" t="s">
        <v>77</v>
      </c>
      <c r="G1081" s="5" t="s">
        <v>78</v>
      </c>
      <c r="H1081" s="5" t="s">
        <v>39</v>
      </c>
      <c r="I1081" s="5" t="s">
        <v>40</v>
      </c>
      <c r="J1081" s="5" t="s">
        <v>41</v>
      </c>
      <c r="K1081">
        <v>15</v>
      </c>
      <c r="L1081">
        <v>601675</v>
      </c>
      <c r="M1081" s="26">
        <v>9025125</v>
      </c>
      <c r="N1081">
        <v>37524</v>
      </c>
      <c r="O1081" s="26">
        <v>850833.77</v>
      </c>
      <c r="P1081" s="5" t="s">
        <v>50</v>
      </c>
      <c r="Q1081" s="5" t="s">
        <v>51</v>
      </c>
      <c r="R1081">
        <v>3.5</v>
      </c>
      <c r="S1081">
        <v>19</v>
      </c>
      <c r="T1081">
        <f t="shared" si="16"/>
        <v>0</v>
      </c>
    </row>
    <row r="1082" spans="1:20">
      <c r="A1082" s="4">
        <v>44859</v>
      </c>
      <c r="B1082">
        <v>2022</v>
      </c>
      <c r="C1082">
        <v>10</v>
      </c>
      <c r="D1082" s="5" t="s">
        <v>35</v>
      </c>
      <c r="E1082" s="5" t="s">
        <v>76</v>
      </c>
      <c r="F1082" s="5" t="s">
        <v>77</v>
      </c>
      <c r="G1082" s="5" t="s">
        <v>78</v>
      </c>
      <c r="H1082" s="5" t="s">
        <v>85</v>
      </c>
      <c r="I1082" s="5" t="s">
        <v>58</v>
      </c>
      <c r="J1082" s="5" t="s">
        <v>49</v>
      </c>
      <c r="K1082">
        <v>59</v>
      </c>
      <c r="L1082">
        <v>978899</v>
      </c>
      <c r="M1082" s="26">
        <v>57755041</v>
      </c>
      <c r="N1082">
        <v>48637</v>
      </c>
      <c r="O1082" s="26">
        <v>7321578.7800000003</v>
      </c>
      <c r="P1082" s="5" t="s">
        <v>50</v>
      </c>
      <c r="Q1082" s="5" t="s">
        <v>43</v>
      </c>
      <c r="R1082">
        <v>3.8</v>
      </c>
      <c r="S1082">
        <v>18</v>
      </c>
      <c r="T1082">
        <f t="shared" si="16"/>
        <v>0</v>
      </c>
    </row>
    <row r="1083" spans="1:20">
      <c r="A1083" s="4">
        <v>44849</v>
      </c>
      <c r="B1083">
        <v>2022</v>
      </c>
      <c r="C1083">
        <v>10</v>
      </c>
      <c r="D1083" s="5" t="s">
        <v>35</v>
      </c>
      <c r="E1083" s="5" t="s">
        <v>60</v>
      </c>
      <c r="F1083" s="5" t="s">
        <v>61</v>
      </c>
      <c r="G1083" s="5" t="s">
        <v>62</v>
      </c>
      <c r="H1083" s="5" t="s">
        <v>73</v>
      </c>
      <c r="I1083" s="5" t="s">
        <v>40</v>
      </c>
      <c r="J1083" s="5" t="s">
        <v>49</v>
      </c>
      <c r="K1083">
        <v>52</v>
      </c>
      <c r="L1083">
        <v>701453</v>
      </c>
      <c r="M1083" s="26">
        <v>36475556</v>
      </c>
      <c r="N1083">
        <v>28571</v>
      </c>
      <c r="O1083" s="26">
        <v>5721423.1600000001</v>
      </c>
      <c r="P1083" s="5" t="s">
        <v>50</v>
      </c>
      <c r="Q1083" s="5" t="s">
        <v>75</v>
      </c>
      <c r="R1083">
        <v>4.4000000000000004</v>
      </c>
      <c r="S1083">
        <v>5</v>
      </c>
      <c r="T1083">
        <f t="shared" si="16"/>
        <v>0</v>
      </c>
    </row>
    <row r="1084" spans="1:20">
      <c r="A1084" s="4">
        <v>44844</v>
      </c>
      <c r="B1084">
        <v>2022</v>
      </c>
      <c r="C1084">
        <v>10</v>
      </c>
      <c r="D1084" s="5" t="s">
        <v>54</v>
      </c>
      <c r="E1084" s="5" t="s">
        <v>55</v>
      </c>
      <c r="F1084" s="5" t="s">
        <v>55</v>
      </c>
      <c r="G1084" s="5" t="s">
        <v>56</v>
      </c>
      <c r="H1084" s="5" t="s">
        <v>80</v>
      </c>
      <c r="I1084" s="5" t="s">
        <v>81</v>
      </c>
      <c r="J1084" s="5" t="s">
        <v>41</v>
      </c>
      <c r="K1084">
        <v>43</v>
      </c>
      <c r="L1084">
        <v>522983</v>
      </c>
      <c r="M1084" s="26">
        <v>22488269</v>
      </c>
      <c r="N1084">
        <v>42506</v>
      </c>
      <c r="O1084" s="26">
        <v>2460228.56</v>
      </c>
      <c r="P1084" s="5" t="s">
        <v>50</v>
      </c>
      <c r="Q1084" s="5" t="s">
        <v>43</v>
      </c>
      <c r="R1084">
        <v>4.0999999999999996</v>
      </c>
      <c r="S1084">
        <v>7</v>
      </c>
      <c r="T1084">
        <f t="shared" si="16"/>
        <v>0</v>
      </c>
    </row>
    <row r="1085" spans="1:20">
      <c r="A1085" s="4">
        <v>44846</v>
      </c>
      <c r="B1085">
        <v>2022</v>
      </c>
      <c r="C1085">
        <v>10</v>
      </c>
      <c r="D1085" s="5" t="s">
        <v>44</v>
      </c>
      <c r="E1085" s="5" t="s">
        <v>45</v>
      </c>
      <c r="F1085" s="5" t="s">
        <v>46</v>
      </c>
      <c r="G1085" s="5" t="s">
        <v>47</v>
      </c>
      <c r="H1085" s="5" t="s">
        <v>73</v>
      </c>
      <c r="I1085" s="5" t="s">
        <v>40</v>
      </c>
      <c r="J1085" s="5" t="s">
        <v>49</v>
      </c>
      <c r="K1085">
        <v>26</v>
      </c>
      <c r="L1085">
        <v>702992</v>
      </c>
      <c r="M1085" s="26">
        <v>18277792</v>
      </c>
      <c r="N1085">
        <v>10565</v>
      </c>
      <c r="O1085" s="26">
        <v>2446354.5699999998</v>
      </c>
      <c r="P1085" s="5" t="s">
        <v>50</v>
      </c>
      <c r="Q1085" s="5" t="s">
        <v>51</v>
      </c>
      <c r="R1085">
        <v>4.9000000000000004</v>
      </c>
      <c r="S1085">
        <v>9</v>
      </c>
      <c r="T1085">
        <f t="shared" si="16"/>
        <v>0</v>
      </c>
    </row>
    <row r="1086" spans="1:20">
      <c r="A1086" s="4">
        <v>44855</v>
      </c>
      <c r="B1086">
        <v>2022</v>
      </c>
      <c r="C1086">
        <v>10</v>
      </c>
      <c r="D1086" s="5" t="s">
        <v>35</v>
      </c>
      <c r="E1086" s="5" t="s">
        <v>60</v>
      </c>
      <c r="F1086" s="5" t="s">
        <v>61</v>
      </c>
      <c r="G1086" s="5" t="s">
        <v>62</v>
      </c>
      <c r="H1086" s="5" t="s">
        <v>48</v>
      </c>
      <c r="I1086" s="5" t="s">
        <v>40</v>
      </c>
      <c r="J1086" s="5" t="s">
        <v>49</v>
      </c>
      <c r="K1086">
        <v>58</v>
      </c>
      <c r="L1086">
        <v>474756</v>
      </c>
      <c r="M1086" s="26">
        <v>27535848</v>
      </c>
      <c r="N1086">
        <v>15749</v>
      </c>
      <c r="O1086" s="26">
        <v>3255823.27</v>
      </c>
      <c r="P1086" s="5" t="s">
        <v>50</v>
      </c>
      <c r="Q1086" s="5" t="s">
        <v>75</v>
      </c>
      <c r="R1086">
        <v>4.2</v>
      </c>
      <c r="S1086">
        <v>18</v>
      </c>
      <c r="T1086">
        <f t="shared" si="16"/>
        <v>0</v>
      </c>
    </row>
    <row r="1087" spans="1:20">
      <c r="A1087" s="4">
        <v>44836</v>
      </c>
      <c r="B1087">
        <v>2022</v>
      </c>
      <c r="C1087">
        <v>10</v>
      </c>
      <c r="D1087" s="5" t="s">
        <v>54</v>
      </c>
      <c r="E1087" s="5" t="s">
        <v>70</v>
      </c>
      <c r="F1087" s="5" t="s">
        <v>71</v>
      </c>
      <c r="G1087" s="5" t="s">
        <v>72</v>
      </c>
      <c r="H1087" s="5" t="s">
        <v>80</v>
      </c>
      <c r="I1087" s="5" t="s">
        <v>81</v>
      </c>
      <c r="J1087" s="5" t="s">
        <v>41</v>
      </c>
      <c r="K1087">
        <v>31</v>
      </c>
      <c r="L1087">
        <v>547158</v>
      </c>
      <c r="M1087" s="26">
        <v>16961898</v>
      </c>
      <c r="N1087">
        <v>26379</v>
      </c>
      <c r="O1087" s="26">
        <v>2472647.2999999998</v>
      </c>
      <c r="P1087" s="5" t="s">
        <v>42</v>
      </c>
      <c r="Q1087" s="5" t="s">
        <v>51</v>
      </c>
      <c r="R1087">
        <v>4</v>
      </c>
      <c r="S1087">
        <v>3</v>
      </c>
      <c r="T1087">
        <f t="shared" si="16"/>
        <v>1</v>
      </c>
    </row>
    <row r="1088" spans="1:20">
      <c r="A1088" s="4">
        <v>44856</v>
      </c>
      <c r="B1088">
        <v>2022</v>
      </c>
      <c r="C1088">
        <v>10</v>
      </c>
      <c r="D1088" s="5" t="s">
        <v>35</v>
      </c>
      <c r="E1088" s="5" t="s">
        <v>36</v>
      </c>
      <c r="F1088" s="5" t="s">
        <v>37</v>
      </c>
      <c r="G1088" s="5" t="s">
        <v>38</v>
      </c>
      <c r="H1088" s="5" t="s">
        <v>86</v>
      </c>
      <c r="I1088" s="5" t="s">
        <v>40</v>
      </c>
      <c r="J1088" s="5" t="s">
        <v>41</v>
      </c>
      <c r="K1088">
        <v>13</v>
      </c>
      <c r="L1088">
        <v>576905</v>
      </c>
      <c r="M1088" s="26">
        <v>7499765</v>
      </c>
      <c r="N1088">
        <v>15742</v>
      </c>
      <c r="O1088" s="26">
        <v>781403.57</v>
      </c>
      <c r="P1088" s="5" t="s">
        <v>42</v>
      </c>
      <c r="Q1088" s="5" t="s">
        <v>75</v>
      </c>
      <c r="R1088">
        <v>4.5</v>
      </c>
      <c r="S1088">
        <v>9</v>
      </c>
      <c r="T1088">
        <f t="shared" si="16"/>
        <v>1</v>
      </c>
    </row>
    <row r="1089" spans="1:20">
      <c r="A1089" s="4">
        <v>44837</v>
      </c>
      <c r="B1089">
        <v>2022</v>
      </c>
      <c r="C1089">
        <v>10</v>
      </c>
      <c r="D1089" s="5" t="s">
        <v>54</v>
      </c>
      <c r="E1089" s="5" t="s">
        <v>70</v>
      </c>
      <c r="F1089" s="5" t="s">
        <v>71</v>
      </c>
      <c r="G1089" s="5" t="s">
        <v>72</v>
      </c>
      <c r="H1089" s="5" t="s">
        <v>74</v>
      </c>
      <c r="I1089" s="5" t="s">
        <v>40</v>
      </c>
      <c r="J1089" s="5" t="s">
        <v>49</v>
      </c>
      <c r="K1089">
        <v>42</v>
      </c>
      <c r="L1089">
        <v>641679</v>
      </c>
      <c r="M1089" s="26">
        <v>26950518</v>
      </c>
      <c r="N1089">
        <v>42965</v>
      </c>
      <c r="O1089" s="26">
        <v>2485044.63</v>
      </c>
      <c r="P1089" s="5" t="s">
        <v>50</v>
      </c>
      <c r="Q1089" s="5" t="s">
        <v>43</v>
      </c>
      <c r="R1089">
        <v>4.4000000000000004</v>
      </c>
      <c r="S1089">
        <v>18</v>
      </c>
      <c r="T1089">
        <f t="shared" si="16"/>
        <v>0</v>
      </c>
    </row>
    <row r="1090" spans="1:20">
      <c r="A1090" s="4">
        <v>44837</v>
      </c>
      <c r="B1090">
        <v>2022</v>
      </c>
      <c r="C1090">
        <v>10</v>
      </c>
      <c r="D1090" s="5" t="s">
        <v>54</v>
      </c>
      <c r="E1090" s="5" t="s">
        <v>70</v>
      </c>
      <c r="F1090" s="5" t="s">
        <v>71</v>
      </c>
      <c r="G1090" s="5" t="s">
        <v>72</v>
      </c>
      <c r="H1090" s="5" t="s">
        <v>48</v>
      </c>
      <c r="I1090" s="5" t="s">
        <v>40</v>
      </c>
      <c r="J1090" s="5" t="s">
        <v>49</v>
      </c>
      <c r="K1090">
        <v>34</v>
      </c>
      <c r="L1090">
        <v>471796</v>
      </c>
      <c r="M1090" s="26">
        <v>16041064</v>
      </c>
      <c r="N1090">
        <v>28009</v>
      </c>
      <c r="O1090" s="26">
        <v>2283005.3199999998</v>
      </c>
      <c r="P1090" s="5" t="s">
        <v>42</v>
      </c>
      <c r="Q1090" s="5" t="s">
        <v>51</v>
      </c>
      <c r="R1090">
        <v>4.5999999999999996</v>
      </c>
      <c r="S1090">
        <v>3</v>
      </c>
      <c r="T1090">
        <f t="shared" ref="T1090:T1153" si="17">IF(AND(OR($B1090=Sel_Year,Sel_Year="All"),OR($C1090=Sel_Month,Sel_Month="All"),OR($D1090=Sel_Region,Sel_Region="All"),OR($E1090=Sel_State,Sel_State="All"),OR($F1090=Sel_City,Sel_City="All"),OR($G1090=Sel_Dealer,Sel_Dealer="All"),OR($H1090=Sel_Model,Sel_Model="All"),OR($I1090=Sel_Segment,Sel_Segment="All"),OR($J1090=Sel_Fuel,Sel_Fuel="All"),OR($P1090=Sel_CustType,Sel_CustType="All"),OR($Q1090=Sel_Payment,Sel_Payment="All")),1,0)</f>
        <v>1</v>
      </c>
    </row>
    <row r="1091" spans="1:20">
      <c r="A1091" s="4">
        <v>44842</v>
      </c>
      <c r="B1091">
        <v>2022</v>
      </c>
      <c r="C1091">
        <v>10</v>
      </c>
      <c r="D1091" s="5" t="s">
        <v>66</v>
      </c>
      <c r="E1091" s="5" t="s">
        <v>67</v>
      </c>
      <c r="F1091" s="5" t="s">
        <v>68</v>
      </c>
      <c r="G1091" s="5" t="s">
        <v>69</v>
      </c>
      <c r="H1091" s="5" t="s">
        <v>85</v>
      </c>
      <c r="I1091" s="5" t="s">
        <v>58</v>
      </c>
      <c r="J1091" s="5" t="s">
        <v>49</v>
      </c>
      <c r="K1091">
        <v>52</v>
      </c>
      <c r="L1091">
        <v>986635</v>
      </c>
      <c r="M1091" s="26">
        <v>51305020</v>
      </c>
      <c r="N1091">
        <v>24276</v>
      </c>
      <c r="O1091" s="26">
        <v>4259920.58</v>
      </c>
      <c r="P1091" s="5" t="s">
        <v>42</v>
      </c>
      <c r="Q1091" s="5" t="s">
        <v>51</v>
      </c>
      <c r="R1091">
        <v>4.8</v>
      </c>
      <c r="S1091">
        <v>14</v>
      </c>
      <c r="T1091">
        <f t="shared" si="17"/>
        <v>1</v>
      </c>
    </row>
    <row r="1092" spans="1:20">
      <c r="A1092" s="4">
        <v>44847</v>
      </c>
      <c r="B1092">
        <v>2022</v>
      </c>
      <c r="C1092">
        <v>10</v>
      </c>
      <c r="D1092" s="5" t="s">
        <v>35</v>
      </c>
      <c r="E1092" s="5" t="s">
        <v>60</v>
      </c>
      <c r="F1092" s="5" t="s">
        <v>61</v>
      </c>
      <c r="G1092" s="5" t="s">
        <v>62</v>
      </c>
      <c r="H1092" s="5" t="s">
        <v>79</v>
      </c>
      <c r="I1092" s="5" t="s">
        <v>58</v>
      </c>
      <c r="J1092" s="5" t="s">
        <v>49</v>
      </c>
      <c r="K1092">
        <v>24</v>
      </c>
      <c r="L1092">
        <v>899058</v>
      </c>
      <c r="M1092" s="26">
        <v>21577392</v>
      </c>
      <c r="N1092">
        <v>18940</v>
      </c>
      <c r="O1092" s="26">
        <v>3295283.76</v>
      </c>
      <c r="P1092" s="5" t="s">
        <v>42</v>
      </c>
      <c r="Q1092" s="5" t="s">
        <v>75</v>
      </c>
      <c r="R1092">
        <v>3.7</v>
      </c>
      <c r="S1092">
        <v>2</v>
      </c>
      <c r="T1092">
        <f t="shared" si="17"/>
        <v>1</v>
      </c>
    </row>
    <row r="1093" spans="1:20">
      <c r="A1093" s="4">
        <v>44856</v>
      </c>
      <c r="B1093">
        <v>2022</v>
      </c>
      <c r="C1093">
        <v>10</v>
      </c>
      <c r="D1093" s="5" t="s">
        <v>35</v>
      </c>
      <c r="E1093" s="5" t="s">
        <v>76</v>
      </c>
      <c r="F1093" s="5" t="s">
        <v>77</v>
      </c>
      <c r="G1093" s="5" t="s">
        <v>78</v>
      </c>
      <c r="H1093" s="5" t="s">
        <v>48</v>
      </c>
      <c r="I1093" s="5" t="s">
        <v>40</v>
      </c>
      <c r="J1093" s="5" t="s">
        <v>49</v>
      </c>
      <c r="K1093">
        <v>25</v>
      </c>
      <c r="L1093">
        <v>440735</v>
      </c>
      <c r="M1093" s="26">
        <v>11018375</v>
      </c>
      <c r="N1093">
        <v>10445</v>
      </c>
      <c r="O1093" s="26">
        <v>1151186.51</v>
      </c>
      <c r="P1093" s="5" t="s">
        <v>50</v>
      </c>
      <c r="Q1093" s="5" t="s">
        <v>75</v>
      </c>
      <c r="R1093">
        <v>3.5</v>
      </c>
      <c r="S1093">
        <v>8</v>
      </c>
      <c r="T1093">
        <f t="shared" si="17"/>
        <v>0</v>
      </c>
    </row>
    <row r="1094" spans="1:20">
      <c r="A1094" s="4">
        <v>44844</v>
      </c>
      <c r="B1094">
        <v>2022</v>
      </c>
      <c r="C1094">
        <v>10</v>
      </c>
      <c r="D1094" s="5" t="s">
        <v>54</v>
      </c>
      <c r="E1094" s="5" t="s">
        <v>55</v>
      </c>
      <c r="F1094" s="5" t="s">
        <v>55</v>
      </c>
      <c r="G1094" s="5" t="s">
        <v>56</v>
      </c>
      <c r="H1094" s="5" t="s">
        <v>63</v>
      </c>
      <c r="I1094" s="5" t="s">
        <v>64</v>
      </c>
      <c r="J1094" s="5" t="s">
        <v>41</v>
      </c>
      <c r="K1094">
        <v>56</v>
      </c>
      <c r="L1094">
        <v>760873</v>
      </c>
      <c r="M1094" s="26">
        <v>42608888</v>
      </c>
      <c r="N1094">
        <v>11235</v>
      </c>
      <c r="O1094" s="26">
        <v>4300343.5199999996</v>
      </c>
      <c r="P1094" s="5" t="s">
        <v>42</v>
      </c>
      <c r="Q1094" s="5" t="s">
        <v>43</v>
      </c>
      <c r="R1094">
        <v>4.5</v>
      </c>
      <c r="S1094">
        <v>9</v>
      </c>
      <c r="T1094">
        <f t="shared" si="17"/>
        <v>1</v>
      </c>
    </row>
    <row r="1095" spans="1:20">
      <c r="A1095" s="4">
        <v>44857</v>
      </c>
      <c r="B1095">
        <v>2022</v>
      </c>
      <c r="C1095">
        <v>10</v>
      </c>
      <c r="D1095" s="5" t="s">
        <v>35</v>
      </c>
      <c r="E1095" s="5" t="s">
        <v>76</v>
      </c>
      <c r="F1095" s="5" t="s">
        <v>77</v>
      </c>
      <c r="G1095" s="5" t="s">
        <v>78</v>
      </c>
      <c r="H1095" s="5" t="s">
        <v>39</v>
      </c>
      <c r="I1095" s="5" t="s">
        <v>40</v>
      </c>
      <c r="J1095" s="5" t="s">
        <v>41</v>
      </c>
      <c r="K1095">
        <v>34</v>
      </c>
      <c r="L1095">
        <v>554297</v>
      </c>
      <c r="M1095" s="26">
        <v>18846098</v>
      </c>
      <c r="N1095">
        <v>40789</v>
      </c>
      <c r="O1095" s="26">
        <v>2382048.9300000002</v>
      </c>
      <c r="P1095" s="5" t="s">
        <v>42</v>
      </c>
      <c r="Q1095" s="5" t="s">
        <v>43</v>
      </c>
      <c r="R1095">
        <v>3.7</v>
      </c>
      <c r="S1095">
        <v>6</v>
      </c>
      <c r="T1095">
        <f t="shared" si="17"/>
        <v>1</v>
      </c>
    </row>
    <row r="1096" spans="1:20">
      <c r="A1096" s="4">
        <v>44836</v>
      </c>
      <c r="B1096">
        <v>2022</v>
      </c>
      <c r="C1096">
        <v>10</v>
      </c>
      <c r="D1096" s="5" t="s">
        <v>44</v>
      </c>
      <c r="E1096" s="5" t="s">
        <v>45</v>
      </c>
      <c r="F1096" s="5" t="s">
        <v>46</v>
      </c>
      <c r="G1096" s="5" t="s">
        <v>47</v>
      </c>
      <c r="H1096" s="5" t="s">
        <v>52</v>
      </c>
      <c r="I1096" s="5" t="s">
        <v>53</v>
      </c>
      <c r="J1096" s="5" t="s">
        <v>41</v>
      </c>
      <c r="K1096">
        <v>46</v>
      </c>
      <c r="L1096">
        <v>927875</v>
      </c>
      <c r="M1096" s="26">
        <v>42682250</v>
      </c>
      <c r="N1096">
        <v>24504</v>
      </c>
      <c r="O1096" s="26">
        <v>6785117.3799999999</v>
      </c>
      <c r="P1096" s="5" t="s">
        <v>50</v>
      </c>
      <c r="Q1096" s="5" t="s">
        <v>51</v>
      </c>
      <c r="R1096">
        <v>4.9000000000000004</v>
      </c>
      <c r="S1096">
        <v>20</v>
      </c>
      <c r="T1096">
        <f t="shared" si="17"/>
        <v>0</v>
      </c>
    </row>
    <row r="1097" spans="1:20">
      <c r="A1097" s="4">
        <v>44841</v>
      </c>
      <c r="B1097">
        <v>2022</v>
      </c>
      <c r="C1097">
        <v>10</v>
      </c>
      <c r="D1097" s="5" t="s">
        <v>54</v>
      </c>
      <c r="E1097" s="5" t="s">
        <v>55</v>
      </c>
      <c r="F1097" s="5" t="s">
        <v>55</v>
      </c>
      <c r="G1097" s="5" t="s">
        <v>56</v>
      </c>
      <c r="H1097" s="5" t="s">
        <v>65</v>
      </c>
      <c r="I1097" s="5" t="s">
        <v>53</v>
      </c>
      <c r="J1097" s="5" t="s">
        <v>49</v>
      </c>
      <c r="K1097">
        <v>46</v>
      </c>
      <c r="L1097">
        <v>1246681</v>
      </c>
      <c r="M1097" s="26">
        <v>57347326</v>
      </c>
      <c r="N1097">
        <v>15335</v>
      </c>
      <c r="O1097" s="26">
        <v>5664233.1500000004</v>
      </c>
      <c r="P1097" s="5" t="s">
        <v>42</v>
      </c>
      <c r="Q1097" s="5" t="s">
        <v>43</v>
      </c>
      <c r="R1097">
        <v>3.7</v>
      </c>
      <c r="S1097">
        <v>17</v>
      </c>
      <c r="T1097">
        <f t="shared" si="17"/>
        <v>1</v>
      </c>
    </row>
    <row r="1098" spans="1:20">
      <c r="A1098" s="4">
        <v>44843</v>
      </c>
      <c r="B1098">
        <v>2022</v>
      </c>
      <c r="C1098">
        <v>10</v>
      </c>
      <c r="D1098" s="5" t="s">
        <v>35</v>
      </c>
      <c r="E1098" s="5" t="s">
        <v>36</v>
      </c>
      <c r="F1098" s="5" t="s">
        <v>37</v>
      </c>
      <c r="G1098" s="5" t="s">
        <v>38</v>
      </c>
      <c r="H1098" s="5" t="s">
        <v>79</v>
      </c>
      <c r="I1098" s="5" t="s">
        <v>58</v>
      </c>
      <c r="J1098" s="5" t="s">
        <v>49</v>
      </c>
      <c r="K1098">
        <v>28</v>
      </c>
      <c r="L1098">
        <v>889562</v>
      </c>
      <c r="M1098" s="26">
        <v>24907736</v>
      </c>
      <c r="N1098">
        <v>6516</v>
      </c>
      <c r="O1098" s="26">
        <v>2746010.96</v>
      </c>
      <c r="P1098" s="5" t="s">
        <v>50</v>
      </c>
      <c r="Q1098" s="5" t="s">
        <v>51</v>
      </c>
      <c r="R1098">
        <v>4.8</v>
      </c>
      <c r="S1098">
        <v>17</v>
      </c>
      <c r="T1098">
        <f t="shared" si="17"/>
        <v>0</v>
      </c>
    </row>
    <row r="1099" spans="1:20">
      <c r="A1099" s="4">
        <v>44840</v>
      </c>
      <c r="B1099">
        <v>2022</v>
      </c>
      <c r="C1099">
        <v>10</v>
      </c>
      <c r="D1099" s="5" t="s">
        <v>54</v>
      </c>
      <c r="E1099" s="5" t="s">
        <v>55</v>
      </c>
      <c r="F1099" s="5" t="s">
        <v>55</v>
      </c>
      <c r="G1099" s="5" t="s">
        <v>56</v>
      </c>
      <c r="H1099" s="5" t="s">
        <v>63</v>
      </c>
      <c r="I1099" s="5" t="s">
        <v>64</v>
      </c>
      <c r="J1099" s="5" t="s">
        <v>41</v>
      </c>
      <c r="K1099">
        <v>47</v>
      </c>
      <c r="L1099">
        <v>782652</v>
      </c>
      <c r="M1099" s="26">
        <v>36784644</v>
      </c>
      <c r="N1099">
        <v>16731</v>
      </c>
      <c r="O1099" s="26">
        <v>4023089.36</v>
      </c>
      <c r="P1099" s="5" t="s">
        <v>50</v>
      </c>
      <c r="Q1099" s="5" t="s">
        <v>43</v>
      </c>
      <c r="R1099">
        <v>3.5</v>
      </c>
      <c r="S1099">
        <v>12</v>
      </c>
      <c r="T1099">
        <f t="shared" si="17"/>
        <v>0</v>
      </c>
    </row>
    <row r="1100" spans="1:20">
      <c r="A1100" s="4">
        <v>44838</v>
      </c>
      <c r="B1100">
        <v>2022</v>
      </c>
      <c r="C1100">
        <v>10</v>
      </c>
      <c r="D1100" s="5" t="s">
        <v>54</v>
      </c>
      <c r="E1100" s="5" t="s">
        <v>70</v>
      </c>
      <c r="F1100" s="5" t="s">
        <v>71</v>
      </c>
      <c r="G1100" s="5" t="s">
        <v>72</v>
      </c>
      <c r="H1100" s="5" t="s">
        <v>57</v>
      </c>
      <c r="I1100" s="5" t="s">
        <v>58</v>
      </c>
      <c r="J1100" s="5" t="s">
        <v>59</v>
      </c>
      <c r="K1100">
        <v>39</v>
      </c>
      <c r="L1100">
        <v>1412995</v>
      </c>
      <c r="M1100" s="26">
        <v>55106805</v>
      </c>
      <c r="N1100">
        <v>48625</v>
      </c>
      <c r="O1100" s="26">
        <v>8002953.9400000004</v>
      </c>
      <c r="P1100" s="5" t="s">
        <v>50</v>
      </c>
      <c r="Q1100" s="5" t="s">
        <v>43</v>
      </c>
      <c r="R1100">
        <v>3.9</v>
      </c>
      <c r="S1100">
        <v>8</v>
      </c>
      <c r="T1100">
        <f t="shared" si="17"/>
        <v>0</v>
      </c>
    </row>
    <row r="1101" spans="1:20">
      <c r="A1101" s="4">
        <v>44848</v>
      </c>
      <c r="B1101">
        <v>2022</v>
      </c>
      <c r="C1101">
        <v>10</v>
      </c>
      <c r="D1101" s="5" t="s">
        <v>35</v>
      </c>
      <c r="E1101" s="5" t="s">
        <v>76</v>
      </c>
      <c r="F1101" s="5" t="s">
        <v>77</v>
      </c>
      <c r="G1101" s="5" t="s">
        <v>78</v>
      </c>
      <c r="H1101" s="5" t="s">
        <v>48</v>
      </c>
      <c r="I1101" s="5" t="s">
        <v>40</v>
      </c>
      <c r="J1101" s="5" t="s">
        <v>49</v>
      </c>
      <c r="K1101">
        <v>57</v>
      </c>
      <c r="L1101">
        <v>433175</v>
      </c>
      <c r="M1101" s="26">
        <v>24690975</v>
      </c>
      <c r="N1101">
        <v>38794</v>
      </c>
      <c r="O1101" s="26">
        <v>2122036.61</v>
      </c>
      <c r="P1101" s="5" t="s">
        <v>42</v>
      </c>
      <c r="Q1101" s="5" t="s">
        <v>43</v>
      </c>
      <c r="R1101">
        <v>4.4000000000000004</v>
      </c>
      <c r="S1101">
        <v>19</v>
      </c>
      <c r="T1101">
        <f t="shared" si="17"/>
        <v>1</v>
      </c>
    </row>
    <row r="1102" spans="1:20">
      <c r="A1102" s="4">
        <v>44874</v>
      </c>
      <c r="B1102">
        <v>2022</v>
      </c>
      <c r="C1102">
        <v>11</v>
      </c>
      <c r="D1102" s="5" t="s">
        <v>35</v>
      </c>
      <c r="E1102" s="5" t="s">
        <v>60</v>
      </c>
      <c r="F1102" s="5" t="s">
        <v>61</v>
      </c>
      <c r="G1102" s="5" t="s">
        <v>62</v>
      </c>
      <c r="H1102" s="5" t="s">
        <v>86</v>
      </c>
      <c r="I1102" s="5" t="s">
        <v>40</v>
      </c>
      <c r="J1102" s="5" t="s">
        <v>41</v>
      </c>
      <c r="K1102">
        <v>57</v>
      </c>
      <c r="L1102">
        <v>627378</v>
      </c>
      <c r="M1102" s="26">
        <v>35760546</v>
      </c>
      <c r="N1102">
        <v>37551</v>
      </c>
      <c r="O1102" s="26">
        <v>4496400.75</v>
      </c>
      <c r="P1102" s="5" t="s">
        <v>50</v>
      </c>
      <c r="Q1102" s="5" t="s">
        <v>75</v>
      </c>
      <c r="R1102">
        <v>4</v>
      </c>
      <c r="S1102">
        <v>13</v>
      </c>
      <c r="T1102">
        <f t="shared" si="17"/>
        <v>0</v>
      </c>
    </row>
    <row r="1103" spans="1:20">
      <c r="A1103" s="4">
        <v>44885</v>
      </c>
      <c r="B1103">
        <v>2022</v>
      </c>
      <c r="C1103">
        <v>11</v>
      </c>
      <c r="D1103" s="5" t="s">
        <v>44</v>
      </c>
      <c r="E1103" s="5" t="s">
        <v>82</v>
      </c>
      <c r="F1103" s="5" t="s">
        <v>83</v>
      </c>
      <c r="G1103" s="5" t="s">
        <v>84</v>
      </c>
      <c r="H1103" s="5" t="s">
        <v>52</v>
      </c>
      <c r="I1103" s="5" t="s">
        <v>53</v>
      </c>
      <c r="J1103" s="5" t="s">
        <v>41</v>
      </c>
      <c r="K1103">
        <v>10</v>
      </c>
      <c r="L1103">
        <v>920259</v>
      </c>
      <c r="M1103" s="26">
        <v>9202590</v>
      </c>
      <c r="N1103">
        <v>19002</v>
      </c>
      <c r="O1103" s="26">
        <v>970849.39</v>
      </c>
      <c r="P1103" s="5" t="s">
        <v>50</v>
      </c>
      <c r="Q1103" s="5" t="s">
        <v>43</v>
      </c>
      <c r="R1103">
        <v>4.5</v>
      </c>
      <c r="S1103">
        <v>14</v>
      </c>
      <c r="T1103">
        <f t="shared" si="17"/>
        <v>0</v>
      </c>
    </row>
    <row r="1104" spans="1:20">
      <c r="A1104" s="4">
        <v>44886</v>
      </c>
      <c r="B1104">
        <v>2022</v>
      </c>
      <c r="C1104">
        <v>11</v>
      </c>
      <c r="D1104" s="5" t="s">
        <v>35</v>
      </c>
      <c r="E1104" s="5" t="s">
        <v>76</v>
      </c>
      <c r="F1104" s="5" t="s">
        <v>77</v>
      </c>
      <c r="G1104" s="5" t="s">
        <v>78</v>
      </c>
      <c r="H1104" s="5" t="s">
        <v>85</v>
      </c>
      <c r="I1104" s="5" t="s">
        <v>58</v>
      </c>
      <c r="J1104" s="5" t="s">
        <v>49</v>
      </c>
      <c r="K1104">
        <v>32</v>
      </c>
      <c r="L1104">
        <v>977956</v>
      </c>
      <c r="M1104" s="26">
        <v>31294592</v>
      </c>
      <c r="N1104">
        <v>13420</v>
      </c>
      <c r="O1104" s="26">
        <v>3386466.12</v>
      </c>
      <c r="P1104" s="5" t="s">
        <v>42</v>
      </c>
      <c r="Q1104" s="5" t="s">
        <v>75</v>
      </c>
      <c r="R1104">
        <v>4.9000000000000004</v>
      </c>
      <c r="S1104">
        <v>14</v>
      </c>
      <c r="T1104">
        <f t="shared" si="17"/>
        <v>1</v>
      </c>
    </row>
    <row r="1105" spans="1:20">
      <c r="A1105" s="4">
        <v>44885</v>
      </c>
      <c r="B1105">
        <v>2022</v>
      </c>
      <c r="C1105">
        <v>11</v>
      </c>
      <c r="D1105" s="5" t="s">
        <v>54</v>
      </c>
      <c r="E1105" s="5" t="s">
        <v>70</v>
      </c>
      <c r="F1105" s="5" t="s">
        <v>71</v>
      </c>
      <c r="G1105" s="5" t="s">
        <v>72</v>
      </c>
      <c r="H1105" s="5" t="s">
        <v>48</v>
      </c>
      <c r="I1105" s="5" t="s">
        <v>40</v>
      </c>
      <c r="J1105" s="5" t="s">
        <v>49</v>
      </c>
      <c r="K1105">
        <v>41</v>
      </c>
      <c r="L1105">
        <v>470869</v>
      </c>
      <c r="M1105" s="26">
        <v>19305629</v>
      </c>
      <c r="N1105">
        <v>17062</v>
      </c>
      <c r="O1105" s="26">
        <v>2037964.46</v>
      </c>
      <c r="P1105" s="5" t="s">
        <v>42</v>
      </c>
      <c r="Q1105" s="5" t="s">
        <v>75</v>
      </c>
      <c r="R1105">
        <v>4</v>
      </c>
      <c r="S1105">
        <v>19</v>
      </c>
      <c r="T1105">
        <f t="shared" si="17"/>
        <v>1</v>
      </c>
    </row>
    <row r="1106" spans="1:20">
      <c r="A1106" s="4">
        <v>44878</v>
      </c>
      <c r="B1106">
        <v>2022</v>
      </c>
      <c r="C1106">
        <v>11</v>
      </c>
      <c r="D1106" s="5" t="s">
        <v>66</v>
      </c>
      <c r="E1106" s="5" t="s">
        <v>67</v>
      </c>
      <c r="F1106" s="5" t="s">
        <v>68</v>
      </c>
      <c r="G1106" s="5" t="s">
        <v>69</v>
      </c>
      <c r="H1106" s="5" t="s">
        <v>57</v>
      </c>
      <c r="I1106" s="5" t="s">
        <v>58</v>
      </c>
      <c r="J1106" s="5" t="s">
        <v>59</v>
      </c>
      <c r="K1106">
        <v>42</v>
      </c>
      <c r="L1106">
        <v>1415062</v>
      </c>
      <c r="M1106" s="26">
        <v>59432604</v>
      </c>
      <c r="N1106">
        <v>45833</v>
      </c>
      <c r="O1106" s="26">
        <v>7507346.6200000001</v>
      </c>
      <c r="P1106" s="5" t="s">
        <v>42</v>
      </c>
      <c r="Q1106" s="5" t="s">
        <v>75</v>
      </c>
      <c r="R1106">
        <v>4.8</v>
      </c>
      <c r="S1106">
        <v>8</v>
      </c>
      <c r="T1106">
        <f t="shared" si="17"/>
        <v>1</v>
      </c>
    </row>
    <row r="1107" spans="1:20">
      <c r="A1107" s="4">
        <v>44868</v>
      </c>
      <c r="B1107">
        <v>2022</v>
      </c>
      <c r="C1107">
        <v>11</v>
      </c>
      <c r="D1107" s="5" t="s">
        <v>54</v>
      </c>
      <c r="E1107" s="5" t="s">
        <v>55</v>
      </c>
      <c r="F1107" s="5" t="s">
        <v>55</v>
      </c>
      <c r="G1107" s="5" t="s">
        <v>56</v>
      </c>
      <c r="H1107" s="5" t="s">
        <v>86</v>
      </c>
      <c r="I1107" s="5" t="s">
        <v>40</v>
      </c>
      <c r="J1107" s="5" t="s">
        <v>41</v>
      </c>
      <c r="K1107">
        <v>27</v>
      </c>
      <c r="L1107">
        <v>578725</v>
      </c>
      <c r="M1107" s="26">
        <v>15625575</v>
      </c>
      <c r="N1107">
        <v>24508</v>
      </c>
      <c r="O1107" s="26">
        <v>1651633.75</v>
      </c>
      <c r="P1107" s="5" t="s">
        <v>50</v>
      </c>
      <c r="Q1107" s="5" t="s">
        <v>75</v>
      </c>
      <c r="R1107">
        <v>3.6</v>
      </c>
      <c r="S1107">
        <v>10</v>
      </c>
      <c r="T1107">
        <f t="shared" si="17"/>
        <v>0</v>
      </c>
    </row>
    <row r="1108" spans="1:20">
      <c r="A1108" s="4">
        <v>44890</v>
      </c>
      <c r="B1108">
        <v>2022</v>
      </c>
      <c r="C1108">
        <v>11</v>
      </c>
      <c r="D1108" s="5" t="s">
        <v>35</v>
      </c>
      <c r="E1108" s="5" t="s">
        <v>76</v>
      </c>
      <c r="F1108" s="5" t="s">
        <v>77</v>
      </c>
      <c r="G1108" s="5" t="s">
        <v>78</v>
      </c>
      <c r="H1108" s="5" t="s">
        <v>85</v>
      </c>
      <c r="I1108" s="5" t="s">
        <v>58</v>
      </c>
      <c r="J1108" s="5" t="s">
        <v>49</v>
      </c>
      <c r="K1108">
        <v>39</v>
      </c>
      <c r="L1108">
        <v>965376</v>
      </c>
      <c r="M1108" s="26">
        <v>37649664</v>
      </c>
      <c r="N1108">
        <v>26909</v>
      </c>
      <c r="O1108" s="26">
        <v>5835177.3700000001</v>
      </c>
      <c r="P1108" s="5" t="s">
        <v>42</v>
      </c>
      <c r="Q1108" s="5" t="s">
        <v>75</v>
      </c>
      <c r="R1108">
        <v>4.7</v>
      </c>
      <c r="S1108">
        <v>11</v>
      </c>
      <c r="T1108">
        <f t="shared" si="17"/>
        <v>1</v>
      </c>
    </row>
    <row r="1109" spans="1:20">
      <c r="A1109" s="4">
        <v>44891</v>
      </c>
      <c r="B1109">
        <v>2022</v>
      </c>
      <c r="C1109">
        <v>11</v>
      </c>
      <c r="D1109" s="5" t="s">
        <v>44</v>
      </c>
      <c r="E1109" s="5" t="s">
        <v>45</v>
      </c>
      <c r="F1109" s="5" t="s">
        <v>46</v>
      </c>
      <c r="G1109" s="5" t="s">
        <v>47</v>
      </c>
      <c r="H1109" s="5" t="s">
        <v>85</v>
      </c>
      <c r="I1109" s="5" t="s">
        <v>58</v>
      </c>
      <c r="J1109" s="5" t="s">
        <v>49</v>
      </c>
      <c r="K1109">
        <v>11</v>
      </c>
      <c r="L1109">
        <v>1006820</v>
      </c>
      <c r="M1109" s="26">
        <v>11075020</v>
      </c>
      <c r="N1109">
        <v>22111</v>
      </c>
      <c r="O1109" s="26">
        <v>1524583.59</v>
      </c>
      <c r="P1109" s="5" t="s">
        <v>50</v>
      </c>
      <c r="Q1109" s="5" t="s">
        <v>43</v>
      </c>
      <c r="R1109">
        <v>3.6</v>
      </c>
      <c r="S1109">
        <v>12</v>
      </c>
      <c r="T1109">
        <f t="shared" si="17"/>
        <v>0</v>
      </c>
    </row>
    <row r="1110" spans="1:20">
      <c r="A1110" s="4">
        <v>44893</v>
      </c>
      <c r="B1110">
        <v>2022</v>
      </c>
      <c r="C1110">
        <v>11</v>
      </c>
      <c r="D1110" s="5" t="s">
        <v>54</v>
      </c>
      <c r="E1110" s="5" t="s">
        <v>55</v>
      </c>
      <c r="F1110" s="5" t="s">
        <v>55</v>
      </c>
      <c r="G1110" s="5" t="s">
        <v>56</v>
      </c>
      <c r="H1110" s="5" t="s">
        <v>52</v>
      </c>
      <c r="I1110" s="5" t="s">
        <v>53</v>
      </c>
      <c r="J1110" s="5" t="s">
        <v>41</v>
      </c>
      <c r="K1110">
        <v>31</v>
      </c>
      <c r="L1110">
        <v>925668</v>
      </c>
      <c r="M1110" s="26">
        <v>28695708</v>
      </c>
      <c r="N1110">
        <v>18913</v>
      </c>
      <c r="O1110" s="26">
        <v>4187467.8</v>
      </c>
      <c r="P1110" s="5" t="s">
        <v>50</v>
      </c>
      <c r="Q1110" s="5" t="s">
        <v>75</v>
      </c>
      <c r="R1110">
        <v>4.8</v>
      </c>
      <c r="S1110">
        <v>16</v>
      </c>
      <c r="T1110">
        <f t="shared" si="17"/>
        <v>0</v>
      </c>
    </row>
    <row r="1111" spans="1:20">
      <c r="A1111" s="4">
        <v>44878</v>
      </c>
      <c r="B1111">
        <v>2022</v>
      </c>
      <c r="C1111">
        <v>11</v>
      </c>
      <c r="D1111" s="5" t="s">
        <v>44</v>
      </c>
      <c r="E1111" s="5" t="s">
        <v>82</v>
      </c>
      <c r="F1111" s="5" t="s">
        <v>83</v>
      </c>
      <c r="G1111" s="5" t="s">
        <v>84</v>
      </c>
      <c r="H1111" s="5" t="s">
        <v>57</v>
      </c>
      <c r="I1111" s="5" t="s">
        <v>58</v>
      </c>
      <c r="J1111" s="5" t="s">
        <v>59</v>
      </c>
      <c r="K1111">
        <v>20</v>
      </c>
      <c r="L1111">
        <v>1422917</v>
      </c>
      <c r="M1111" s="26">
        <v>28458340</v>
      </c>
      <c r="N1111">
        <v>37923</v>
      </c>
      <c r="O1111" s="26">
        <v>4003708.15</v>
      </c>
      <c r="P1111" s="5" t="s">
        <v>42</v>
      </c>
      <c r="Q1111" s="5" t="s">
        <v>75</v>
      </c>
      <c r="R1111">
        <v>5</v>
      </c>
      <c r="S1111">
        <v>16</v>
      </c>
      <c r="T1111">
        <f t="shared" si="17"/>
        <v>1</v>
      </c>
    </row>
    <row r="1112" spans="1:20">
      <c r="A1112" s="4">
        <v>44891</v>
      </c>
      <c r="B1112">
        <v>2022</v>
      </c>
      <c r="C1112">
        <v>11</v>
      </c>
      <c r="D1112" s="5" t="s">
        <v>54</v>
      </c>
      <c r="E1112" s="5" t="s">
        <v>55</v>
      </c>
      <c r="F1112" s="5" t="s">
        <v>55</v>
      </c>
      <c r="G1112" s="5" t="s">
        <v>56</v>
      </c>
      <c r="H1112" s="5" t="s">
        <v>74</v>
      </c>
      <c r="I1112" s="5" t="s">
        <v>40</v>
      </c>
      <c r="J1112" s="5" t="s">
        <v>49</v>
      </c>
      <c r="K1112">
        <v>13</v>
      </c>
      <c r="L1112">
        <v>639932</v>
      </c>
      <c r="M1112" s="26">
        <v>8319116</v>
      </c>
      <c r="N1112">
        <v>36285</v>
      </c>
      <c r="O1112" s="26">
        <v>1075701.29</v>
      </c>
      <c r="P1112" s="5" t="s">
        <v>50</v>
      </c>
      <c r="Q1112" s="5" t="s">
        <v>51</v>
      </c>
      <c r="R1112">
        <v>4.2</v>
      </c>
      <c r="S1112">
        <v>8</v>
      </c>
      <c r="T1112">
        <f t="shared" si="17"/>
        <v>0</v>
      </c>
    </row>
    <row r="1113" spans="1:20">
      <c r="A1113" s="4">
        <v>44867</v>
      </c>
      <c r="B1113">
        <v>2022</v>
      </c>
      <c r="C1113">
        <v>11</v>
      </c>
      <c r="D1113" s="5" t="s">
        <v>44</v>
      </c>
      <c r="E1113" s="5" t="s">
        <v>45</v>
      </c>
      <c r="F1113" s="5" t="s">
        <v>46</v>
      </c>
      <c r="G1113" s="5" t="s">
        <v>47</v>
      </c>
      <c r="H1113" s="5" t="s">
        <v>74</v>
      </c>
      <c r="I1113" s="5" t="s">
        <v>40</v>
      </c>
      <c r="J1113" s="5" t="s">
        <v>49</v>
      </c>
      <c r="K1113">
        <v>32</v>
      </c>
      <c r="L1113">
        <v>671995</v>
      </c>
      <c r="M1113" s="26">
        <v>21503840</v>
      </c>
      <c r="N1113">
        <v>14410</v>
      </c>
      <c r="O1113" s="26">
        <v>1727579.83</v>
      </c>
      <c r="P1113" s="5" t="s">
        <v>42</v>
      </c>
      <c r="Q1113" s="5" t="s">
        <v>43</v>
      </c>
      <c r="R1113">
        <v>3.6</v>
      </c>
      <c r="S1113">
        <v>2</v>
      </c>
      <c r="T1113">
        <f t="shared" si="17"/>
        <v>1</v>
      </c>
    </row>
    <row r="1114" spans="1:20">
      <c r="A1114" s="4">
        <v>44872</v>
      </c>
      <c r="B1114">
        <v>2022</v>
      </c>
      <c r="C1114">
        <v>11</v>
      </c>
      <c r="D1114" s="5" t="s">
        <v>35</v>
      </c>
      <c r="E1114" s="5" t="s">
        <v>36</v>
      </c>
      <c r="F1114" s="5" t="s">
        <v>37</v>
      </c>
      <c r="G1114" s="5" t="s">
        <v>38</v>
      </c>
      <c r="H1114" s="5" t="s">
        <v>73</v>
      </c>
      <c r="I1114" s="5" t="s">
        <v>40</v>
      </c>
      <c r="J1114" s="5" t="s">
        <v>49</v>
      </c>
      <c r="K1114">
        <v>57</v>
      </c>
      <c r="L1114">
        <v>749843</v>
      </c>
      <c r="M1114" s="26">
        <v>42741051</v>
      </c>
      <c r="N1114">
        <v>27904</v>
      </c>
      <c r="O1114" s="26">
        <v>6628052.7000000002</v>
      </c>
      <c r="P1114" s="5" t="s">
        <v>42</v>
      </c>
      <c r="Q1114" s="5" t="s">
        <v>43</v>
      </c>
      <c r="R1114">
        <v>3.8</v>
      </c>
      <c r="S1114">
        <v>16</v>
      </c>
      <c r="T1114">
        <f t="shared" si="17"/>
        <v>1</v>
      </c>
    </row>
    <row r="1115" spans="1:20">
      <c r="A1115" s="4">
        <v>44872</v>
      </c>
      <c r="B1115">
        <v>2022</v>
      </c>
      <c r="C1115">
        <v>11</v>
      </c>
      <c r="D1115" s="5" t="s">
        <v>35</v>
      </c>
      <c r="E1115" s="5" t="s">
        <v>36</v>
      </c>
      <c r="F1115" s="5" t="s">
        <v>37</v>
      </c>
      <c r="G1115" s="5" t="s">
        <v>38</v>
      </c>
      <c r="H1115" s="5" t="s">
        <v>57</v>
      </c>
      <c r="I1115" s="5" t="s">
        <v>58</v>
      </c>
      <c r="J1115" s="5" t="s">
        <v>59</v>
      </c>
      <c r="K1115">
        <v>25</v>
      </c>
      <c r="L1115">
        <v>1380603</v>
      </c>
      <c r="M1115" s="26">
        <v>34515075</v>
      </c>
      <c r="N1115">
        <v>30846</v>
      </c>
      <c r="O1115" s="26">
        <v>5350548.22</v>
      </c>
      <c r="P1115" s="5" t="s">
        <v>42</v>
      </c>
      <c r="Q1115" s="5" t="s">
        <v>51</v>
      </c>
      <c r="R1115">
        <v>4.5</v>
      </c>
      <c r="S1115">
        <v>10</v>
      </c>
      <c r="T1115">
        <f t="shared" si="17"/>
        <v>1</v>
      </c>
    </row>
    <row r="1116" spans="1:20">
      <c r="A1116" s="4">
        <v>44879</v>
      </c>
      <c r="B1116">
        <v>2022</v>
      </c>
      <c r="C1116">
        <v>11</v>
      </c>
      <c r="D1116" s="5" t="s">
        <v>35</v>
      </c>
      <c r="E1116" s="5" t="s">
        <v>60</v>
      </c>
      <c r="F1116" s="5" t="s">
        <v>61</v>
      </c>
      <c r="G1116" s="5" t="s">
        <v>62</v>
      </c>
      <c r="H1116" s="5" t="s">
        <v>48</v>
      </c>
      <c r="I1116" s="5" t="s">
        <v>40</v>
      </c>
      <c r="J1116" s="5" t="s">
        <v>49</v>
      </c>
      <c r="K1116">
        <v>13</v>
      </c>
      <c r="L1116">
        <v>432067</v>
      </c>
      <c r="M1116" s="26">
        <v>5616871</v>
      </c>
      <c r="N1116">
        <v>16471</v>
      </c>
      <c r="O1116" s="26">
        <v>519629.21</v>
      </c>
      <c r="P1116" s="5" t="s">
        <v>42</v>
      </c>
      <c r="Q1116" s="5" t="s">
        <v>75</v>
      </c>
      <c r="R1116">
        <v>4.4000000000000004</v>
      </c>
      <c r="S1116">
        <v>6</v>
      </c>
      <c r="T1116">
        <f t="shared" si="17"/>
        <v>1</v>
      </c>
    </row>
    <row r="1117" spans="1:20">
      <c r="A1117" s="4">
        <v>44878</v>
      </c>
      <c r="B1117">
        <v>2022</v>
      </c>
      <c r="C1117">
        <v>11</v>
      </c>
      <c r="D1117" s="5" t="s">
        <v>44</v>
      </c>
      <c r="E1117" s="5" t="s">
        <v>82</v>
      </c>
      <c r="F1117" s="5" t="s">
        <v>83</v>
      </c>
      <c r="G1117" s="5" t="s">
        <v>84</v>
      </c>
      <c r="H1117" s="5" t="s">
        <v>57</v>
      </c>
      <c r="I1117" s="5" t="s">
        <v>58</v>
      </c>
      <c r="J1117" s="5" t="s">
        <v>59</v>
      </c>
      <c r="K1117">
        <v>46</v>
      </c>
      <c r="L1117">
        <v>1417237</v>
      </c>
      <c r="M1117" s="26">
        <v>65192902</v>
      </c>
      <c r="N1117">
        <v>48243</v>
      </c>
      <c r="O1117" s="26">
        <v>8590226.8399999999</v>
      </c>
      <c r="P1117" s="5" t="s">
        <v>42</v>
      </c>
      <c r="Q1117" s="5" t="s">
        <v>51</v>
      </c>
      <c r="R1117">
        <v>4.9000000000000004</v>
      </c>
      <c r="S1117">
        <v>19</v>
      </c>
      <c r="T1117">
        <f t="shared" si="17"/>
        <v>1</v>
      </c>
    </row>
    <row r="1118" spans="1:20">
      <c r="A1118" s="4">
        <v>44871</v>
      </c>
      <c r="B1118">
        <v>2022</v>
      </c>
      <c r="C1118">
        <v>11</v>
      </c>
      <c r="D1118" s="5" t="s">
        <v>54</v>
      </c>
      <c r="E1118" s="5" t="s">
        <v>70</v>
      </c>
      <c r="F1118" s="5" t="s">
        <v>71</v>
      </c>
      <c r="G1118" s="5" t="s">
        <v>72</v>
      </c>
      <c r="H1118" s="5" t="s">
        <v>65</v>
      </c>
      <c r="I1118" s="5" t="s">
        <v>53</v>
      </c>
      <c r="J1118" s="5" t="s">
        <v>49</v>
      </c>
      <c r="K1118">
        <v>52</v>
      </c>
      <c r="L1118">
        <v>1227107</v>
      </c>
      <c r="M1118" s="26">
        <v>63809564</v>
      </c>
      <c r="N1118">
        <v>40048</v>
      </c>
      <c r="O1118" s="26">
        <v>6383641.1799999997</v>
      </c>
      <c r="P1118" s="5" t="s">
        <v>42</v>
      </c>
      <c r="Q1118" s="5" t="s">
        <v>75</v>
      </c>
      <c r="R1118">
        <v>4.9000000000000004</v>
      </c>
      <c r="S1118">
        <v>2</v>
      </c>
      <c r="T1118">
        <f t="shared" si="17"/>
        <v>1</v>
      </c>
    </row>
    <row r="1119" spans="1:20">
      <c r="A1119" s="4">
        <v>44890</v>
      </c>
      <c r="B1119">
        <v>2022</v>
      </c>
      <c r="C1119">
        <v>11</v>
      </c>
      <c r="D1119" s="5" t="s">
        <v>54</v>
      </c>
      <c r="E1119" s="5" t="s">
        <v>55</v>
      </c>
      <c r="F1119" s="5" t="s">
        <v>55</v>
      </c>
      <c r="G1119" s="5" t="s">
        <v>56</v>
      </c>
      <c r="H1119" s="5" t="s">
        <v>48</v>
      </c>
      <c r="I1119" s="5" t="s">
        <v>40</v>
      </c>
      <c r="J1119" s="5" t="s">
        <v>49</v>
      </c>
      <c r="K1119">
        <v>39</v>
      </c>
      <c r="L1119">
        <v>474497</v>
      </c>
      <c r="M1119" s="26">
        <v>18505383</v>
      </c>
      <c r="N1119">
        <v>33233</v>
      </c>
      <c r="O1119" s="26">
        <v>2021336.34</v>
      </c>
      <c r="P1119" s="5" t="s">
        <v>50</v>
      </c>
      <c r="Q1119" s="5" t="s">
        <v>75</v>
      </c>
      <c r="R1119">
        <v>3.6</v>
      </c>
      <c r="S1119">
        <v>13</v>
      </c>
      <c r="T1119">
        <f t="shared" si="17"/>
        <v>0</v>
      </c>
    </row>
    <row r="1120" spans="1:20">
      <c r="A1120" s="4">
        <v>44866</v>
      </c>
      <c r="B1120">
        <v>2022</v>
      </c>
      <c r="C1120">
        <v>11</v>
      </c>
      <c r="D1120" s="5" t="s">
        <v>44</v>
      </c>
      <c r="E1120" s="5" t="s">
        <v>45</v>
      </c>
      <c r="F1120" s="5" t="s">
        <v>46</v>
      </c>
      <c r="G1120" s="5" t="s">
        <v>47</v>
      </c>
      <c r="H1120" s="5" t="s">
        <v>74</v>
      </c>
      <c r="I1120" s="5" t="s">
        <v>40</v>
      </c>
      <c r="J1120" s="5" t="s">
        <v>49</v>
      </c>
      <c r="K1120">
        <v>12</v>
      </c>
      <c r="L1120">
        <v>629539</v>
      </c>
      <c r="M1120" s="26">
        <v>7554468</v>
      </c>
      <c r="N1120">
        <v>15166</v>
      </c>
      <c r="O1120" s="26">
        <v>1105940.24</v>
      </c>
      <c r="P1120" s="5" t="s">
        <v>42</v>
      </c>
      <c r="Q1120" s="5" t="s">
        <v>75</v>
      </c>
      <c r="R1120">
        <v>4.4000000000000004</v>
      </c>
      <c r="S1120">
        <v>20</v>
      </c>
      <c r="T1120">
        <f t="shared" si="17"/>
        <v>1</v>
      </c>
    </row>
    <row r="1121" spans="1:20">
      <c r="A1121" s="4">
        <v>44889</v>
      </c>
      <c r="B1121">
        <v>2022</v>
      </c>
      <c r="C1121">
        <v>11</v>
      </c>
      <c r="D1121" s="5" t="s">
        <v>35</v>
      </c>
      <c r="E1121" s="5" t="s">
        <v>76</v>
      </c>
      <c r="F1121" s="5" t="s">
        <v>77</v>
      </c>
      <c r="G1121" s="5" t="s">
        <v>78</v>
      </c>
      <c r="H1121" s="5" t="s">
        <v>80</v>
      </c>
      <c r="I1121" s="5" t="s">
        <v>81</v>
      </c>
      <c r="J1121" s="5" t="s">
        <v>41</v>
      </c>
      <c r="K1121">
        <v>9</v>
      </c>
      <c r="L1121">
        <v>542569</v>
      </c>
      <c r="M1121" s="26">
        <v>4883121</v>
      </c>
      <c r="N1121">
        <v>31626</v>
      </c>
      <c r="O1121" s="26">
        <v>525289.64</v>
      </c>
      <c r="P1121" s="5" t="s">
        <v>42</v>
      </c>
      <c r="Q1121" s="5" t="s">
        <v>43</v>
      </c>
      <c r="R1121">
        <v>4.3</v>
      </c>
      <c r="S1121">
        <v>10</v>
      </c>
      <c r="T1121">
        <f t="shared" si="17"/>
        <v>1</v>
      </c>
    </row>
    <row r="1122" spans="1:20">
      <c r="A1122" s="4">
        <v>44869</v>
      </c>
      <c r="B1122">
        <v>2022</v>
      </c>
      <c r="C1122">
        <v>11</v>
      </c>
      <c r="D1122" s="5" t="s">
        <v>35</v>
      </c>
      <c r="E1122" s="5" t="s">
        <v>76</v>
      </c>
      <c r="F1122" s="5" t="s">
        <v>77</v>
      </c>
      <c r="G1122" s="5" t="s">
        <v>78</v>
      </c>
      <c r="H1122" s="5" t="s">
        <v>65</v>
      </c>
      <c r="I1122" s="5" t="s">
        <v>53</v>
      </c>
      <c r="J1122" s="5" t="s">
        <v>49</v>
      </c>
      <c r="K1122">
        <v>31</v>
      </c>
      <c r="L1122">
        <v>1271924</v>
      </c>
      <c r="M1122" s="26">
        <v>39429644</v>
      </c>
      <c r="N1122">
        <v>20635</v>
      </c>
      <c r="O1122" s="26">
        <v>4355196.41</v>
      </c>
      <c r="P1122" s="5" t="s">
        <v>42</v>
      </c>
      <c r="Q1122" s="5" t="s">
        <v>75</v>
      </c>
      <c r="R1122">
        <v>4.0999999999999996</v>
      </c>
      <c r="S1122">
        <v>9</v>
      </c>
      <c r="T1122">
        <f t="shared" si="17"/>
        <v>1</v>
      </c>
    </row>
    <row r="1123" spans="1:20">
      <c r="A1123" s="4">
        <v>44876</v>
      </c>
      <c r="B1123">
        <v>2022</v>
      </c>
      <c r="C1123">
        <v>11</v>
      </c>
      <c r="D1123" s="5" t="s">
        <v>54</v>
      </c>
      <c r="E1123" s="5" t="s">
        <v>70</v>
      </c>
      <c r="F1123" s="5" t="s">
        <v>71</v>
      </c>
      <c r="G1123" s="5" t="s">
        <v>72</v>
      </c>
      <c r="H1123" s="5" t="s">
        <v>57</v>
      </c>
      <c r="I1123" s="5" t="s">
        <v>58</v>
      </c>
      <c r="J1123" s="5" t="s">
        <v>59</v>
      </c>
      <c r="K1123">
        <v>28</v>
      </c>
      <c r="L1123">
        <v>1422813</v>
      </c>
      <c r="M1123" s="26">
        <v>39838764</v>
      </c>
      <c r="N1123">
        <v>7089</v>
      </c>
      <c r="O1123" s="26">
        <v>3847777.02</v>
      </c>
      <c r="P1123" s="5" t="s">
        <v>42</v>
      </c>
      <c r="Q1123" s="5" t="s">
        <v>51</v>
      </c>
      <c r="R1123">
        <v>4.2</v>
      </c>
      <c r="S1123">
        <v>2</v>
      </c>
      <c r="T1123">
        <f t="shared" si="17"/>
        <v>1</v>
      </c>
    </row>
    <row r="1124" spans="1:20">
      <c r="A1124" s="4">
        <v>44890</v>
      </c>
      <c r="B1124">
        <v>2022</v>
      </c>
      <c r="C1124">
        <v>11</v>
      </c>
      <c r="D1124" s="5" t="s">
        <v>35</v>
      </c>
      <c r="E1124" s="5" t="s">
        <v>36</v>
      </c>
      <c r="F1124" s="5" t="s">
        <v>37</v>
      </c>
      <c r="G1124" s="5" t="s">
        <v>38</v>
      </c>
      <c r="H1124" s="5" t="s">
        <v>65</v>
      </c>
      <c r="I1124" s="5" t="s">
        <v>53</v>
      </c>
      <c r="J1124" s="5" t="s">
        <v>49</v>
      </c>
      <c r="K1124">
        <v>39</v>
      </c>
      <c r="L1124">
        <v>1244088</v>
      </c>
      <c r="M1124" s="26">
        <v>48519432</v>
      </c>
      <c r="N1124">
        <v>18309</v>
      </c>
      <c r="O1124" s="26">
        <v>4496125.13</v>
      </c>
      <c r="P1124" s="5" t="s">
        <v>50</v>
      </c>
      <c r="Q1124" s="5" t="s">
        <v>75</v>
      </c>
      <c r="R1124">
        <v>3.8</v>
      </c>
      <c r="S1124">
        <v>19</v>
      </c>
      <c r="T1124">
        <f t="shared" si="17"/>
        <v>0</v>
      </c>
    </row>
    <row r="1125" spans="1:20">
      <c r="A1125" s="4">
        <v>44882</v>
      </c>
      <c r="B1125">
        <v>2022</v>
      </c>
      <c r="C1125">
        <v>11</v>
      </c>
      <c r="D1125" s="5" t="s">
        <v>66</v>
      </c>
      <c r="E1125" s="5" t="s">
        <v>67</v>
      </c>
      <c r="F1125" s="5" t="s">
        <v>68</v>
      </c>
      <c r="G1125" s="5" t="s">
        <v>69</v>
      </c>
      <c r="H1125" s="5" t="s">
        <v>63</v>
      </c>
      <c r="I1125" s="5" t="s">
        <v>64</v>
      </c>
      <c r="J1125" s="5" t="s">
        <v>41</v>
      </c>
      <c r="K1125">
        <v>18</v>
      </c>
      <c r="L1125">
        <v>734298</v>
      </c>
      <c r="M1125" s="26">
        <v>13217364</v>
      </c>
      <c r="N1125">
        <v>23537</v>
      </c>
      <c r="O1125" s="26">
        <v>1961085.56</v>
      </c>
      <c r="P1125" s="5" t="s">
        <v>42</v>
      </c>
      <c r="Q1125" s="5" t="s">
        <v>75</v>
      </c>
      <c r="R1125">
        <v>4.8</v>
      </c>
      <c r="S1125">
        <v>21</v>
      </c>
      <c r="T1125">
        <f t="shared" si="17"/>
        <v>1</v>
      </c>
    </row>
    <row r="1126" spans="1:20">
      <c r="A1126" s="4">
        <v>44870</v>
      </c>
      <c r="B1126">
        <v>2022</v>
      </c>
      <c r="C1126">
        <v>11</v>
      </c>
      <c r="D1126" s="5" t="s">
        <v>54</v>
      </c>
      <c r="E1126" s="5" t="s">
        <v>55</v>
      </c>
      <c r="F1126" s="5" t="s">
        <v>55</v>
      </c>
      <c r="G1126" s="5" t="s">
        <v>56</v>
      </c>
      <c r="H1126" s="5" t="s">
        <v>63</v>
      </c>
      <c r="I1126" s="5" t="s">
        <v>64</v>
      </c>
      <c r="J1126" s="5" t="s">
        <v>41</v>
      </c>
      <c r="K1126">
        <v>25</v>
      </c>
      <c r="L1126">
        <v>755684</v>
      </c>
      <c r="M1126" s="26">
        <v>18892100</v>
      </c>
      <c r="N1126">
        <v>42687</v>
      </c>
      <c r="O1126" s="26">
        <v>2622286.4700000002</v>
      </c>
      <c r="P1126" s="5" t="s">
        <v>42</v>
      </c>
      <c r="Q1126" s="5" t="s">
        <v>43</v>
      </c>
      <c r="R1126">
        <v>4.2</v>
      </c>
      <c r="S1126">
        <v>18</v>
      </c>
      <c r="T1126">
        <f t="shared" si="17"/>
        <v>1</v>
      </c>
    </row>
    <row r="1127" spans="1:20">
      <c r="A1127" s="4">
        <v>44871</v>
      </c>
      <c r="B1127">
        <v>2022</v>
      </c>
      <c r="C1127">
        <v>11</v>
      </c>
      <c r="D1127" s="5" t="s">
        <v>44</v>
      </c>
      <c r="E1127" s="5" t="s">
        <v>45</v>
      </c>
      <c r="F1127" s="5" t="s">
        <v>46</v>
      </c>
      <c r="G1127" s="5" t="s">
        <v>47</v>
      </c>
      <c r="H1127" s="5" t="s">
        <v>48</v>
      </c>
      <c r="I1127" s="5" t="s">
        <v>40</v>
      </c>
      <c r="J1127" s="5" t="s">
        <v>49</v>
      </c>
      <c r="K1127">
        <v>13</v>
      </c>
      <c r="L1127">
        <v>430102</v>
      </c>
      <c r="M1127" s="26">
        <v>5591326</v>
      </c>
      <c r="N1127">
        <v>5015</v>
      </c>
      <c r="O1127" s="26">
        <v>618581.16</v>
      </c>
      <c r="P1127" s="5" t="s">
        <v>50</v>
      </c>
      <c r="Q1127" s="5" t="s">
        <v>75</v>
      </c>
      <c r="R1127">
        <v>4.3</v>
      </c>
      <c r="S1127">
        <v>8</v>
      </c>
      <c r="T1127">
        <f t="shared" si="17"/>
        <v>0</v>
      </c>
    </row>
    <row r="1128" spans="1:20">
      <c r="A1128" s="4">
        <v>44878</v>
      </c>
      <c r="B1128">
        <v>2022</v>
      </c>
      <c r="C1128">
        <v>11</v>
      </c>
      <c r="D1128" s="5" t="s">
        <v>44</v>
      </c>
      <c r="E1128" s="5" t="s">
        <v>45</v>
      </c>
      <c r="F1128" s="5" t="s">
        <v>46</v>
      </c>
      <c r="G1128" s="5" t="s">
        <v>47</v>
      </c>
      <c r="H1128" s="5" t="s">
        <v>74</v>
      </c>
      <c r="I1128" s="5" t="s">
        <v>40</v>
      </c>
      <c r="J1128" s="5" t="s">
        <v>49</v>
      </c>
      <c r="K1128">
        <v>54</v>
      </c>
      <c r="L1128">
        <v>657786</v>
      </c>
      <c r="M1128" s="26">
        <v>35520444</v>
      </c>
      <c r="N1128">
        <v>37153</v>
      </c>
      <c r="O1128" s="26">
        <v>3476676.6</v>
      </c>
      <c r="P1128" s="5" t="s">
        <v>42</v>
      </c>
      <c r="Q1128" s="5" t="s">
        <v>43</v>
      </c>
      <c r="R1128">
        <v>3.6</v>
      </c>
      <c r="S1128">
        <v>9</v>
      </c>
      <c r="T1128">
        <f t="shared" si="17"/>
        <v>1</v>
      </c>
    </row>
    <row r="1129" spans="1:20">
      <c r="A1129" s="4">
        <v>44883</v>
      </c>
      <c r="B1129">
        <v>2022</v>
      </c>
      <c r="C1129">
        <v>11</v>
      </c>
      <c r="D1129" s="5" t="s">
        <v>54</v>
      </c>
      <c r="E1129" s="5" t="s">
        <v>70</v>
      </c>
      <c r="F1129" s="5" t="s">
        <v>71</v>
      </c>
      <c r="G1129" s="5" t="s">
        <v>72</v>
      </c>
      <c r="H1129" s="5" t="s">
        <v>65</v>
      </c>
      <c r="I1129" s="5" t="s">
        <v>53</v>
      </c>
      <c r="J1129" s="5" t="s">
        <v>49</v>
      </c>
      <c r="K1129">
        <v>6</v>
      </c>
      <c r="L1129">
        <v>1226232</v>
      </c>
      <c r="M1129" s="26">
        <v>7357392</v>
      </c>
      <c r="N1129">
        <v>22266</v>
      </c>
      <c r="O1129" s="26">
        <v>752803.29</v>
      </c>
      <c r="P1129" s="5" t="s">
        <v>42</v>
      </c>
      <c r="Q1129" s="5" t="s">
        <v>75</v>
      </c>
      <c r="R1129">
        <v>4.0999999999999996</v>
      </c>
      <c r="S1129">
        <v>17</v>
      </c>
      <c r="T1129">
        <f t="shared" si="17"/>
        <v>1</v>
      </c>
    </row>
    <row r="1130" spans="1:20">
      <c r="A1130" s="4">
        <v>44872</v>
      </c>
      <c r="B1130">
        <v>2022</v>
      </c>
      <c r="C1130">
        <v>11</v>
      </c>
      <c r="D1130" s="5" t="s">
        <v>54</v>
      </c>
      <c r="E1130" s="5" t="s">
        <v>70</v>
      </c>
      <c r="F1130" s="5" t="s">
        <v>71</v>
      </c>
      <c r="G1130" s="5" t="s">
        <v>72</v>
      </c>
      <c r="H1130" s="5" t="s">
        <v>79</v>
      </c>
      <c r="I1130" s="5" t="s">
        <v>58</v>
      </c>
      <c r="J1130" s="5" t="s">
        <v>49</v>
      </c>
      <c r="K1130">
        <v>22</v>
      </c>
      <c r="L1130">
        <v>905923</v>
      </c>
      <c r="M1130" s="26">
        <v>19930306</v>
      </c>
      <c r="N1130">
        <v>31395</v>
      </c>
      <c r="O1130" s="26">
        <v>3184735.25</v>
      </c>
      <c r="P1130" s="5" t="s">
        <v>42</v>
      </c>
      <c r="Q1130" s="5" t="s">
        <v>43</v>
      </c>
      <c r="R1130">
        <v>3.6</v>
      </c>
      <c r="S1130">
        <v>19</v>
      </c>
      <c r="T1130">
        <f t="shared" si="17"/>
        <v>1</v>
      </c>
    </row>
    <row r="1131" spans="1:20">
      <c r="A1131" s="4">
        <v>44887</v>
      </c>
      <c r="B1131">
        <v>2022</v>
      </c>
      <c r="C1131">
        <v>11</v>
      </c>
      <c r="D1131" s="5" t="s">
        <v>35</v>
      </c>
      <c r="E1131" s="5" t="s">
        <v>60</v>
      </c>
      <c r="F1131" s="5" t="s">
        <v>61</v>
      </c>
      <c r="G1131" s="5" t="s">
        <v>62</v>
      </c>
      <c r="H1131" s="5" t="s">
        <v>63</v>
      </c>
      <c r="I1131" s="5" t="s">
        <v>64</v>
      </c>
      <c r="J1131" s="5" t="s">
        <v>41</v>
      </c>
      <c r="K1131">
        <v>24</v>
      </c>
      <c r="L1131">
        <v>755982</v>
      </c>
      <c r="M1131" s="26">
        <v>18143568</v>
      </c>
      <c r="N1131">
        <v>28019</v>
      </c>
      <c r="O1131" s="26">
        <v>2477925.19</v>
      </c>
      <c r="P1131" s="5" t="s">
        <v>50</v>
      </c>
      <c r="Q1131" s="5" t="s">
        <v>43</v>
      </c>
      <c r="R1131">
        <v>3.7</v>
      </c>
      <c r="S1131">
        <v>5</v>
      </c>
      <c r="T1131">
        <f t="shared" si="17"/>
        <v>0</v>
      </c>
    </row>
    <row r="1132" spans="1:20">
      <c r="A1132" s="4">
        <v>44887</v>
      </c>
      <c r="B1132">
        <v>2022</v>
      </c>
      <c r="C1132">
        <v>11</v>
      </c>
      <c r="D1132" s="5" t="s">
        <v>54</v>
      </c>
      <c r="E1132" s="5" t="s">
        <v>70</v>
      </c>
      <c r="F1132" s="5" t="s">
        <v>71</v>
      </c>
      <c r="G1132" s="5" t="s">
        <v>72</v>
      </c>
      <c r="H1132" s="5" t="s">
        <v>85</v>
      </c>
      <c r="I1132" s="5" t="s">
        <v>58</v>
      </c>
      <c r="J1132" s="5" t="s">
        <v>49</v>
      </c>
      <c r="K1132">
        <v>47</v>
      </c>
      <c r="L1132">
        <v>1008217</v>
      </c>
      <c r="M1132" s="26">
        <v>47386199</v>
      </c>
      <c r="N1132">
        <v>20963</v>
      </c>
      <c r="O1132" s="26">
        <v>5746168.9299999997</v>
      </c>
      <c r="P1132" s="5" t="s">
        <v>42</v>
      </c>
      <c r="Q1132" s="5" t="s">
        <v>75</v>
      </c>
      <c r="R1132">
        <v>5</v>
      </c>
      <c r="S1132">
        <v>3</v>
      </c>
      <c r="T1132">
        <f t="shared" si="17"/>
        <v>1</v>
      </c>
    </row>
    <row r="1133" spans="1:20">
      <c r="A1133" s="4">
        <v>44893</v>
      </c>
      <c r="B1133">
        <v>2022</v>
      </c>
      <c r="C1133">
        <v>11</v>
      </c>
      <c r="D1133" s="5" t="s">
        <v>54</v>
      </c>
      <c r="E1133" s="5" t="s">
        <v>70</v>
      </c>
      <c r="F1133" s="5" t="s">
        <v>71</v>
      </c>
      <c r="G1133" s="5" t="s">
        <v>72</v>
      </c>
      <c r="H1133" s="5" t="s">
        <v>86</v>
      </c>
      <c r="I1133" s="5" t="s">
        <v>40</v>
      </c>
      <c r="J1133" s="5" t="s">
        <v>41</v>
      </c>
      <c r="K1133">
        <v>42</v>
      </c>
      <c r="L1133">
        <v>586467</v>
      </c>
      <c r="M1133" s="26">
        <v>24631614</v>
      </c>
      <c r="N1133">
        <v>39722</v>
      </c>
      <c r="O1133" s="26">
        <v>3801955.48</v>
      </c>
      <c r="P1133" s="5" t="s">
        <v>42</v>
      </c>
      <c r="Q1133" s="5" t="s">
        <v>51</v>
      </c>
      <c r="R1133">
        <v>4.9000000000000004</v>
      </c>
      <c r="S1133">
        <v>21</v>
      </c>
      <c r="T1133">
        <f t="shared" si="17"/>
        <v>1</v>
      </c>
    </row>
    <row r="1134" spans="1:20">
      <c r="A1134" s="4">
        <v>44885</v>
      </c>
      <c r="B1134">
        <v>2022</v>
      </c>
      <c r="C1134">
        <v>11</v>
      </c>
      <c r="D1134" s="5" t="s">
        <v>35</v>
      </c>
      <c r="E1134" s="5" t="s">
        <v>76</v>
      </c>
      <c r="F1134" s="5" t="s">
        <v>77</v>
      </c>
      <c r="G1134" s="5" t="s">
        <v>78</v>
      </c>
      <c r="H1134" s="5" t="s">
        <v>63</v>
      </c>
      <c r="I1134" s="5" t="s">
        <v>64</v>
      </c>
      <c r="J1134" s="5" t="s">
        <v>41</v>
      </c>
      <c r="K1134">
        <v>26</v>
      </c>
      <c r="L1134">
        <v>785126</v>
      </c>
      <c r="M1134" s="26">
        <v>20413276</v>
      </c>
      <c r="N1134">
        <v>27522</v>
      </c>
      <c r="O1134" s="26">
        <v>2472454.09</v>
      </c>
      <c r="P1134" s="5" t="s">
        <v>50</v>
      </c>
      <c r="Q1134" s="5" t="s">
        <v>75</v>
      </c>
      <c r="R1134">
        <v>4.7</v>
      </c>
      <c r="S1134">
        <v>11</v>
      </c>
      <c r="T1134">
        <f t="shared" si="17"/>
        <v>0</v>
      </c>
    </row>
    <row r="1135" spans="1:20">
      <c r="A1135" s="4">
        <v>44867</v>
      </c>
      <c r="B1135">
        <v>2022</v>
      </c>
      <c r="C1135">
        <v>11</v>
      </c>
      <c r="D1135" s="5" t="s">
        <v>54</v>
      </c>
      <c r="E1135" s="5" t="s">
        <v>55</v>
      </c>
      <c r="F1135" s="5" t="s">
        <v>55</v>
      </c>
      <c r="G1135" s="5" t="s">
        <v>56</v>
      </c>
      <c r="H1135" s="5" t="s">
        <v>73</v>
      </c>
      <c r="I1135" s="5" t="s">
        <v>40</v>
      </c>
      <c r="J1135" s="5" t="s">
        <v>49</v>
      </c>
      <c r="K1135">
        <v>13</v>
      </c>
      <c r="L1135">
        <v>728331</v>
      </c>
      <c r="M1135" s="26">
        <v>9468303</v>
      </c>
      <c r="N1135">
        <v>23498</v>
      </c>
      <c r="O1135" s="26">
        <v>840260.57</v>
      </c>
      <c r="P1135" s="5" t="s">
        <v>42</v>
      </c>
      <c r="Q1135" s="5" t="s">
        <v>75</v>
      </c>
      <c r="R1135">
        <v>4.8</v>
      </c>
      <c r="S1135">
        <v>21</v>
      </c>
      <c r="T1135">
        <f t="shared" si="17"/>
        <v>1</v>
      </c>
    </row>
    <row r="1136" spans="1:20">
      <c r="A1136" s="4">
        <v>44889</v>
      </c>
      <c r="B1136">
        <v>2022</v>
      </c>
      <c r="C1136">
        <v>11</v>
      </c>
      <c r="D1136" s="5" t="s">
        <v>35</v>
      </c>
      <c r="E1136" s="5" t="s">
        <v>60</v>
      </c>
      <c r="F1136" s="5" t="s">
        <v>61</v>
      </c>
      <c r="G1136" s="5" t="s">
        <v>62</v>
      </c>
      <c r="H1136" s="5" t="s">
        <v>48</v>
      </c>
      <c r="I1136" s="5" t="s">
        <v>40</v>
      </c>
      <c r="J1136" s="5" t="s">
        <v>49</v>
      </c>
      <c r="K1136">
        <v>8</v>
      </c>
      <c r="L1136">
        <v>479232</v>
      </c>
      <c r="M1136" s="26">
        <v>3833856</v>
      </c>
      <c r="N1136">
        <v>18545</v>
      </c>
      <c r="O1136" s="26">
        <v>569407.97</v>
      </c>
      <c r="P1136" s="5" t="s">
        <v>50</v>
      </c>
      <c r="Q1136" s="5" t="s">
        <v>43</v>
      </c>
      <c r="R1136">
        <v>3.9</v>
      </c>
      <c r="S1136">
        <v>13</v>
      </c>
      <c r="T1136">
        <f t="shared" si="17"/>
        <v>0</v>
      </c>
    </row>
    <row r="1137" spans="1:20">
      <c r="A1137" s="4">
        <v>44891</v>
      </c>
      <c r="B1137">
        <v>2022</v>
      </c>
      <c r="C1137">
        <v>11</v>
      </c>
      <c r="D1137" s="5" t="s">
        <v>35</v>
      </c>
      <c r="E1137" s="5" t="s">
        <v>76</v>
      </c>
      <c r="F1137" s="5" t="s">
        <v>77</v>
      </c>
      <c r="G1137" s="5" t="s">
        <v>78</v>
      </c>
      <c r="H1137" s="5" t="s">
        <v>52</v>
      </c>
      <c r="I1137" s="5" t="s">
        <v>53</v>
      </c>
      <c r="J1137" s="5" t="s">
        <v>41</v>
      </c>
      <c r="K1137">
        <v>25</v>
      </c>
      <c r="L1137">
        <v>952256</v>
      </c>
      <c r="M1137" s="26">
        <v>23806400</v>
      </c>
      <c r="N1137">
        <v>7244</v>
      </c>
      <c r="O1137" s="26">
        <v>3031074.02</v>
      </c>
      <c r="P1137" s="5" t="s">
        <v>50</v>
      </c>
      <c r="Q1137" s="5" t="s">
        <v>75</v>
      </c>
      <c r="R1137">
        <v>4.4000000000000004</v>
      </c>
      <c r="S1137">
        <v>9</v>
      </c>
      <c r="T1137">
        <f t="shared" si="17"/>
        <v>0</v>
      </c>
    </row>
    <row r="1138" spans="1:20">
      <c r="A1138" s="4">
        <v>44879</v>
      </c>
      <c r="B1138">
        <v>2022</v>
      </c>
      <c r="C1138">
        <v>11</v>
      </c>
      <c r="D1138" s="5" t="s">
        <v>54</v>
      </c>
      <c r="E1138" s="5" t="s">
        <v>55</v>
      </c>
      <c r="F1138" s="5" t="s">
        <v>55</v>
      </c>
      <c r="G1138" s="5" t="s">
        <v>56</v>
      </c>
      <c r="H1138" s="5" t="s">
        <v>73</v>
      </c>
      <c r="I1138" s="5" t="s">
        <v>40</v>
      </c>
      <c r="J1138" s="5" t="s">
        <v>49</v>
      </c>
      <c r="K1138">
        <v>7</v>
      </c>
      <c r="L1138">
        <v>693331</v>
      </c>
      <c r="M1138" s="26">
        <v>4853317</v>
      </c>
      <c r="N1138">
        <v>17531</v>
      </c>
      <c r="O1138" s="26">
        <v>681186.51</v>
      </c>
      <c r="P1138" s="5" t="s">
        <v>50</v>
      </c>
      <c r="Q1138" s="5" t="s">
        <v>75</v>
      </c>
      <c r="R1138">
        <v>5</v>
      </c>
      <c r="S1138">
        <v>8</v>
      </c>
      <c r="T1138">
        <f t="shared" si="17"/>
        <v>0</v>
      </c>
    </row>
    <row r="1139" spans="1:20">
      <c r="A1139" s="4">
        <v>44893</v>
      </c>
      <c r="B1139">
        <v>2022</v>
      </c>
      <c r="C1139">
        <v>11</v>
      </c>
      <c r="D1139" s="5" t="s">
        <v>54</v>
      </c>
      <c r="E1139" s="5" t="s">
        <v>70</v>
      </c>
      <c r="F1139" s="5" t="s">
        <v>71</v>
      </c>
      <c r="G1139" s="5" t="s">
        <v>72</v>
      </c>
      <c r="H1139" s="5" t="s">
        <v>80</v>
      </c>
      <c r="I1139" s="5" t="s">
        <v>81</v>
      </c>
      <c r="J1139" s="5" t="s">
        <v>41</v>
      </c>
      <c r="K1139">
        <v>20</v>
      </c>
      <c r="L1139">
        <v>535028</v>
      </c>
      <c r="M1139" s="26">
        <v>10700560</v>
      </c>
      <c r="N1139">
        <v>6670</v>
      </c>
      <c r="O1139" s="26">
        <v>1216639.27</v>
      </c>
      <c r="P1139" s="5" t="s">
        <v>42</v>
      </c>
      <c r="Q1139" s="5" t="s">
        <v>75</v>
      </c>
      <c r="R1139">
        <v>4</v>
      </c>
      <c r="S1139">
        <v>6</v>
      </c>
      <c r="T1139">
        <f t="shared" si="17"/>
        <v>1</v>
      </c>
    </row>
    <row r="1140" spans="1:20">
      <c r="A1140" s="4">
        <v>44891</v>
      </c>
      <c r="B1140">
        <v>2022</v>
      </c>
      <c r="C1140">
        <v>11</v>
      </c>
      <c r="D1140" s="5" t="s">
        <v>44</v>
      </c>
      <c r="E1140" s="5" t="s">
        <v>45</v>
      </c>
      <c r="F1140" s="5" t="s">
        <v>46</v>
      </c>
      <c r="G1140" s="5" t="s">
        <v>47</v>
      </c>
      <c r="H1140" s="5" t="s">
        <v>48</v>
      </c>
      <c r="I1140" s="5" t="s">
        <v>40</v>
      </c>
      <c r="J1140" s="5" t="s">
        <v>49</v>
      </c>
      <c r="K1140">
        <v>53</v>
      </c>
      <c r="L1140">
        <v>438830</v>
      </c>
      <c r="M1140" s="26">
        <v>23257990</v>
      </c>
      <c r="N1140">
        <v>31335</v>
      </c>
      <c r="O1140" s="26">
        <v>3368534.39</v>
      </c>
      <c r="P1140" s="5" t="s">
        <v>50</v>
      </c>
      <c r="Q1140" s="5" t="s">
        <v>75</v>
      </c>
      <c r="R1140">
        <v>4.7</v>
      </c>
      <c r="S1140">
        <v>12</v>
      </c>
      <c r="T1140">
        <f t="shared" si="17"/>
        <v>0</v>
      </c>
    </row>
    <row r="1141" spans="1:20">
      <c r="A1141" s="4">
        <v>44868</v>
      </c>
      <c r="B1141">
        <v>2022</v>
      </c>
      <c r="C1141">
        <v>11</v>
      </c>
      <c r="D1141" s="5" t="s">
        <v>54</v>
      </c>
      <c r="E1141" s="5" t="s">
        <v>70</v>
      </c>
      <c r="F1141" s="5" t="s">
        <v>71</v>
      </c>
      <c r="G1141" s="5" t="s">
        <v>72</v>
      </c>
      <c r="H1141" s="5" t="s">
        <v>65</v>
      </c>
      <c r="I1141" s="5" t="s">
        <v>53</v>
      </c>
      <c r="J1141" s="5" t="s">
        <v>49</v>
      </c>
      <c r="K1141">
        <v>30</v>
      </c>
      <c r="L1141">
        <v>1245552</v>
      </c>
      <c r="M1141" s="26">
        <v>37366560</v>
      </c>
      <c r="N1141">
        <v>35528</v>
      </c>
      <c r="O1141" s="26">
        <v>5912869.54</v>
      </c>
      <c r="P1141" s="5" t="s">
        <v>42</v>
      </c>
      <c r="Q1141" s="5" t="s">
        <v>75</v>
      </c>
      <c r="R1141">
        <v>4.2</v>
      </c>
      <c r="S1141">
        <v>5</v>
      </c>
      <c r="T1141">
        <f t="shared" si="17"/>
        <v>1</v>
      </c>
    </row>
    <row r="1142" spans="1:20">
      <c r="A1142" s="4">
        <v>44870</v>
      </c>
      <c r="B1142">
        <v>2022</v>
      </c>
      <c r="C1142">
        <v>11</v>
      </c>
      <c r="D1142" s="5" t="s">
        <v>54</v>
      </c>
      <c r="E1142" s="5" t="s">
        <v>70</v>
      </c>
      <c r="F1142" s="5" t="s">
        <v>71</v>
      </c>
      <c r="G1142" s="5" t="s">
        <v>72</v>
      </c>
      <c r="H1142" s="5" t="s">
        <v>86</v>
      </c>
      <c r="I1142" s="5" t="s">
        <v>40</v>
      </c>
      <c r="J1142" s="5" t="s">
        <v>41</v>
      </c>
      <c r="K1142">
        <v>55</v>
      </c>
      <c r="L1142">
        <v>581348</v>
      </c>
      <c r="M1142" s="26">
        <v>31974140</v>
      </c>
      <c r="N1142">
        <v>25852</v>
      </c>
      <c r="O1142" s="26">
        <v>3606557.33</v>
      </c>
      <c r="P1142" s="5" t="s">
        <v>50</v>
      </c>
      <c r="Q1142" s="5" t="s">
        <v>51</v>
      </c>
      <c r="R1142">
        <v>3.8</v>
      </c>
      <c r="S1142">
        <v>21</v>
      </c>
      <c r="T1142">
        <f t="shared" si="17"/>
        <v>0</v>
      </c>
    </row>
    <row r="1143" spans="1:20">
      <c r="A1143" s="4">
        <v>44885</v>
      </c>
      <c r="B1143">
        <v>2022</v>
      </c>
      <c r="C1143">
        <v>11</v>
      </c>
      <c r="D1143" s="5" t="s">
        <v>54</v>
      </c>
      <c r="E1143" s="5" t="s">
        <v>70</v>
      </c>
      <c r="F1143" s="5" t="s">
        <v>71</v>
      </c>
      <c r="G1143" s="5" t="s">
        <v>72</v>
      </c>
      <c r="H1143" s="5" t="s">
        <v>79</v>
      </c>
      <c r="I1143" s="5" t="s">
        <v>58</v>
      </c>
      <c r="J1143" s="5" t="s">
        <v>49</v>
      </c>
      <c r="K1143">
        <v>10</v>
      </c>
      <c r="L1143">
        <v>910364</v>
      </c>
      <c r="M1143" s="26">
        <v>9103640</v>
      </c>
      <c r="N1143">
        <v>19158</v>
      </c>
      <c r="O1143" s="26">
        <v>1374027.29</v>
      </c>
      <c r="P1143" s="5" t="s">
        <v>50</v>
      </c>
      <c r="Q1143" s="5" t="s">
        <v>51</v>
      </c>
      <c r="R1143">
        <v>4.8</v>
      </c>
      <c r="S1143">
        <v>17</v>
      </c>
      <c r="T1143">
        <f t="shared" si="17"/>
        <v>0</v>
      </c>
    </row>
    <row r="1144" spans="1:20">
      <c r="A1144" s="4">
        <v>44878</v>
      </c>
      <c r="B1144">
        <v>2022</v>
      </c>
      <c r="C1144">
        <v>11</v>
      </c>
      <c r="D1144" s="5" t="s">
        <v>54</v>
      </c>
      <c r="E1144" s="5" t="s">
        <v>70</v>
      </c>
      <c r="F1144" s="5" t="s">
        <v>71</v>
      </c>
      <c r="G1144" s="5" t="s">
        <v>72</v>
      </c>
      <c r="H1144" s="5" t="s">
        <v>63</v>
      </c>
      <c r="I1144" s="5" t="s">
        <v>64</v>
      </c>
      <c r="J1144" s="5" t="s">
        <v>41</v>
      </c>
      <c r="K1144">
        <v>50</v>
      </c>
      <c r="L1144">
        <v>741466</v>
      </c>
      <c r="M1144" s="26">
        <v>37073300</v>
      </c>
      <c r="N1144">
        <v>25000</v>
      </c>
      <c r="O1144" s="26">
        <v>4401529.8899999997</v>
      </c>
      <c r="P1144" s="5" t="s">
        <v>50</v>
      </c>
      <c r="Q1144" s="5" t="s">
        <v>51</v>
      </c>
      <c r="R1144">
        <v>4.7</v>
      </c>
      <c r="S1144">
        <v>11</v>
      </c>
      <c r="T1144">
        <f t="shared" si="17"/>
        <v>0</v>
      </c>
    </row>
    <row r="1145" spans="1:20">
      <c r="A1145" s="4">
        <v>44879</v>
      </c>
      <c r="B1145">
        <v>2022</v>
      </c>
      <c r="C1145">
        <v>11</v>
      </c>
      <c r="D1145" s="5" t="s">
        <v>54</v>
      </c>
      <c r="E1145" s="5" t="s">
        <v>70</v>
      </c>
      <c r="F1145" s="5" t="s">
        <v>71</v>
      </c>
      <c r="G1145" s="5" t="s">
        <v>72</v>
      </c>
      <c r="H1145" s="5" t="s">
        <v>39</v>
      </c>
      <c r="I1145" s="5" t="s">
        <v>40</v>
      </c>
      <c r="J1145" s="5" t="s">
        <v>41</v>
      </c>
      <c r="K1145">
        <v>41</v>
      </c>
      <c r="L1145">
        <v>557956</v>
      </c>
      <c r="M1145" s="26">
        <v>22876196</v>
      </c>
      <c r="N1145">
        <v>27551</v>
      </c>
      <c r="O1145" s="26">
        <v>3252139.35</v>
      </c>
      <c r="P1145" s="5" t="s">
        <v>50</v>
      </c>
      <c r="Q1145" s="5" t="s">
        <v>75</v>
      </c>
      <c r="R1145">
        <v>3.5</v>
      </c>
      <c r="S1145">
        <v>5</v>
      </c>
      <c r="T1145">
        <f t="shared" si="17"/>
        <v>0</v>
      </c>
    </row>
    <row r="1146" spans="1:20">
      <c r="A1146" s="4">
        <v>44882</v>
      </c>
      <c r="B1146">
        <v>2022</v>
      </c>
      <c r="C1146">
        <v>11</v>
      </c>
      <c r="D1146" s="5" t="s">
        <v>54</v>
      </c>
      <c r="E1146" s="5" t="s">
        <v>70</v>
      </c>
      <c r="F1146" s="5" t="s">
        <v>71</v>
      </c>
      <c r="G1146" s="5" t="s">
        <v>72</v>
      </c>
      <c r="H1146" s="5" t="s">
        <v>39</v>
      </c>
      <c r="I1146" s="5" t="s">
        <v>40</v>
      </c>
      <c r="J1146" s="5" t="s">
        <v>41</v>
      </c>
      <c r="K1146">
        <v>36</v>
      </c>
      <c r="L1146">
        <v>589491</v>
      </c>
      <c r="M1146" s="26">
        <v>21221676</v>
      </c>
      <c r="N1146">
        <v>18807</v>
      </c>
      <c r="O1146" s="26">
        <v>1869645.8</v>
      </c>
      <c r="P1146" s="5" t="s">
        <v>50</v>
      </c>
      <c r="Q1146" s="5" t="s">
        <v>51</v>
      </c>
      <c r="R1146">
        <v>3.9</v>
      </c>
      <c r="S1146">
        <v>8</v>
      </c>
      <c r="T1146">
        <f t="shared" si="17"/>
        <v>0</v>
      </c>
    </row>
    <row r="1147" spans="1:20">
      <c r="A1147" s="4">
        <v>44891</v>
      </c>
      <c r="B1147">
        <v>2022</v>
      </c>
      <c r="C1147">
        <v>11</v>
      </c>
      <c r="D1147" s="5" t="s">
        <v>54</v>
      </c>
      <c r="E1147" s="5" t="s">
        <v>70</v>
      </c>
      <c r="F1147" s="5" t="s">
        <v>71</v>
      </c>
      <c r="G1147" s="5" t="s">
        <v>72</v>
      </c>
      <c r="H1147" s="5" t="s">
        <v>79</v>
      </c>
      <c r="I1147" s="5" t="s">
        <v>58</v>
      </c>
      <c r="J1147" s="5" t="s">
        <v>49</v>
      </c>
      <c r="K1147">
        <v>45</v>
      </c>
      <c r="L1147">
        <v>908948</v>
      </c>
      <c r="M1147" s="26">
        <v>40902660</v>
      </c>
      <c r="N1147">
        <v>17737</v>
      </c>
      <c r="O1147" s="26">
        <v>3818262.42</v>
      </c>
      <c r="P1147" s="5" t="s">
        <v>50</v>
      </c>
      <c r="Q1147" s="5" t="s">
        <v>75</v>
      </c>
      <c r="R1147">
        <v>4.2</v>
      </c>
      <c r="S1147">
        <v>5</v>
      </c>
      <c r="T1147">
        <f t="shared" si="17"/>
        <v>0</v>
      </c>
    </row>
    <row r="1148" spans="1:20">
      <c r="A1148" s="4">
        <v>44884</v>
      </c>
      <c r="B1148">
        <v>2022</v>
      </c>
      <c r="C1148">
        <v>11</v>
      </c>
      <c r="D1148" s="5" t="s">
        <v>35</v>
      </c>
      <c r="E1148" s="5" t="s">
        <v>36</v>
      </c>
      <c r="F1148" s="5" t="s">
        <v>37</v>
      </c>
      <c r="G1148" s="5" t="s">
        <v>38</v>
      </c>
      <c r="H1148" s="5" t="s">
        <v>74</v>
      </c>
      <c r="I1148" s="5" t="s">
        <v>40</v>
      </c>
      <c r="J1148" s="5" t="s">
        <v>49</v>
      </c>
      <c r="K1148">
        <v>47</v>
      </c>
      <c r="L1148">
        <v>658840</v>
      </c>
      <c r="M1148" s="26">
        <v>30965480</v>
      </c>
      <c r="N1148">
        <v>7626</v>
      </c>
      <c r="O1148" s="26">
        <v>2682535.4900000002</v>
      </c>
      <c r="P1148" s="5" t="s">
        <v>42</v>
      </c>
      <c r="Q1148" s="5" t="s">
        <v>43</v>
      </c>
      <c r="R1148">
        <v>3.8</v>
      </c>
      <c r="S1148">
        <v>3</v>
      </c>
      <c r="T1148">
        <f t="shared" si="17"/>
        <v>1</v>
      </c>
    </row>
    <row r="1149" spans="1:20">
      <c r="A1149" s="4">
        <v>44890</v>
      </c>
      <c r="B1149">
        <v>2022</v>
      </c>
      <c r="C1149">
        <v>11</v>
      </c>
      <c r="D1149" s="5" t="s">
        <v>54</v>
      </c>
      <c r="E1149" s="5" t="s">
        <v>70</v>
      </c>
      <c r="F1149" s="5" t="s">
        <v>71</v>
      </c>
      <c r="G1149" s="5" t="s">
        <v>72</v>
      </c>
      <c r="H1149" s="5" t="s">
        <v>48</v>
      </c>
      <c r="I1149" s="5" t="s">
        <v>40</v>
      </c>
      <c r="J1149" s="5" t="s">
        <v>49</v>
      </c>
      <c r="K1149">
        <v>56</v>
      </c>
      <c r="L1149">
        <v>469569</v>
      </c>
      <c r="M1149" s="26">
        <v>26295864</v>
      </c>
      <c r="N1149">
        <v>11058</v>
      </c>
      <c r="O1149" s="26">
        <v>2874229.72</v>
      </c>
      <c r="P1149" s="5" t="s">
        <v>42</v>
      </c>
      <c r="Q1149" s="5" t="s">
        <v>75</v>
      </c>
      <c r="R1149">
        <v>4.5999999999999996</v>
      </c>
      <c r="S1149">
        <v>18</v>
      </c>
      <c r="T1149">
        <f t="shared" si="17"/>
        <v>1</v>
      </c>
    </row>
    <row r="1150" spans="1:20">
      <c r="A1150" s="4">
        <v>44890</v>
      </c>
      <c r="B1150">
        <v>2022</v>
      </c>
      <c r="C1150">
        <v>11</v>
      </c>
      <c r="D1150" s="5" t="s">
        <v>44</v>
      </c>
      <c r="E1150" s="5" t="s">
        <v>82</v>
      </c>
      <c r="F1150" s="5" t="s">
        <v>83</v>
      </c>
      <c r="G1150" s="5" t="s">
        <v>84</v>
      </c>
      <c r="H1150" s="5" t="s">
        <v>57</v>
      </c>
      <c r="I1150" s="5" t="s">
        <v>58</v>
      </c>
      <c r="J1150" s="5" t="s">
        <v>59</v>
      </c>
      <c r="K1150">
        <v>42</v>
      </c>
      <c r="L1150">
        <v>1372090</v>
      </c>
      <c r="M1150" s="26">
        <v>57627780</v>
      </c>
      <c r="N1150">
        <v>41895</v>
      </c>
      <c r="O1150" s="26">
        <v>6500709.6299999999</v>
      </c>
      <c r="P1150" s="5" t="s">
        <v>42</v>
      </c>
      <c r="Q1150" s="5" t="s">
        <v>43</v>
      </c>
      <c r="R1150">
        <v>3.8</v>
      </c>
      <c r="S1150">
        <v>15</v>
      </c>
      <c r="T1150">
        <f t="shared" si="17"/>
        <v>1</v>
      </c>
    </row>
    <row r="1151" spans="1:20">
      <c r="A1151" s="4">
        <v>44883</v>
      </c>
      <c r="B1151">
        <v>2022</v>
      </c>
      <c r="C1151">
        <v>11</v>
      </c>
      <c r="D1151" s="5" t="s">
        <v>35</v>
      </c>
      <c r="E1151" s="5" t="s">
        <v>76</v>
      </c>
      <c r="F1151" s="5" t="s">
        <v>77</v>
      </c>
      <c r="G1151" s="5" t="s">
        <v>78</v>
      </c>
      <c r="H1151" s="5" t="s">
        <v>57</v>
      </c>
      <c r="I1151" s="5" t="s">
        <v>58</v>
      </c>
      <c r="J1151" s="5" t="s">
        <v>59</v>
      </c>
      <c r="K1151">
        <v>11</v>
      </c>
      <c r="L1151">
        <v>1384151</v>
      </c>
      <c r="M1151" s="26">
        <v>15225661</v>
      </c>
      <c r="N1151">
        <v>28627</v>
      </c>
      <c r="O1151" s="26">
        <v>1882244.67</v>
      </c>
      <c r="P1151" s="5" t="s">
        <v>50</v>
      </c>
      <c r="Q1151" s="5" t="s">
        <v>43</v>
      </c>
      <c r="R1151">
        <v>4.0999999999999996</v>
      </c>
      <c r="S1151">
        <v>5</v>
      </c>
      <c r="T1151">
        <f t="shared" si="17"/>
        <v>0</v>
      </c>
    </row>
    <row r="1152" spans="1:20">
      <c r="A1152" s="4">
        <v>44910</v>
      </c>
      <c r="B1152">
        <v>2022</v>
      </c>
      <c r="C1152">
        <v>12</v>
      </c>
      <c r="D1152" s="5" t="s">
        <v>35</v>
      </c>
      <c r="E1152" s="5" t="s">
        <v>76</v>
      </c>
      <c r="F1152" s="5" t="s">
        <v>77</v>
      </c>
      <c r="G1152" s="5" t="s">
        <v>78</v>
      </c>
      <c r="H1152" s="5" t="s">
        <v>65</v>
      </c>
      <c r="I1152" s="5" t="s">
        <v>53</v>
      </c>
      <c r="J1152" s="5" t="s">
        <v>49</v>
      </c>
      <c r="K1152">
        <v>30</v>
      </c>
      <c r="L1152">
        <v>1278102</v>
      </c>
      <c r="M1152" s="26">
        <v>38343060</v>
      </c>
      <c r="N1152">
        <v>33078</v>
      </c>
      <c r="O1152" s="26">
        <v>5608558.3499999996</v>
      </c>
      <c r="P1152" s="5" t="s">
        <v>42</v>
      </c>
      <c r="Q1152" s="5" t="s">
        <v>51</v>
      </c>
      <c r="R1152">
        <v>3.9</v>
      </c>
      <c r="S1152">
        <v>6</v>
      </c>
      <c r="T1152">
        <f t="shared" si="17"/>
        <v>1</v>
      </c>
    </row>
    <row r="1153" spans="1:20">
      <c r="A1153" s="4">
        <v>44916</v>
      </c>
      <c r="B1153">
        <v>2022</v>
      </c>
      <c r="C1153">
        <v>12</v>
      </c>
      <c r="D1153" s="5" t="s">
        <v>35</v>
      </c>
      <c r="E1153" s="5" t="s">
        <v>76</v>
      </c>
      <c r="F1153" s="5" t="s">
        <v>77</v>
      </c>
      <c r="G1153" s="5" t="s">
        <v>78</v>
      </c>
      <c r="H1153" s="5" t="s">
        <v>52</v>
      </c>
      <c r="I1153" s="5" t="s">
        <v>53</v>
      </c>
      <c r="J1153" s="5" t="s">
        <v>41</v>
      </c>
      <c r="K1153">
        <v>6</v>
      </c>
      <c r="L1153">
        <v>955529</v>
      </c>
      <c r="M1153" s="26">
        <v>5733174</v>
      </c>
      <c r="N1153">
        <v>9719</v>
      </c>
      <c r="O1153" s="26">
        <v>902235.46</v>
      </c>
      <c r="P1153" s="5" t="s">
        <v>50</v>
      </c>
      <c r="Q1153" s="5" t="s">
        <v>43</v>
      </c>
      <c r="R1153">
        <v>4.8</v>
      </c>
      <c r="S1153">
        <v>3</v>
      </c>
      <c r="T1153">
        <f t="shared" si="17"/>
        <v>0</v>
      </c>
    </row>
    <row r="1154" spans="1:20">
      <c r="A1154" s="4">
        <v>44923</v>
      </c>
      <c r="B1154">
        <v>2022</v>
      </c>
      <c r="C1154">
        <v>12</v>
      </c>
      <c r="D1154" s="5" t="s">
        <v>35</v>
      </c>
      <c r="E1154" s="5" t="s">
        <v>60</v>
      </c>
      <c r="F1154" s="5" t="s">
        <v>61</v>
      </c>
      <c r="G1154" s="5" t="s">
        <v>62</v>
      </c>
      <c r="H1154" s="5" t="s">
        <v>39</v>
      </c>
      <c r="I1154" s="5" t="s">
        <v>40</v>
      </c>
      <c r="J1154" s="5" t="s">
        <v>41</v>
      </c>
      <c r="K1154">
        <v>50</v>
      </c>
      <c r="L1154">
        <v>584206</v>
      </c>
      <c r="M1154" s="26">
        <v>29210300</v>
      </c>
      <c r="N1154">
        <v>12619</v>
      </c>
      <c r="O1154" s="26">
        <v>2372970.34</v>
      </c>
      <c r="P1154" s="5" t="s">
        <v>42</v>
      </c>
      <c r="Q1154" s="5" t="s">
        <v>51</v>
      </c>
      <c r="R1154">
        <v>3.9</v>
      </c>
      <c r="S1154">
        <v>21</v>
      </c>
      <c r="T1154">
        <f t="shared" ref="T1154:T1217" si="18">IF(AND(OR($B1154=Sel_Year,Sel_Year="All"),OR($C1154=Sel_Month,Sel_Month="All"),OR($D1154=Sel_Region,Sel_Region="All"),OR($E1154=Sel_State,Sel_State="All"),OR($F1154=Sel_City,Sel_City="All"),OR($G1154=Sel_Dealer,Sel_Dealer="All"),OR($H1154=Sel_Model,Sel_Model="All"),OR($I1154=Sel_Segment,Sel_Segment="All"),OR($J1154=Sel_Fuel,Sel_Fuel="All"),OR($P1154=Sel_CustType,Sel_CustType="All"),OR($Q1154=Sel_Payment,Sel_Payment="All")),1,0)</f>
        <v>1</v>
      </c>
    </row>
    <row r="1155" spans="1:20">
      <c r="A1155" s="4">
        <v>44921</v>
      </c>
      <c r="B1155">
        <v>2022</v>
      </c>
      <c r="C1155">
        <v>12</v>
      </c>
      <c r="D1155" s="5" t="s">
        <v>44</v>
      </c>
      <c r="E1155" s="5" t="s">
        <v>82</v>
      </c>
      <c r="F1155" s="5" t="s">
        <v>83</v>
      </c>
      <c r="G1155" s="5" t="s">
        <v>84</v>
      </c>
      <c r="H1155" s="5" t="s">
        <v>79</v>
      </c>
      <c r="I1155" s="5" t="s">
        <v>58</v>
      </c>
      <c r="J1155" s="5" t="s">
        <v>49</v>
      </c>
      <c r="K1155">
        <v>27</v>
      </c>
      <c r="L1155">
        <v>886994</v>
      </c>
      <c r="M1155" s="26">
        <v>23948838</v>
      </c>
      <c r="N1155">
        <v>40731</v>
      </c>
      <c r="O1155" s="26">
        <v>3405961.81</v>
      </c>
      <c r="P1155" s="5" t="s">
        <v>50</v>
      </c>
      <c r="Q1155" s="5" t="s">
        <v>51</v>
      </c>
      <c r="R1155">
        <v>4.5</v>
      </c>
      <c r="S1155">
        <v>19</v>
      </c>
      <c r="T1155">
        <f t="shared" si="18"/>
        <v>0</v>
      </c>
    </row>
    <row r="1156" spans="1:20">
      <c r="A1156" s="4">
        <v>44913</v>
      </c>
      <c r="B1156">
        <v>2022</v>
      </c>
      <c r="C1156">
        <v>12</v>
      </c>
      <c r="D1156" s="5" t="s">
        <v>54</v>
      </c>
      <c r="E1156" s="5" t="s">
        <v>55</v>
      </c>
      <c r="F1156" s="5" t="s">
        <v>55</v>
      </c>
      <c r="G1156" s="5" t="s">
        <v>56</v>
      </c>
      <c r="H1156" s="5" t="s">
        <v>65</v>
      </c>
      <c r="I1156" s="5" t="s">
        <v>53</v>
      </c>
      <c r="J1156" s="5" t="s">
        <v>49</v>
      </c>
      <c r="K1156">
        <v>39</v>
      </c>
      <c r="L1156">
        <v>1262325</v>
      </c>
      <c r="M1156" s="26">
        <v>49230675</v>
      </c>
      <c r="N1156">
        <v>13107</v>
      </c>
      <c r="O1156" s="26">
        <v>6551067.0499999998</v>
      </c>
      <c r="P1156" s="5" t="s">
        <v>50</v>
      </c>
      <c r="Q1156" s="5" t="s">
        <v>75</v>
      </c>
      <c r="R1156">
        <v>4.9000000000000004</v>
      </c>
      <c r="S1156">
        <v>7</v>
      </c>
      <c r="T1156">
        <f t="shared" si="18"/>
        <v>0</v>
      </c>
    </row>
    <row r="1157" spans="1:20">
      <c r="A1157" s="4">
        <v>44902</v>
      </c>
      <c r="B1157">
        <v>2022</v>
      </c>
      <c r="C1157">
        <v>12</v>
      </c>
      <c r="D1157" s="5" t="s">
        <v>44</v>
      </c>
      <c r="E1157" s="5" t="s">
        <v>82</v>
      </c>
      <c r="F1157" s="5" t="s">
        <v>83</v>
      </c>
      <c r="G1157" s="5" t="s">
        <v>84</v>
      </c>
      <c r="H1157" s="5" t="s">
        <v>79</v>
      </c>
      <c r="I1157" s="5" t="s">
        <v>58</v>
      </c>
      <c r="J1157" s="5" t="s">
        <v>49</v>
      </c>
      <c r="K1157">
        <v>57</v>
      </c>
      <c r="L1157">
        <v>922703</v>
      </c>
      <c r="M1157" s="26">
        <v>52594071</v>
      </c>
      <c r="N1157">
        <v>9065</v>
      </c>
      <c r="O1157" s="26">
        <v>4560613.16</v>
      </c>
      <c r="P1157" s="5" t="s">
        <v>50</v>
      </c>
      <c r="Q1157" s="5" t="s">
        <v>43</v>
      </c>
      <c r="R1157">
        <v>3.5</v>
      </c>
      <c r="S1157">
        <v>8</v>
      </c>
      <c r="T1157">
        <f t="shared" si="18"/>
        <v>0</v>
      </c>
    </row>
    <row r="1158" spans="1:20">
      <c r="A1158" s="4">
        <v>44920</v>
      </c>
      <c r="B1158">
        <v>2022</v>
      </c>
      <c r="C1158">
        <v>12</v>
      </c>
      <c r="D1158" s="5" t="s">
        <v>35</v>
      </c>
      <c r="E1158" s="5" t="s">
        <v>76</v>
      </c>
      <c r="F1158" s="5" t="s">
        <v>77</v>
      </c>
      <c r="G1158" s="5" t="s">
        <v>78</v>
      </c>
      <c r="H1158" s="5" t="s">
        <v>85</v>
      </c>
      <c r="I1158" s="5" t="s">
        <v>58</v>
      </c>
      <c r="J1158" s="5" t="s">
        <v>49</v>
      </c>
      <c r="K1158">
        <v>15</v>
      </c>
      <c r="L1158">
        <v>997869</v>
      </c>
      <c r="M1158" s="26">
        <v>14968035</v>
      </c>
      <c r="N1158">
        <v>5190</v>
      </c>
      <c r="O1158" s="26">
        <v>1632102.11</v>
      </c>
      <c r="P1158" s="5" t="s">
        <v>50</v>
      </c>
      <c r="Q1158" s="5" t="s">
        <v>75</v>
      </c>
      <c r="R1158">
        <v>3.6</v>
      </c>
      <c r="S1158">
        <v>21</v>
      </c>
      <c r="T1158">
        <f t="shared" si="18"/>
        <v>0</v>
      </c>
    </row>
    <row r="1159" spans="1:20">
      <c r="A1159" s="4">
        <v>44923</v>
      </c>
      <c r="B1159">
        <v>2022</v>
      </c>
      <c r="C1159">
        <v>12</v>
      </c>
      <c r="D1159" s="5" t="s">
        <v>35</v>
      </c>
      <c r="E1159" s="5" t="s">
        <v>36</v>
      </c>
      <c r="F1159" s="5" t="s">
        <v>37</v>
      </c>
      <c r="G1159" s="5" t="s">
        <v>38</v>
      </c>
      <c r="H1159" s="5" t="s">
        <v>86</v>
      </c>
      <c r="I1159" s="5" t="s">
        <v>40</v>
      </c>
      <c r="J1159" s="5" t="s">
        <v>41</v>
      </c>
      <c r="K1159">
        <v>55</v>
      </c>
      <c r="L1159">
        <v>623967</v>
      </c>
      <c r="M1159" s="26">
        <v>34318185</v>
      </c>
      <c r="N1159">
        <v>12475</v>
      </c>
      <c r="O1159" s="26">
        <v>3397855.34</v>
      </c>
      <c r="P1159" s="5" t="s">
        <v>42</v>
      </c>
      <c r="Q1159" s="5" t="s">
        <v>75</v>
      </c>
      <c r="R1159">
        <v>3.8</v>
      </c>
      <c r="S1159">
        <v>13</v>
      </c>
      <c r="T1159">
        <f t="shared" si="18"/>
        <v>1</v>
      </c>
    </row>
    <row r="1160" spans="1:20">
      <c r="A1160" s="4">
        <v>44902</v>
      </c>
      <c r="B1160">
        <v>2022</v>
      </c>
      <c r="C1160">
        <v>12</v>
      </c>
      <c r="D1160" s="5" t="s">
        <v>54</v>
      </c>
      <c r="E1160" s="5" t="s">
        <v>55</v>
      </c>
      <c r="F1160" s="5" t="s">
        <v>55</v>
      </c>
      <c r="G1160" s="5" t="s">
        <v>56</v>
      </c>
      <c r="H1160" s="5" t="s">
        <v>73</v>
      </c>
      <c r="I1160" s="5" t="s">
        <v>40</v>
      </c>
      <c r="J1160" s="5" t="s">
        <v>49</v>
      </c>
      <c r="K1160">
        <v>48</v>
      </c>
      <c r="L1160">
        <v>714533</v>
      </c>
      <c r="M1160" s="26">
        <v>34297584</v>
      </c>
      <c r="N1160">
        <v>23675</v>
      </c>
      <c r="O1160" s="26">
        <v>3580694.45</v>
      </c>
      <c r="P1160" s="5" t="s">
        <v>42</v>
      </c>
      <c r="Q1160" s="5" t="s">
        <v>75</v>
      </c>
      <c r="R1160">
        <v>3.6</v>
      </c>
      <c r="S1160">
        <v>3</v>
      </c>
      <c r="T1160">
        <f t="shared" si="18"/>
        <v>1</v>
      </c>
    </row>
    <row r="1161" spans="1:20">
      <c r="A1161" s="4">
        <v>44897</v>
      </c>
      <c r="B1161">
        <v>2022</v>
      </c>
      <c r="C1161">
        <v>12</v>
      </c>
      <c r="D1161" s="5" t="s">
        <v>44</v>
      </c>
      <c r="E1161" s="5" t="s">
        <v>45</v>
      </c>
      <c r="F1161" s="5" t="s">
        <v>46</v>
      </c>
      <c r="G1161" s="5" t="s">
        <v>47</v>
      </c>
      <c r="H1161" s="5" t="s">
        <v>48</v>
      </c>
      <c r="I1161" s="5" t="s">
        <v>40</v>
      </c>
      <c r="J1161" s="5" t="s">
        <v>49</v>
      </c>
      <c r="K1161">
        <v>18</v>
      </c>
      <c r="L1161">
        <v>427518</v>
      </c>
      <c r="M1161" s="26">
        <v>7695324</v>
      </c>
      <c r="N1161">
        <v>46209</v>
      </c>
      <c r="O1161" s="26">
        <v>685727.72</v>
      </c>
      <c r="P1161" s="5" t="s">
        <v>42</v>
      </c>
      <c r="Q1161" s="5" t="s">
        <v>43</v>
      </c>
      <c r="R1161">
        <v>3.7</v>
      </c>
      <c r="S1161">
        <v>2</v>
      </c>
      <c r="T1161">
        <f t="shared" si="18"/>
        <v>1</v>
      </c>
    </row>
    <row r="1162" spans="1:20">
      <c r="A1162" s="4">
        <v>44901</v>
      </c>
      <c r="B1162">
        <v>2022</v>
      </c>
      <c r="C1162">
        <v>12</v>
      </c>
      <c r="D1162" s="5" t="s">
        <v>54</v>
      </c>
      <c r="E1162" s="5" t="s">
        <v>55</v>
      </c>
      <c r="F1162" s="5" t="s">
        <v>55</v>
      </c>
      <c r="G1162" s="5" t="s">
        <v>56</v>
      </c>
      <c r="H1162" s="5" t="s">
        <v>39</v>
      </c>
      <c r="I1162" s="5" t="s">
        <v>40</v>
      </c>
      <c r="J1162" s="5" t="s">
        <v>41</v>
      </c>
      <c r="K1162">
        <v>21</v>
      </c>
      <c r="L1162">
        <v>556628</v>
      </c>
      <c r="M1162" s="26">
        <v>11689188</v>
      </c>
      <c r="N1162">
        <v>49260</v>
      </c>
      <c r="O1162" s="26">
        <v>1170324.0900000001</v>
      </c>
      <c r="P1162" s="5" t="s">
        <v>42</v>
      </c>
      <c r="Q1162" s="5" t="s">
        <v>75</v>
      </c>
      <c r="R1162">
        <v>3.7</v>
      </c>
      <c r="S1162">
        <v>12</v>
      </c>
      <c r="T1162">
        <f t="shared" si="18"/>
        <v>1</v>
      </c>
    </row>
    <row r="1163" spans="1:20">
      <c r="A1163" s="4">
        <v>44904</v>
      </c>
      <c r="B1163">
        <v>2022</v>
      </c>
      <c r="C1163">
        <v>12</v>
      </c>
      <c r="D1163" s="5" t="s">
        <v>54</v>
      </c>
      <c r="E1163" s="5" t="s">
        <v>70</v>
      </c>
      <c r="F1163" s="5" t="s">
        <v>71</v>
      </c>
      <c r="G1163" s="5" t="s">
        <v>72</v>
      </c>
      <c r="H1163" s="5" t="s">
        <v>86</v>
      </c>
      <c r="I1163" s="5" t="s">
        <v>40</v>
      </c>
      <c r="J1163" s="5" t="s">
        <v>41</v>
      </c>
      <c r="K1163">
        <v>37</v>
      </c>
      <c r="L1163">
        <v>606269</v>
      </c>
      <c r="M1163" s="26">
        <v>22431953</v>
      </c>
      <c r="N1163">
        <v>32025</v>
      </c>
      <c r="O1163" s="26">
        <v>1958794.34</v>
      </c>
      <c r="P1163" s="5" t="s">
        <v>50</v>
      </c>
      <c r="Q1163" s="5" t="s">
        <v>43</v>
      </c>
      <c r="R1163">
        <v>3.6</v>
      </c>
      <c r="S1163">
        <v>3</v>
      </c>
      <c r="T1163">
        <f t="shared" si="18"/>
        <v>0</v>
      </c>
    </row>
    <row r="1164" spans="1:20">
      <c r="A1164" s="4">
        <v>44909</v>
      </c>
      <c r="B1164">
        <v>2022</v>
      </c>
      <c r="C1164">
        <v>12</v>
      </c>
      <c r="D1164" s="5" t="s">
        <v>54</v>
      </c>
      <c r="E1164" s="5" t="s">
        <v>55</v>
      </c>
      <c r="F1164" s="5" t="s">
        <v>55</v>
      </c>
      <c r="G1164" s="5" t="s">
        <v>56</v>
      </c>
      <c r="H1164" s="5" t="s">
        <v>73</v>
      </c>
      <c r="I1164" s="5" t="s">
        <v>40</v>
      </c>
      <c r="J1164" s="5" t="s">
        <v>49</v>
      </c>
      <c r="K1164">
        <v>45</v>
      </c>
      <c r="L1164">
        <v>692516</v>
      </c>
      <c r="M1164" s="26">
        <v>31163220</v>
      </c>
      <c r="N1164">
        <v>14278</v>
      </c>
      <c r="O1164" s="26">
        <v>4536598.5</v>
      </c>
      <c r="P1164" s="5" t="s">
        <v>42</v>
      </c>
      <c r="Q1164" s="5" t="s">
        <v>51</v>
      </c>
      <c r="R1164">
        <v>4.3</v>
      </c>
      <c r="S1164">
        <v>9</v>
      </c>
      <c r="T1164">
        <f t="shared" si="18"/>
        <v>1</v>
      </c>
    </row>
    <row r="1165" spans="1:20">
      <c r="A1165" s="4">
        <v>44912</v>
      </c>
      <c r="B1165">
        <v>2022</v>
      </c>
      <c r="C1165">
        <v>12</v>
      </c>
      <c r="D1165" s="5" t="s">
        <v>44</v>
      </c>
      <c r="E1165" s="5" t="s">
        <v>82</v>
      </c>
      <c r="F1165" s="5" t="s">
        <v>83</v>
      </c>
      <c r="G1165" s="5" t="s">
        <v>84</v>
      </c>
      <c r="H1165" s="5" t="s">
        <v>80</v>
      </c>
      <c r="I1165" s="5" t="s">
        <v>81</v>
      </c>
      <c r="J1165" s="5" t="s">
        <v>41</v>
      </c>
      <c r="K1165">
        <v>10</v>
      </c>
      <c r="L1165">
        <v>554441</v>
      </c>
      <c r="M1165" s="26">
        <v>5544410</v>
      </c>
      <c r="N1165">
        <v>9653</v>
      </c>
      <c r="O1165" s="26">
        <v>717721.64</v>
      </c>
      <c r="P1165" s="5" t="s">
        <v>42</v>
      </c>
      <c r="Q1165" s="5" t="s">
        <v>43</v>
      </c>
      <c r="R1165">
        <v>4.7</v>
      </c>
      <c r="S1165">
        <v>21</v>
      </c>
      <c r="T1165">
        <f t="shared" si="18"/>
        <v>1</v>
      </c>
    </row>
    <row r="1166" spans="1:20">
      <c r="A1166" s="4">
        <v>44919</v>
      </c>
      <c r="B1166">
        <v>2022</v>
      </c>
      <c r="C1166">
        <v>12</v>
      </c>
      <c r="D1166" s="5" t="s">
        <v>44</v>
      </c>
      <c r="E1166" s="5" t="s">
        <v>82</v>
      </c>
      <c r="F1166" s="5" t="s">
        <v>83</v>
      </c>
      <c r="G1166" s="5" t="s">
        <v>84</v>
      </c>
      <c r="H1166" s="5" t="s">
        <v>79</v>
      </c>
      <c r="I1166" s="5" t="s">
        <v>58</v>
      </c>
      <c r="J1166" s="5" t="s">
        <v>49</v>
      </c>
      <c r="K1166">
        <v>32</v>
      </c>
      <c r="L1166">
        <v>886227</v>
      </c>
      <c r="M1166" s="26">
        <v>28359264</v>
      </c>
      <c r="N1166">
        <v>6945</v>
      </c>
      <c r="O1166" s="26">
        <v>3100071.74</v>
      </c>
      <c r="P1166" s="5" t="s">
        <v>50</v>
      </c>
      <c r="Q1166" s="5" t="s">
        <v>51</v>
      </c>
      <c r="R1166">
        <v>4.5</v>
      </c>
      <c r="S1166">
        <v>6</v>
      </c>
      <c r="T1166">
        <f t="shared" si="18"/>
        <v>0</v>
      </c>
    </row>
    <row r="1167" spans="1:20">
      <c r="A1167" s="4">
        <v>44909</v>
      </c>
      <c r="B1167">
        <v>2022</v>
      </c>
      <c r="C1167">
        <v>12</v>
      </c>
      <c r="D1167" s="5" t="s">
        <v>35</v>
      </c>
      <c r="E1167" s="5" t="s">
        <v>36</v>
      </c>
      <c r="F1167" s="5" t="s">
        <v>37</v>
      </c>
      <c r="G1167" s="5" t="s">
        <v>38</v>
      </c>
      <c r="H1167" s="5" t="s">
        <v>48</v>
      </c>
      <c r="I1167" s="5" t="s">
        <v>40</v>
      </c>
      <c r="J1167" s="5" t="s">
        <v>49</v>
      </c>
      <c r="K1167">
        <v>15</v>
      </c>
      <c r="L1167">
        <v>460827</v>
      </c>
      <c r="M1167" s="26">
        <v>6912405</v>
      </c>
      <c r="N1167">
        <v>5468</v>
      </c>
      <c r="O1167" s="26">
        <v>887771.21</v>
      </c>
      <c r="P1167" s="5" t="s">
        <v>42</v>
      </c>
      <c r="Q1167" s="5" t="s">
        <v>43</v>
      </c>
      <c r="R1167">
        <v>4.3</v>
      </c>
      <c r="S1167">
        <v>17</v>
      </c>
      <c r="T1167">
        <f t="shared" si="18"/>
        <v>1</v>
      </c>
    </row>
    <row r="1168" spans="1:20">
      <c r="A1168" s="4">
        <v>44900</v>
      </c>
      <c r="B1168">
        <v>2022</v>
      </c>
      <c r="C1168">
        <v>12</v>
      </c>
      <c r="D1168" s="5" t="s">
        <v>44</v>
      </c>
      <c r="E1168" s="5" t="s">
        <v>82</v>
      </c>
      <c r="F1168" s="5" t="s">
        <v>83</v>
      </c>
      <c r="G1168" s="5" t="s">
        <v>84</v>
      </c>
      <c r="H1168" s="5" t="s">
        <v>74</v>
      </c>
      <c r="I1168" s="5" t="s">
        <v>40</v>
      </c>
      <c r="J1168" s="5" t="s">
        <v>49</v>
      </c>
      <c r="K1168">
        <v>51</v>
      </c>
      <c r="L1168">
        <v>620847</v>
      </c>
      <c r="M1168" s="26">
        <v>31663197</v>
      </c>
      <c r="N1168">
        <v>5116</v>
      </c>
      <c r="O1168" s="26">
        <v>2747279.94</v>
      </c>
      <c r="P1168" s="5" t="s">
        <v>50</v>
      </c>
      <c r="Q1168" s="5" t="s">
        <v>51</v>
      </c>
      <c r="R1168">
        <v>4.2</v>
      </c>
      <c r="S1168">
        <v>8</v>
      </c>
      <c r="T1168">
        <f t="shared" si="18"/>
        <v>0</v>
      </c>
    </row>
    <row r="1169" spans="1:20">
      <c r="A1169" s="4">
        <v>44919</v>
      </c>
      <c r="B1169">
        <v>2022</v>
      </c>
      <c r="C1169">
        <v>12</v>
      </c>
      <c r="D1169" s="5" t="s">
        <v>44</v>
      </c>
      <c r="E1169" s="5" t="s">
        <v>45</v>
      </c>
      <c r="F1169" s="5" t="s">
        <v>46</v>
      </c>
      <c r="G1169" s="5" t="s">
        <v>47</v>
      </c>
      <c r="H1169" s="5" t="s">
        <v>73</v>
      </c>
      <c r="I1169" s="5" t="s">
        <v>40</v>
      </c>
      <c r="J1169" s="5" t="s">
        <v>49</v>
      </c>
      <c r="K1169">
        <v>59</v>
      </c>
      <c r="L1169">
        <v>707959</v>
      </c>
      <c r="M1169" s="26">
        <v>41769581</v>
      </c>
      <c r="N1169">
        <v>11590</v>
      </c>
      <c r="O1169" s="26">
        <v>3982025.88</v>
      </c>
      <c r="P1169" s="5" t="s">
        <v>50</v>
      </c>
      <c r="Q1169" s="5" t="s">
        <v>43</v>
      </c>
      <c r="R1169">
        <v>3.7</v>
      </c>
      <c r="S1169">
        <v>6</v>
      </c>
      <c r="T1169">
        <f t="shared" si="18"/>
        <v>0</v>
      </c>
    </row>
    <row r="1170" spans="1:20">
      <c r="A1170" s="4">
        <v>44903</v>
      </c>
      <c r="B1170">
        <v>2022</v>
      </c>
      <c r="C1170">
        <v>12</v>
      </c>
      <c r="D1170" s="5" t="s">
        <v>35</v>
      </c>
      <c r="E1170" s="5" t="s">
        <v>36</v>
      </c>
      <c r="F1170" s="5" t="s">
        <v>37</v>
      </c>
      <c r="G1170" s="5" t="s">
        <v>38</v>
      </c>
      <c r="H1170" s="5" t="s">
        <v>65</v>
      </c>
      <c r="I1170" s="5" t="s">
        <v>53</v>
      </c>
      <c r="J1170" s="5" t="s">
        <v>49</v>
      </c>
      <c r="K1170">
        <v>11</v>
      </c>
      <c r="L1170">
        <v>1258408</v>
      </c>
      <c r="M1170" s="26">
        <v>13842488</v>
      </c>
      <c r="N1170">
        <v>30979</v>
      </c>
      <c r="O1170" s="26">
        <v>1636466.47</v>
      </c>
      <c r="P1170" s="5" t="s">
        <v>50</v>
      </c>
      <c r="Q1170" s="5" t="s">
        <v>43</v>
      </c>
      <c r="R1170">
        <v>3.8</v>
      </c>
      <c r="S1170">
        <v>19</v>
      </c>
      <c r="T1170">
        <f t="shared" si="18"/>
        <v>0</v>
      </c>
    </row>
    <row r="1171" spans="1:20">
      <c r="A1171" s="4">
        <v>44907</v>
      </c>
      <c r="B1171">
        <v>2022</v>
      </c>
      <c r="C1171">
        <v>12</v>
      </c>
      <c r="D1171" s="5" t="s">
        <v>35</v>
      </c>
      <c r="E1171" s="5" t="s">
        <v>60</v>
      </c>
      <c r="F1171" s="5" t="s">
        <v>61</v>
      </c>
      <c r="G1171" s="5" t="s">
        <v>62</v>
      </c>
      <c r="H1171" s="5" t="s">
        <v>39</v>
      </c>
      <c r="I1171" s="5" t="s">
        <v>40</v>
      </c>
      <c r="J1171" s="5" t="s">
        <v>41</v>
      </c>
      <c r="K1171">
        <v>18</v>
      </c>
      <c r="L1171">
        <v>597588</v>
      </c>
      <c r="M1171" s="26">
        <v>10756584</v>
      </c>
      <c r="N1171">
        <v>24674</v>
      </c>
      <c r="O1171" s="26">
        <v>1039811.78</v>
      </c>
      <c r="P1171" s="5" t="s">
        <v>42</v>
      </c>
      <c r="Q1171" s="5" t="s">
        <v>51</v>
      </c>
      <c r="R1171">
        <v>3.5</v>
      </c>
      <c r="S1171">
        <v>21</v>
      </c>
      <c r="T1171">
        <f t="shared" si="18"/>
        <v>1</v>
      </c>
    </row>
    <row r="1172" spans="1:20">
      <c r="A1172" s="4">
        <v>44914</v>
      </c>
      <c r="B1172">
        <v>2022</v>
      </c>
      <c r="C1172">
        <v>12</v>
      </c>
      <c r="D1172" s="5" t="s">
        <v>35</v>
      </c>
      <c r="E1172" s="5" t="s">
        <v>60</v>
      </c>
      <c r="F1172" s="5" t="s">
        <v>61</v>
      </c>
      <c r="G1172" s="5" t="s">
        <v>62</v>
      </c>
      <c r="H1172" s="5" t="s">
        <v>57</v>
      </c>
      <c r="I1172" s="5" t="s">
        <v>58</v>
      </c>
      <c r="J1172" s="5" t="s">
        <v>59</v>
      </c>
      <c r="K1172">
        <v>52</v>
      </c>
      <c r="L1172">
        <v>1381254</v>
      </c>
      <c r="M1172" s="26">
        <v>71825208</v>
      </c>
      <c r="N1172">
        <v>46264</v>
      </c>
      <c r="O1172" s="26">
        <v>10135441.26</v>
      </c>
      <c r="P1172" s="5" t="s">
        <v>42</v>
      </c>
      <c r="Q1172" s="5" t="s">
        <v>51</v>
      </c>
      <c r="R1172">
        <v>3.7</v>
      </c>
      <c r="S1172">
        <v>10</v>
      </c>
      <c r="T1172">
        <f t="shared" si="18"/>
        <v>1</v>
      </c>
    </row>
    <row r="1173" spans="1:20">
      <c r="A1173" s="4">
        <v>44905</v>
      </c>
      <c r="B1173">
        <v>2022</v>
      </c>
      <c r="C1173">
        <v>12</v>
      </c>
      <c r="D1173" s="5" t="s">
        <v>35</v>
      </c>
      <c r="E1173" s="5" t="s">
        <v>60</v>
      </c>
      <c r="F1173" s="5" t="s">
        <v>61</v>
      </c>
      <c r="G1173" s="5" t="s">
        <v>62</v>
      </c>
      <c r="H1173" s="5" t="s">
        <v>79</v>
      </c>
      <c r="I1173" s="5" t="s">
        <v>58</v>
      </c>
      <c r="J1173" s="5" t="s">
        <v>49</v>
      </c>
      <c r="K1173">
        <v>15</v>
      </c>
      <c r="L1173">
        <v>908692</v>
      </c>
      <c r="M1173" s="26">
        <v>13630380</v>
      </c>
      <c r="N1173">
        <v>45862</v>
      </c>
      <c r="O1173" s="26">
        <v>1122250.96</v>
      </c>
      <c r="P1173" s="5" t="s">
        <v>42</v>
      </c>
      <c r="Q1173" s="5" t="s">
        <v>43</v>
      </c>
      <c r="R1173">
        <v>4.4000000000000004</v>
      </c>
      <c r="S1173">
        <v>15</v>
      </c>
      <c r="T1173">
        <f t="shared" si="18"/>
        <v>1</v>
      </c>
    </row>
    <row r="1174" spans="1:20">
      <c r="A1174" s="4">
        <v>44902</v>
      </c>
      <c r="B1174">
        <v>2022</v>
      </c>
      <c r="C1174">
        <v>12</v>
      </c>
      <c r="D1174" s="5" t="s">
        <v>66</v>
      </c>
      <c r="E1174" s="5" t="s">
        <v>67</v>
      </c>
      <c r="F1174" s="5" t="s">
        <v>68</v>
      </c>
      <c r="G1174" s="5" t="s">
        <v>69</v>
      </c>
      <c r="H1174" s="5" t="s">
        <v>86</v>
      </c>
      <c r="I1174" s="5" t="s">
        <v>40</v>
      </c>
      <c r="J1174" s="5" t="s">
        <v>41</v>
      </c>
      <c r="K1174">
        <v>52</v>
      </c>
      <c r="L1174">
        <v>605162</v>
      </c>
      <c r="M1174" s="26">
        <v>31468424</v>
      </c>
      <c r="N1174">
        <v>45080</v>
      </c>
      <c r="O1174" s="26">
        <v>4671267.45</v>
      </c>
      <c r="P1174" s="5" t="s">
        <v>50</v>
      </c>
      <c r="Q1174" s="5" t="s">
        <v>75</v>
      </c>
      <c r="R1174">
        <v>4.5</v>
      </c>
      <c r="S1174">
        <v>18</v>
      </c>
      <c r="T1174">
        <f t="shared" si="18"/>
        <v>0</v>
      </c>
    </row>
    <row r="1175" spans="1:20">
      <c r="A1175" s="4">
        <v>44905</v>
      </c>
      <c r="B1175">
        <v>2022</v>
      </c>
      <c r="C1175">
        <v>12</v>
      </c>
      <c r="D1175" s="5" t="s">
        <v>54</v>
      </c>
      <c r="E1175" s="5" t="s">
        <v>70</v>
      </c>
      <c r="F1175" s="5" t="s">
        <v>71</v>
      </c>
      <c r="G1175" s="5" t="s">
        <v>72</v>
      </c>
      <c r="H1175" s="5" t="s">
        <v>85</v>
      </c>
      <c r="I1175" s="5" t="s">
        <v>58</v>
      </c>
      <c r="J1175" s="5" t="s">
        <v>49</v>
      </c>
      <c r="K1175">
        <v>51</v>
      </c>
      <c r="L1175">
        <v>996640</v>
      </c>
      <c r="M1175" s="26">
        <v>50828640</v>
      </c>
      <c r="N1175">
        <v>30434</v>
      </c>
      <c r="O1175" s="26">
        <v>7145463.0199999996</v>
      </c>
      <c r="P1175" s="5" t="s">
        <v>50</v>
      </c>
      <c r="Q1175" s="5" t="s">
        <v>75</v>
      </c>
      <c r="R1175">
        <v>4.0999999999999996</v>
      </c>
      <c r="S1175">
        <v>8</v>
      </c>
      <c r="T1175">
        <f t="shared" si="18"/>
        <v>0</v>
      </c>
    </row>
    <row r="1176" spans="1:20">
      <c r="A1176" s="4">
        <v>44903</v>
      </c>
      <c r="B1176">
        <v>2022</v>
      </c>
      <c r="C1176">
        <v>12</v>
      </c>
      <c r="D1176" s="5" t="s">
        <v>66</v>
      </c>
      <c r="E1176" s="5" t="s">
        <v>67</v>
      </c>
      <c r="F1176" s="5" t="s">
        <v>68</v>
      </c>
      <c r="G1176" s="5" t="s">
        <v>69</v>
      </c>
      <c r="H1176" s="5" t="s">
        <v>57</v>
      </c>
      <c r="I1176" s="5" t="s">
        <v>58</v>
      </c>
      <c r="J1176" s="5" t="s">
        <v>59</v>
      </c>
      <c r="K1176">
        <v>34</v>
      </c>
      <c r="L1176">
        <v>1395773</v>
      </c>
      <c r="M1176" s="26">
        <v>47456282</v>
      </c>
      <c r="N1176">
        <v>21475</v>
      </c>
      <c r="O1176" s="26">
        <v>7320908.4400000004</v>
      </c>
      <c r="P1176" s="5" t="s">
        <v>42</v>
      </c>
      <c r="Q1176" s="5" t="s">
        <v>75</v>
      </c>
      <c r="R1176">
        <v>4.3</v>
      </c>
      <c r="S1176">
        <v>16</v>
      </c>
      <c r="T1176">
        <f t="shared" si="18"/>
        <v>1</v>
      </c>
    </row>
    <row r="1177" spans="1:20">
      <c r="A1177" s="4">
        <v>44907</v>
      </c>
      <c r="B1177">
        <v>2022</v>
      </c>
      <c r="C1177">
        <v>12</v>
      </c>
      <c r="D1177" s="5" t="s">
        <v>44</v>
      </c>
      <c r="E1177" s="5" t="s">
        <v>82</v>
      </c>
      <c r="F1177" s="5" t="s">
        <v>83</v>
      </c>
      <c r="G1177" s="5" t="s">
        <v>84</v>
      </c>
      <c r="H1177" s="5" t="s">
        <v>63</v>
      </c>
      <c r="I1177" s="5" t="s">
        <v>64</v>
      </c>
      <c r="J1177" s="5" t="s">
        <v>41</v>
      </c>
      <c r="K1177">
        <v>60</v>
      </c>
      <c r="L1177">
        <v>758631</v>
      </c>
      <c r="M1177" s="26">
        <v>45517860</v>
      </c>
      <c r="N1177">
        <v>39796</v>
      </c>
      <c r="O1177" s="26">
        <v>5325019.4400000004</v>
      </c>
      <c r="P1177" s="5" t="s">
        <v>42</v>
      </c>
      <c r="Q1177" s="5" t="s">
        <v>75</v>
      </c>
      <c r="R1177">
        <v>4</v>
      </c>
      <c r="S1177">
        <v>2</v>
      </c>
      <c r="T1177">
        <f t="shared" si="18"/>
        <v>1</v>
      </c>
    </row>
    <row r="1178" spans="1:20">
      <c r="A1178" s="4">
        <v>44920</v>
      </c>
      <c r="B1178">
        <v>2022</v>
      </c>
      <c r="C1178">
        <v>12</v>
      </c>
      <c r="D1178" s="5" t="s">
        <v>44</v>
      </c>
      <c r="E1178" s="5" t="s">
        <v>82</v>
      </c>
      <c r="F1178" s="5" t="s">
        <v>83</v>
      </c>
      <c r="G1178" s="5" t="s">
        <v>84</v>
      </c>
      <c r="H1178" s="5" t="s">
        <v>80</v>
      </c>
      <c r="I1178" s="5" t="s">
        <v>81</v>
      </c>
      <c r="J1178" s="5" t="s">
        <v>41</v>
      </c>
      <c r="K1178">
        <v>37</v>
      </c>
      <c r="L1178">
        <v>579119</v>
      </c>
      <c r="M1178" s="26">
        <v>21427403</v>
      </c>
      <c r="N1178">
        <v>12828</v>
      </c>
      <c r="O1178" s="26">
        <v>3007296.98</v>
      </c>
      <c r="P1178" s="5" t="s">
        <v>42</v>
      </c>
      <c r="Q1178" s="5" t="s">
        <v>43</v>
      </c>
      <c r="R1178">
        <v>3.6</v>
      </c>
      <c r="S1178">
        <v>10</v>
      </c>
      <c r="T1178">
        <f t="shared" si="18"/>
        <v>1</v>
      </c>
    </row>
    <row r="1179" spans="1:20">
      <c r="A1179" s="4">
        <v>44904</v>
      </c>
      <c r="B1179">
        <v>2022</v>
      </c>
      <c r="C1179">
        <v>12</v>
      </c>
      <c r="D1179" s="5" t="s">
        <v>66</v>
      </c>
      <c r="E1179" s="5" t="s">
        <v>67</v>
      </c>
      <c r="F1179" s="5" t="s">
        <v>68</v>
      </c>
      <c r="G1179" s="5" t="s">
        <v>69</v>
      </c>
      <c r="H1179" s="5" t="s">
        <v>79</v>
      </c>
      <c r="I1179" s="5" t="s">
        <v>58</v>
      </c>
      <c r="J1179" s="5" t="s">
        <v>49</v>
      </c>
      <c r="K1179">
        <v>16</v>
      </c>
      <c r="L1179">
        <v>907588</v>
      </c>
      <c r="M1179" s="26">
        <v>14521408</v>
      </c>
      <c r="N1179">
        <v>10258</v>
      </c>
      <c r="O1179" s="26">
        <v>1550352.83</v>
      </c>
      <c r="P1179" s="5" t="s">
        <v>50</v>
      </c>
      <c r="Q1179" s="5" t="s">
        <v>43</v>
      </c>
      <c r="R1179">
        <v>4.8</v>
      </c>
      <c r="S1179">
        <v>9</v>
      </c>
      <c r="T1179">
        <f t="shared" si="18"/>
        <v>0</v>
      </c>
    </row>
    <row r="1180" spans="1:20">
      <c r="A1180" s="4">
        <v>44904</v>
      </c>
      <c r="B1180">
        <v>2022</v>
      </c>
      <c r="C1180">
        <v>12</v>
      </c>
      <c r="D1180" s="5" t="s">
        <v>44</v>
      </c>
      <c r="E1180" s="5" t="s">
        <v>45</v>
      </c>
      <c r="F1180" s="5" t="s">
        <v>46</v>
      </c>
      <c r="G1180" s="5" t="s">
        <v>47</v>
      </c>
      <c r="H1180" s="5" t="s">
        <v>79</v>
      </c>
      <c r="I1180" s="5" t="s">
        <v>58</v>
      </c>
      <c r="J1180" s="5" t="s">
        <v>49</v>
      </c>
      <c r="K1180">
        <v>33</v>
      </c>
      <c r="L1180">
        <v>914020</v>
      </c>
      <c r="M1180" s="26">
        <v>30162660</v>
      </c>
      <c r="N1180">
        <v>37898</v>
      </c>
      <c r="O1180" s="26">
        <v>3300109.02</v>
      </c>
      <c r="P1180" s="5" t="s">
        <v>42</v>
      </c>
      <c r="Q1180" s="5" t="s">
        <v>75</v>
      </c>
      <c r="R1180">
        <v>4.3</v>
      </c>
      <c r="S1180">
        <v>13</v>
      </c>
      <c r="T1180">
        <f t="shared" si="18"/>
        <v>1</v>
      </c>
    </row>
    <row r="1181" spans="1:20">
      <c r="A1181" s="4">
        <v>44896</v>
      </c>
      <c r="B1181">
        <v>2022</v>
      </c>
      <c r="C1181">
        <v>12</v>
      </c>
      <c r="D1181" s="5" t="s">
        <v>54</v>
      </c>
      <c r="E1181" s="5" t="s">
        <v>55</v>
      </c>
      <c r="F1181" s="5" t="s">
        <v>55</v>
      </c>
      <c r="G1181" s="5" t="s">
        <v>56</v>
      </c>
      <c r="H1181" s="5" t="s">
        <v>79</v>
      </c>
      <c r="I1181" s="5" t="s">
        <v>58</v>
      </c>
      <c r="J1181" s="5" t="s">
        <v>49</v>
      </c>
      <c r="K1181">
        <v>31</v>
      </c>
      <c r="L1181">
        <v>905446</v>
      </c>
      <c r="M1181" s="26">
        <v>28068826</v>
      </c>
      <c r="N1181">
        <v>48508</v>
      </c>
      <c r="O1181" s="26">
        <v>2963429.86</v>
      </c>
      <c r="P1181" s="5" t="s">
        <v>50</v>
      </c>
      <c r="Q1181" s="5" t="s">
        <v>43</v>
      </c>
      <c r="R1181">
        <v>4.4000000000000004</v>
      </c>
      <c r="S1181">
        <v>16</v>
      </c>
      <c r="T1181">
        <f t="shared" si="18"/>
        <v>0</v>
      </c>
    </row>
    <row r="1182" spans="1:20">
      <c r="A1182" s="4">
        <v>44917</v>
      </c>
      <c r="B1182">
        <v>2022</v>
      </c>
      <c r="C1182">
        <v>12</v>
      </c>
      <c r="D1182" s="5" t="s">
        <v>44</v>
      </c>
      <c r="E1182" s="5" t="s">
        <v>45</v>
      </c>
      <c r="F1182" s="5" t="s">
        <v>46</v>
      </c>
      <c r="G1182" s="5" t="s">
        <v>47</v>
      </c>
      <c r="H1182" s="5" t="s">
        <v>63</v>
      </c>
      <c r="I1182" s="5" t="s">
        <v>64</v>
      </c>
      <c r="J1182" s="5" t="s">
        <v>41</v>
      </c>
      <c r="K1182">
        <v>13</v>
      </c>
      <c r="L1182">
        <v>744201</v>
      </c>
      <c r="M1182" s="26">
        <v>9674613</v>
      </c>
      <c r="N1182">
        <v>5028</v>
      </c>
      <c r="O1182" s="26">
        <v>1302019.52</v>
      </c>
      <c r="P1182" s="5" t="s">
        <v>42</v>
      </c>
      <c r="Q1182" s="5" t="s">
        <v>51</v>
      </c>
      <c r="R1182">
        <v>3.5</v>
      </c>
      <c r="S1182">
        <v>6</v>
      </c>
      <c r="T1182">
        <f t="shared" si="18"/>
        <v>1</v>
      </c>
    </row>
    <row r="1183" spans="1:20">
      <c r="A1183" s="4">
        <v>44898</v>
      </c>
      <c r="B1183">
        <v>2022</v>
      </c>
      <c r="C1183">
        <v>12</v>
      </c>
      <c r="D1183" s="5" t="s">
        <v>54</v>
      </c>
      <c r="E1183" s="5" t="s">
        <v>55</v>
      </c>
      <c r="F1183" s="5" t="s">
        <v>55</v>
      </c>
      <c r="G1183" s="5" t="s">
        <v>56</v>
      </c>
      <c r="H1183" s="5" t="s">
        <v>65</v>
      </c>
      <c r="I1183" s="5" t="s">
        <v>53</v>
      </c>
      <c r="J1183" s="5" t="s">
        <v>49</v>
      </c>
      <c r="K1183">
        <v>40</v>
      </c>
      <c r="L1183">
        <v>1264104</v>
      </c>
      <c r="M1183" s="26">
        <v>50564160</v>
      </c>
      <c r="N1183">
        <v>8176</v>
      </c>
      <c r="O1183" s="26">
        <v>4068541.13</v>
      </c>
      <c r="P1183" s="5" t="s">
        <v>42</v>
      </c>
      <c r="Q1183" s="5" t="s">
        <v>43</v>
      </c>
      <c r="R1183">
        <v>4.9000000000000004</v>
      </c>
      <c r="S1183">
        <v>14</v>
      </c>
      <c r="T1183">
        <f t="shared" si="18"/>
        <v>1</v>
      </c>
    </row>
    <row r="1184" spans="1:20">
      <c r="A1184" s="4">
        <v>44920</v>
      </c>
      <c r="B1184">
        <v>2022</v>
      </c>
      <c r="C1184">
        <v>12</v>
      </c>
      <c r="D1184" s="5" t="s">
        <v>54</v>
      </c>
      <c r="E1184" s="5" t="s">
        <v>70</v>
      </c>
      <c r="F1184" s="5" t="s">
        <v>71</v>
      </c>
      <c r="G1184" s="5" t="s">
        <v>72</v>
      </c>
      <c r="H1184" s="5" t="s">
        <v>79</v>
      </c>
      <c r="I1184" s="5" t="s">
        <v>58</v>
      </c>
      <c r="J1184" s="5" t="s">
        <v>49</v>
      </c>
      <c r="K1184">
        <v>6</v>
      </c>
      <c r="L1184">
        <v>882821</v>
      </c>
      <c r="M1184" s="26">
        <v>5296926</v>
      </c>
      <c r="N1184">
        <v>15988</v>
      </c>
      <c r="O1184" s="26">
        <v>436955.43</v>
      </c>
      <c r="P1184" s="5" t="s">
        <v>50</v>
      </c>
      <c r="Q1184" s="5" t="s">
        <v>51</v>
      </c>
      <c r="R1184">
        <v>3.6</v>
      </c>
      <c r="S1184">
        <v>8</v>
      </c>
      <c r="T1184">
        <f t="shared" si="18"/>
        <v>0</v>
      </c>
    </row>
    <row r="1185" spans="1:20">
      <c r="A1185" s="4">
        <v>44923</v>
      </c>
      <c r="B1185">
        <v>2022</v>
      </c>
      <c r="C1185">
        <v>12</v>
      </c>
      <c r="D1185" s="5" t="s">
        <v>35</v>
      </c>
      <c r="E1185" s="5" t="s">
        <v>76</v>
      </c>
      <c r="F1185" s="5" t="s">
        <v>77</v>
      </c>
      <c r="G1185" s="5" t="s">
        <v>78</v>
      </c>
      <c r="H1185" s="5" t="s">
        <v>74</v>
      </c>
      <c r="I1185" s="5" t="s">
        <v>40</v>
      </c>
      <c r="J1185" s="5" t="s">
        <v>49</v>
      </c>
      <c r="K1185">
        <v>35</v>
      </c>
      <c r="L1185">
        <v>640880</v>
      </c>
      <c r="M1185" s="26">
        <v>22430800</v>
      </c>
      <c r="N1185">
        <v>20650</v>
      </c>
      <c r="O1185" s="26">
        <v>3421746.15</v>
      </c>
      <c r="P1185" s="5" t="s">
        <v>50</v>
      </c>
      <c r="Q1185" s="5" t="s">
        <v>43</v>
      </c>
      <c r="R1185">
        <v>4.0999999999999996</v>
      </c>
      <c r="S1185">
        <v>17</v>
      </c>
      <c r="T1185">
        <f t="shared" si="18"/>
        <v>0</v>
      </c>
    </row>
    <row r="1186" spans="1:20">
      <c r="A1186" s="4">
        <v>44905</v>
      </c>
      <c r="B1186">
        <v>2022</v>
      </c>
      <c r="C1186">
        <v>12</v>
      </c>
      <c r="D1186" s="5" t="s">
        <v>35</v>
      </c>
      <c r="E1186" s="5" t="s">
        <v>76</v>
      </c>
      <c r="F1186" s="5" t="s">
        <v>77</v>
      </c>
      <c r="G1186" s="5" t="s">
        <v>78</v>
      </c>
      <c r="H1186" s="5" t="s">
        <v>79</v>
      </c>
      <c r="I1186" s="5" t="s">
        <v>58</v>
      </c>
      <c r="J1186" s="5" t="s">
        <v>49</v>
      </c>
      <c r="K1186">
        <v>21</v>
      </c>
      <c r="L1186">
        <v>924192</v>
      </c>
      <c r="M1186" s="26">
        <v>19408032</v>
      </c>
      <c r="N1186">
        <v>38974</v>
      </c>
      <c r="O1186" s="26">
        <v>2562038.98</v>
      </c>
      <c r="P1186" s="5" t="s">
        <v>50</v>
      </c>
      <c r="Q1186" s="5" t="s">
        <v>75</v>
      </c>
      <c r="R1186">
        <v>4.7</v>
      </c>
      <c r="S1186">
        <v>2</v>
      </c>
      <c r="T1186">
        <f t="shared" si="18"/>
        <v>0</v>
      </c>
    </row>
    <row r="1187" spans="1:20">
      <c r="A1187" s="4">
        <v>44901</v>
      </c>
      <c r="B1187">
        <v>2022</v>
      </c>
      <c r="C1187">
        <v>12</v>
      </c>
      <c r="D1187" s="5" t="s">
        <v>66</v>
      </c>
      <c r="E1187" s="5" t="s">
        <v>67</v>
      </c>
      <c r="F1187" s="5" t="s">
        <v>68</v>
      </c>
      <c r="G1187" s="5" t="s">
        <v>69</v>
      </c>
      <c r="H1187" s="5" t="s">
        <v>63</v>
      </c>
      <c r="I1187" s="5" t="s">
        <v>64</v>
      </c>
      <c r="J1187" s="5" t="s">
        <v>41</v>
      </c>
      <c r="K1187">
        <v>28</v>
      </c>
      <c r="L1187">
        <v>736196</v>
      </c>
      <c r="M1187" s="26">
        <v>20613488</v>
      </c>
      <c r="N1187">
        <v>27707</v>
      </c>
      <c r="O1187" s="26">
        <v>2219531.61</v>
      </c>
      <c r="P1187" s="5" t="s">
        <v>42</v>
      </c>
      <c r="Q1187" s="5" t="s">
        <v>75</v>
      </c>
      <c r="R1187">
        <v>4.9000000000000004</v>
      </c>
      <c r="S1187">
        <v>9</v>
      </c>
      <c r="T1187">
        <f t="shared" si="18"/>
        <v>1</v>
      </c>
    </row>
    <row r="1188" spans="1:20">
      <c r="A1188" s="4">
        <v>44902</v>
      </c>
      <c r="B1188">
        <v>2022</v>
      </c>
      <c r="C1188">
        <v>12</v>
      </c>
      <c r="D1188" s="5" t="s">
        <v>35</v>
      </c>
      <c r="E1188" s="5" t="s">
        <v>76</v>
      </c>
      <c r="F1188" s="5" t="s">
        <v>77</v>
      </c>
      <c r="G1188" s="5" t="s">
        <v>78</v>
      </c>
      <c r="H1188" s="5" t="s">
        <v>80</v>
      </c>
      <c r="I1188" s="5" t="s">
        <v>81</v>
      </c>
      <c r="J1188" s="5" t="s">
        <v>41</v>
      </c>
      <c r="K1188">
        <v>56</v>
      </c>
      <c r="L1188">
        <v>572366</v>
      </c>
      <c r="M1188" s="26">
        <v>32052496</v>
      </c>
      <c r="N1188">
        <v>47435</v>
      </c>
      <c r="O1188" s="26">
        <v>4486948.58</v>
      </c>
      <c r="P1188" s="5" t="s">
        <v>42</v>
      </c>
      <c r="Q1188" s="5" t="s">
        <v>75</v>
      </c>
      <c r="R1188">
        <v>4</v>
      </c>
      <c r="S1188">
        <v>21</v>
      </c>
      <c r="T1188">
        <f t="shared" si="18"/>
        <v>1</v>
      </c>
    </row>
    <row r="1189" spans="1:20">
      <c r="A1189" s="4">
        <v>44918</v>
      </c>
      <c r="B1189">
        <v>2022</v>
      </c>
      <c r="C1189">
        <v>12</v>
      </c>
      <c r="D1189" s="5" t="s">
        <v>35</v>
      </c>
      <c r="E1189" s="5" t="s">
        <v>76</v>
      </c>
      <c r="F1189" s="5" t="s">
        <v>77</v>
      </c>
      <c r="G1189" s="5" t="s">
        <v>78</v>
      </c>
      <c r="H1189" s="5" t="s">
        <v>80</v>
      </c>
      <c r="I1189" s="5" t="s">
        <v>81</v>
      </c>
      <c r="J1189" s="5" t="s">
        <v>41</v>
      </c>
      <c r="K1189">
        <v>48</v>
      </c>
      <c r="L1189">
        <v>522282</v>
      </c>
      <c r="M1189" s="26">
        <v>25069536</v>
      </c>
      <c r="N1189">
        <v>36452</v>
      </c>
      <c r="O1189" s="26">
        <v>2394818.9900000002</v>
      </c>
      <c r="P1189" s="5" t="s">
        <v>50</v>
      </c>
      <c r="Q1189" s="5" t="s">
        <v>75</v>
      </c>
      <c r="R1189">
        <v>4.7</v>
      </c>
      <c r="S1189">
        <v>2</v>
      </c>
      <c r="T1189">
        <f t="shared" si="18"/>
        <v>0</v>
      </c>
    </row>
    <row r="1190" spans="1:20">
      <c r="A1190" s="4">
        <v>44908</v>
      </c>
      <c r="B1190">
        <v>2022</v>
      </c>
      <c r="C1190">
        <v>12</v>
      </c>
      <c r="D1190" s="5" t="s">
        <v>44</v>
      </c>
      <c r="E1190" s="5" t="s">
        <v>82</v>
      </c>
      <c r="F1190" s="5" t="s">
        <v>83</v>
      </c>
      <c r="G1190" s="5" t="s">
        <v>84</v>
      </c>
      <c r="H1190" s="5" t="s">
        <v>74</v>
      </c>
      <c r="I1190" s="5" t="s">
        <v>40</v>
      </c>
      <c r="J1190" s="5" t="s">
        <v>49</v>
      </c>
      <c r="K1190">
        <v>10</v>
      </c>
      <c r="L1190">
        <v>677879</v>
      </c>
      <c r="M1190" s="26">
        <v>6778790</v>
      </c>
      <c r="N1190">
        <v>36329</v>
      </c>
      <c r="O1190" s="26">
        <v>562646.59</v>
      </c>
      <c r="P1190" s="5" t="s">
        <v>50</v>
      </c>
      <c r="Q1190" s="5" t="s">
        <v>51</v>
      </c>
      <c r="R1190">
        <v>4.0999999999999996</v>
      </c>
      <c r="S1190">
        <v>14</v>
      </c>
      <c r="T1190">
        <f t="shared" si="18"/>
        <v>0</v>
      </c>
    </row>
    <row r="1191" spans="1:20">
      <c r="A1191" s="4">
        <v>44919</v>
      </c>
      <c r="B1191">
        <v>2022</v>
      </c>
      <c r="C1191">
        <v>12</v>
      </c>
      <c r="D1191" s="5" t="s">
        <v>54</v>
      </c>
      <c r="E1191" s="5" t="s">
        <v>70</v>
      </c>
      <c r="F1191" s="5" t="s">
        <v>71</v>
      </c>
      <c r="G1191" s="5" t="s">
        <v>72</v>
      </c>
      <c r="H1191" s="5" t="s">
        <v>48</v>
      </c>
      <c r="I1191" s="5" t="s">
        <v>40</v>
      </c>
      <c r="J1191" s="5" t="s">
        <v>49</v>
      </c>
      <c r="K1191">
        <v>28</v>
      </c>
      <c r="L1191">
        <v>463652</v>
      </c>
      <c r="M1191" s="26">
        <v>12982256</v>
      </c>
      <c r="N1191">
        <v>25760</v>
      </c>
      <c r="O1191" s="26">
        <v>1523767.44</v>
      </c>
      <c r="P1191" s="5" t="s">
        <v>42</v>
      </c>
      <c r="Q1191" s="5" t="s">
        <v>51</v>
      </c>
      <c r="R1191">
        <v>3.7</v>
      </c>
      <c r="S1191">
        <v>19</v>
      </c>
      <c r="T1191">
        <f t="shared" si="18"/>
        <v>1</v>
      </c>
    </row>
    <row r="1192" spans="1:20">
      <c r="A1192" s="4">
        <v>44908</v>
      </c>
      <c r="B1192">
        <v>2022</v>
      </c>
      <c r="C1192">
        <v>12</v>
      </c>
      <c r="D1192" s="5" t="s">
        <v>35</v>
      </c>
      <c r="E1192" s="5" t="s">
        <v>36</v>
      </c>
      <c r="F1192" s="5" t="s">
        <v>37</v>
      </c>
      <c r="G1192" s="5" t="s">
        <v>38</v>
      </c>
      <c r="H1192" s="5" t="s">
        <v>73</v>
      </c>
      <c r="I1192" s="5" t="s">
        <v>40</v>
      </c>
      <c r="J1192" s="5" t="s">
        <v>49</v>
      </c>
      <c r="K1192">
        <v>32</v>
      </c>
      <c r="L1192">
        <v>698925</v>
      </c>
      <c r="M1192" s="26">
        <v>22365600</v>
      </c>
      <c r="N1192">
        <v>9578</v>
      </c>
      <c r="O1192" s="26">
        <v>2147012.06</v>
      </c>
      <c r="P1192" s="5" t="s">
        <v>42</v>
      </c>
      <c r="Q1192" s="5" t="s">
        <v>51</v>
      </c>
      <c r="R1192">
        <v>4.4000000000000004</v>
      </c>
      <c r="S1192">
        <v>18</v>
      </c>
      <c r="T1192">
        <f t="shared" si="18"/>
        <v>1</v>
      </c>
    </row>
    <row r="1193" spans="1:20">
      <c r="A1193" s="4">
        <v>44906</v>
      </c>
      <c r="B1193">
        <v>2022</v>
      </c>
      <c r="C1193">
        <v>12</v>
      </c>
      <c r="D1193" s="5" t="s">
        <v>35</v>
      </c>
      <c r="E1193" s="5" t="s">
        <v>60</v>
      </c>
      <c r="F1193" s="5" t="s">
        <v>61</v>
      </c>
      <c r="G1193" s="5" t="s">
        <v>62</v>
      </c>
      <c r="H1193" s="5" t="s">
        <v>74</v>
      </c>
      <c r="I1193" s="5" t="s">
        <v>40</v>
      </c>
      <c r="J1193" s="5" t="s">
        <v>49</v>
      </c>
      <c r="K1193">
        <v>25</v>
      </c>
      <c r="L1193">
        <v>631838</v>
      </c>
      <c r="M1193" s="26">
        <v>15795950</v>
      </c>
      <c r="N1193">
        <v>42286</v>
      </c>
      <c r="O1193" s="26">
        <v>1514287.2</v>
      </c>
      <c r="P1193" s="5" t="s">
        <v>42</v>
      </c>
      <c r="Q1193" s="5" t="s">
        <v>43</v>
      </c>
      <c r="R1193">
        <v>4.2</v>
      </c>
      <c r="S1193">
        <v>21</v>
      </c>
      <c r="T1193">
        <f t="shared" si="18"/>
        <v>1</v>
      </c>
    </row>
    <row r="1194" spans="1:20">
      <c r="A1194" s="4">
        <v>44919</v>
      </c>
      <c r="B1194">
        <v>2022</v>
      </c>
      <c r="C1194">
        <v>12</v>
      </c>
      <c r="D1194" s="5" t="s">
        <v>35</v>
      </c>
      <c r="E1194" s="5" t="s">
        <v>36</v>
      </c>
      <c r="F1194" s="5" t="s">
        <v>37</v>
      </c>
      <c r="G1194" s="5" t="s">
        <v>38</v>
      </c>
      <c r="H1194" s="5" t="s">
        <v>57</v>
      </c>
      <c r="I1194" s="5" t="s">
        <v>58</v>
      </c>
      <c r="J1194" s="5" t="s">
        <v>59</v>
      </c>
      <c r="K1194">
        <v>30</v>
      </c>
      <c r="L1194">
        <v>1385967</v>
      </c>
      <c r="M1194" s="26">
        <v>41579010</v>
      </c>
      <c r="N1194">
        <v>14971</v>
      </c>
      <c r="O1194" s="26">
        <v>5793792.3399999999</v>
      </c>
      <c r="P1194" s="5" t="s">
        <v>42</v>
      </c>
      <c r="Q1194" s="5" t="s">
        <v>51</v>
      </c>
      <c r="R1194">
        <v>4.5999999999999996</v>
      </c>
      <c r="S1194">
        <v>9</v>
      </c>
      <c r="T1194">
        <f t="shared" si="18"/>
        <v>1</v>
      </c>
    </row>
    <row r="1195" spans="1:20">
      <c r="A1195" s="4">
        <v>44919</v>
      </c>
      <c r="B1195">
        <v>2022</v>
      </c>
      <c r="C1195">
        <v>12</v>
      </c>
      <c r="D1195" s="5" t="s">
        <v>66</v>
      </c>
      <c r="E1195" s="5" t="s">
        <v>67</v>
      </c>
      <c r="F1195" s="5" t="s">
        <v>68</v>
      </c>
      <c r="G1195" s="5" t="s">
        <v>69</v>
      </c>
      <c r="H1195" s="5" t="s">
        <v>65</v>
      </c>
      <c r="I1195" s="5" t="s">
        <v>53</v>
      </c>
      <c r="J1195" s="5" t="s">
        <v>49</v>
      </c>
      <c r="K1195">
        <v>5</v>
      </c>
      <c r="L1195">
        <v>1251261</v>
      </c>
      <c r="M1195" s="26">
        <v>6256305</v>
      </c>
      <c r="N1195">
        <v>48674</v>
      </c>
      <c r="O1195" s="26">
        <v>645086.52</v>
      </c>
      <c r="P1195" s="5" t="s">
        <v>50</v>
      </c>
      <c r="Q1195" s="5" t="s">
        <v>43</v>
      </c>
      <c r="R1195">
        <v>4</v>
      </c>
      <c r="S1195">
        <v>10</v>
      </c>
      <c r="T1195">
        <f t="shared" si="18"/>
        <v>0</v>
      </c>
    </row>
    <row r="1196" spans="1:20">
      <c r="A1196" s="4">
        <v>44919</v>
      </c>
      <c r="B1196">
        <v>2022</v>
      </c>
      <c r="C1196">
        <v>12</v>
      </c>
      <c r="D1196" s="5" t="s">
        <v>54</v>
      </c>
      <c r="E1196" s="5" t="s">
        <v>55</v>
      </c>
      <c r="F1196" s="5" t="s">
        <v>55</v>
      </c>
      <c r="G1196" s="5" t="s">
        <v>56</v>
      </c>
      <c r="H1196" s="5" t="s">
        <v>74</v>
      </c>
      <c r="I1196" s="5" t="s">
        <v>40</v>
      </c>
      <c r="J1196" s="5" t="s">
        <v>49</v>
      </c>
      <c r="K1196">
        <v>37</v>
      </c>
      <c r="L1196">
        <v>624853</v>
      </c>
      <c r="M1196" s="26">
        <v>23119561</v>
      </c>
      <c r="N1196">
        <v>20763</v>
      </c>
      <c r="O1196" s="26">
        <v>2600926.7799999998</v>
      </c>
      <c r="P1196" s="5" t="s">
        <v>50</v>
      </c>
      <c r="Q1196" s="5" t="s">
        <v>51</v>
      </c>
      <c r="R1196">
        <v>4.4000000000000004</v>
      </c>
      <c r="S1196">
        <v>3</v>
      </c>
      <c r="T1196">
        <f t="shared" si="18"/>
        <v>0</v>
      </c>
    </row>
    <row r="1197" spans="1:20">
      <c r="A1197" s="4">
        <v>44923</v>
      </c>
      <c r="B1197">
        <v>2022</v>
      </c>
      <c r="C1197">
        <v>12</v>
      </c>
      <c r="D1197" s="5" t="s">
        <v>35</v>
      </c>
      <c r="E1197" s="5" t="s">
        <v>76</v>
      </c>
      <c r="F1197" s="5" t="s">
        <v>77</v>
      </c>
      <c r="G1197" s="5" t="s">
        <v>78</v>
      </c>
      <c r="H1197" s="5" t="s">
        <v>80</v>
      </c>
      <c r="I1197" s="5" t="s">
        <v>81</v>
      </c>
      <c r="J1197" s="5" t="s">
        <v>41</v>
      </c>
      <c r="K1197">
        <v>20</v>
      </c>
      <c r="L1197">
        <v>535719</v>
      </c>
      <c r="M1197" s="26">
        <v>10714380</v>
      </c>
      <c r="N1197">
        <v>38238</v>
      </c>
      <c r="O1197" s="26">
        <v>1151526</v>
      </c>
      <c r="P1197" s="5" t="s">
        <v>42</v>
      </c>
      <c r="Q1197" s="5" t="s">
        <v>75</v>
      </c>
      <c r="R1197">
        <v>4.5</v>
      </c>
      <c r="S1197">
        <v>2</v>
      </c>
      <c r="T1197">
        <f t="shared" si="18"/>
        <v>1</v>
      </c>
    </row>
    <row r="1198" spans="1:20">
      <c r="A1198" s="4">
        <v>44922</v>
      </c>
      <c r="B1198">
        <v>2022</v>
      </c>
      <c r="C1198">
        <v>12</v>
      </c>
      <c r="D1198" s="5" t="s">
        <v>35</v>
      </c>
      <c r="E1198" s="5" t="s">
        <v>60</v>
      </c>
      <c r="F1198" s="5" t="s">
        <v>61</v>
      </c>
      <c r="G1198" s="5" t="s">
        <v>62</v>
      </c>
      <c r="H1198" s="5" t="s">
        <v>52</v>
      </c>
      <c r="I1198" s="5" t="s">
        <v>53</v>
      </c>
      <c r="J1198" s="5" t="s">
        <v>41</v>
      </c>
      <c r="K1198">
        <v>51</v>
      </c>
      <c r="L1198">
        <v>941649</v>
      </c>
      <c r="M1198" s="26">
        <v>48024099</v>
      </c>
      <c r="N1198">
        <v>15567</v>
      </c>
      <c r="O1198" s="26">
        <v>6682531.8099999996</v>
      </c>
      <c r="P1198" s="5" t="s">
        <v>42</v>
      </c>
      <c r="Q1198" s="5" t="s">
        <v>75</v>
      </c>
      <c r="R1198">
        <v>4.0999999999999996</v>
      </c>
      <c r="S1198">
        <v>3</v>
      </c>
      <c r="T1198">
        <f t="shared" si="18"/>
        <v>1</v>
      </c>
    </row>
    <row r="1199" spans="1:20">
      <c r="A1199" s="4">
        <v>44919</v>
      </c>
      <c r="B1199">
        <v>2022</v>
      </c>
      <c r="C1199">
        <v>12</v>
      </c>
      <c r="D1199" s="5" t="s">
        <v>44</v>
      </c>
      <c r="E1199" s="5" t="s">
        <v>82</v>
      </c>
      <c r="F1199" s="5" t="s">
        <v>83</v>
      </c>
      <c r="G1199" s="5" t="s">
        <v>84</v>
      </c>
      <c r="H1199" s="5" t="s">
        <v>57</v>
      </c>
      <c r="I1199" s="5" t="s">
        <v>58</v>
      </c>
      <c r="J1199" s="5" t="s">
        <v>59</v>
      </c>
      <c r="K1199">
        <v>32</v>
      </c>
      <c r="L1199">
        <v>1370917</v>
      </c>
      <c r="M1199" s="26">
        <v>43869344</v>
      </c>
      <c r="N1199">
        <v>23809</v>
      </c>
      <c r="O1199" s="26">
        <v>4019524.91</v>
      </c>
      <c r="P1199" s="5" t="s">
        <v>50</v>
      </c>
      <c r="Q1199" s="5" t="s">
        <v>51</v>
      </c>
      <c r="R1199">
        <v>4.0999999999999996</v>
      </c>
      <c r="S1199">
        <v>15</v>
      </c>
      <c r="T1199">
        <f t="shared" si="18"/>
        <v>0</v>
      </c>
    </row>
    <row r="1200" spans="1:20">
      <c r="A1200" s="4">
        <v>44906</v>
      </c>
      <c r="B1200">
        <v>2022</v>
      </c>
      <c r="C1200">
        <v>12</v>
      </c>
      <c r="D1200" s="5" t="s">
        <v>35</v>
      </c>
      <c r="E1200" s="5" t="s">
        <v>60</v>
      </c>
      <c r="F1200" s="5" t="s">
        <v>61</v>
      </c>
      <c r="G1200" s="5" t="s">
        <v>62</v>
      </c>
      <c r="H1200" s="5" t="s">
        <v>39</v>
      </c>
      <c r="I1200" s="5" t="s">
        <v>40</v>
      </c>
      <c r="J1200" s="5" t="s">
        <v>41</v>
      </c>
      <c r="K1200">
        <v>49</v>
      </c>
      <c r="L1200">
        <v>559216</v>
      </c>
      <c r="M1200" s="26">
        <v>27401584</v>
      </c>
      <c r="N1200">
        <v>18244</v>
      </c>
      <c r="O1200" s="26">
        <v>3765611.5</v>
      </c>
      <c r="P1200" s="5" t="s">
        <v>42</v>
      </c>
      <c r="Q1200" s="5" t="s">
        <v>43</v>
      </c>
      <c r="R1200">
        <v>5</v>
      </c>
      <c r="S1200">
        <v>4</v>
      </c>
      <c r="T1200">
        <f t="shared" si="18"/>
        <v>1</v>
      </c>
    </row>
    <row r="1201" spans="1:20">
      <c r="A1201" s="4">
        <v>44909</v>
      </c>
      <c r="B1201">
        <v>2022</v>
      </c>
      <c r="C1201">
        <v>12</v>
      </c>
      <c r="D1201" s="5" t="s">
        <v>54</v>
      </c>
      <c r="E1201" s="5" t="s">
        <v>70</v>
      </c>
      <c r="F1201" s="5" t="s">
        <v>71</v>
      </c>
      <c r="G1201" s="5" t="s">
        <v>72</v>
      </c>
      <c r="H1201" s="5" t="s">
        <v>52</v>
      </c>
      <c r="I1201" s="5" t="s">
        <v>53</v>
      </c>
      <c r="J1201" s="5" t="s">
        <v>41</v>
      </c>
      <c r="K1201">
        <v>18</v>
      </c>
      <c r="L1201">
        <v>974825</v>
      </c>
      <c r="M1201" s="26">
        <v>17546850</v>
      </c>
      <c r="N1201">
        <v>10115</v>
      </c>
      <c r="O1201" s="26">
        <v>1708217.42</v>
      </c>
      <c r="P1201" s="5" t="s">
        <v>50</v>
      </c>
      <c r="Q1201" s="5" t="s">
        <v>51</v>
      </c>
      <c r="R1201">
        <v>4.8</v>
      </c>
      <c r="S1201">
        <v>19</v>
      </c>
      <c r="T1201">
        <f t="shared" si="18"/>
        <v>0</v>
      </c>
    </row>
    <row r="1202" spans="1:20">
      <c r="A1202" s="4">
        <v>44946</v>
      </c>
      <c r="B1202">
        <v>2023</v>
      </c>
      <c r="C1202">
        <v>1</v>
      </c>
      <c r="D1202" s="5" t="s">
        <v>35</v>
      </c>
      <c r="E1202" s="5" t="s">
        <v>36</v>
      </c>
      <c r="F1202" s="5" t="s">
        <v>37</v>
      </c>
      <c r="G1202" s="5" t="s">
        <v>38</v>
      </c>
      <c r="H1202" s="5" t="s">
        <v>57</v>
      </c>
      <c r="I1202" s="5" t="s">
        <v>58</v>
      </c>
      <c r="J1202" s="5" t="s">
        <v>59</v>
      </c>
      <c r="K1202">
        <v>29</v>
      </c>
      <c r="L1202">
        <v>1397547</v>
      </c>
      <c r="M1202" s="26">
        <v>40528863</v>
      </c>
      <c r="N1202">
        <v>33225</v>
      </c>
      <c r="O1202" s="26">
        <v>4726097.5199999996</v>
      </c>
      <c r="P1202" s="5" t="s">
        <v>50</v>
      </c>
      <c r="Q1202" s="5" t="s">
        <v>51</v>
      </c>
      <c r="R1202">
        <v>4.8</v>
      </c>
      <c r="S1202">
        <v>20</v>
      </c>
      <c r="T1202">
        <f t="shared" si="18"/>
        <v>0</v>
      </c>
    </row>
    <row r="1203" spans="1:20">
      <c r="A1203" s="4">
        <v>44935</v>
      </c>
      <c r="B1203">
        <v>2023</v>
      </c>
      <c r="C1203">
        <v>1</v>
      </c>
      <c r="D1203" s="5" t="s">
        <v>35</v>
      </c>
      <c r="E1203" s="5" t="s">
        <v>76</v>
      </c>
      <c r="F1203" s="5" t="s">
        <v>77</v>
      </c>
      <c r="G1203" s="5" t="s">
        <v>78</v>
      </c>
      <c r="H1203" s="5" t="s">
        <v>80</v>
      </c>
      <c r="I1203" s="5" t="s">
        <v>81</v>
      </c>
      <c r="J1203" s="5" t="s">
        <v>41</v>
      </c>
      <c r="K1203">
        <v>9</v>
      </c>
      <c r="L1203">
        <v>521681</v>
      </c>
      <c r="M1203" s="26">
        <v>4695129</v>
      </c>
      <c r="N1203">
        <v>25993</v>
      </c>
      <c r="O1203" s="26">
        <v>506336.13</v>
      </c>
      <c r="P1203" s="5" t="s">
        <v>42</v>
      </c>
      <c r="Q1203" s="5" t="s">
        <v>43</v>
      </c>
      <c r="R1203">
        <v>4.5</v>
      </c>
      <c r="S1203">
        <v>13</v>
      </c>
      <c r="T1203">
        <f t="shared" si="18"/>
        <v>1</v>
      </c>
    </row>
    <row r="1204" spans="1:20">
      <c r="A1204" s="4">
        <v>44932</v>
      </c>
      <c r="B1204">
        <v>2023</v>
      </c>
      <c r="C1204">
        <v>1</v>
      </c>
      <c r="D1204" s="5" t="s">
        <v>35</v>
      </c>
      <c r="E1204" s="5" t="s">
        <v>76</v>
      </c>
      <c r="F1204" s="5" t="s">
        <v>77</v>
      </c>
      <c r="G1204" s="5" t="s">
        <v>78</v>
      </c>
      <c r="H1204" s="5" t="s">
        <v>85</v>
      </c>
      <c r="I1204" s="5" t="s">
        <v>58</v>
      </c>
      <c r="J1204" s="5" t="s">
        <v>49</v>
      </c>
      <c r="K1204">
        <v>42</v>
      </c>
      <c r="L1204">
        <v>995778</v>
      </c>
      <c r="M1204" s="26">
        <v>41822676</v>
      </c>
      <c r="N1204">
        <v>13238</v>
      </c>
      <c r="O1204" s="26">
        <v>4991635</v>
      </c>
      <c r="P1204" s="5" t="s">
        <v>50</v>
      </c>
      <c r="Q1204" s="5" t="s">
        <v>51</v>
      </c>
      <c r="R1204">
        <v>3.8</v>
      </c>
      <c r="S1204">
        <v>3</v>
      </c>
      <c r="T1204">
        <f t="shared" si="18"/>
        <v>0</v>
      </c>
    </row>
    <row r="1205" spans="1:20">
      <c r="A1205" s="4">
        <v>44950</v>
      </c>
      <c r="B1205">
        <v>2023</v>
      </c>
      <c r="C1205">
        <v>1</v>
      </c>
      <c r="D1205" s="5" t="s">
        <v>66</v>
      </c>
      <c r="E1205" s="5" t="s">
        <v>67</v>
      </c>
      <c r="F1205" s="5" t="s">
        <v>68</v>
      </c>
      <c r="G1205" s="5" t="s">
        <v>69</v>
      </c>
      <c r="H1205" s="5" t="s">
        <v>52</v>
      </c>
      <c r="I1205" s="5" t="s">
        <v>53</v>
      </c>
      <c r="J1205" s="5" t="s">
        <v>41</v>
      </c>
      <c r="K1205">
        <v>26</v>
      </c>
      <c r="L1205">
        <v>951432</v>
      </c>
      <c r="M1205" s="26">
        <v>24737232</v>
      </c>
      <c r="N1205">
        <v>41295</v>
      </c>
      <c r="O1205" s="26">
        <v>2712128.9</v>
      </c>
      <c r="P1205" s="5" t="s">
        <v>50</v>
      </c>
      <c r="Q1205" s="5" t="s">
        <v>43</v>
      </c>
      <c r="R1205">
        <v>4.0999999999999996</v>
      </c>
      <c r="S1205">
        <v>16</v>
      </c>
      <c r="T1205">
        <f t="shared" si="18"/>
        <v>0</v>
      </c>
    </row>
    <row r="1206" spans="1:20">
      <c r="A1206" s="4">
        <v>44946</v>
      </c>
      <c r="B1206">
        <v>2023</v>
      </c>
      <c r="C1206">
        <v>1</v>
      </c>
      <c r="D1206" s="5" t="s">
        <v>35</v>
      </c>
      <c r="E1206" s="5" t="s">
        <v>76</v>
      </c>
      <c r="F1206" s="5" t="s">
        <v>77</v>
      </c>
      <c r="G1206" s="5" t="s">
        <v>78</v>
      </c>
      <c r="H1206" s="5" t="s">
        <v>57</v>
      </c>
      <c r="I1206" s="5" t="s">
        <v>58</v>
      </c>
      <c r="J1206" s="5" t="s">
        <v>59</v>
      </c>
      <c r="K1206">
        <v>11</v>
      </c>
      <c r="L1206">
        <v>1414295</v>
      </c>
      <c r="M1206" s="26">
        <v>15557245</v>
      </c>
      <c r="N1206">
        <v>14533</v>
      </c>
      <c r="O1206" s="26">
        <v>1491523.86</v>
      </c>
      <c r="P1206" s="5" t="s">
        <v>50</v>
      </c>
      <c r="Q1206" s="5" t="s">
        <v>75</v>
      </c>
      <c r="R1206">
        <v>4</v>
      </c>
      <c r="S1206">
        <v>16</v>
      </c>
      <c r="T1206">
        <f t="shared" si="18"/>
        <v>0</v>
      </c>
    </row>
    <row r="1207" spans="1:20">
      <c r="A1207" s="4">
        <v>44951</v>
      </c>
      <c r="B1207">
        <v>2023</v>
      </c>
      <c r="C1207">
        <v>1</v>
      </c>
      <c r="D1207" s="5" t="s">
        <v>35</v>
      </c>
      <c r="E1207" s="5" t="s">
        <v>60</v>
      </c>
      <c r="F1207" s="5" t="s">
        <v>61</v>
      </c>
      <c r="G1207" s="5" t="s">
        <v>62</v>
      </c>
      <c r="H1207" s="5" t="s">
        <v>48</v>
      </c>
      <c r="I1207" s="5" t="s">
        <v>40</v>
      </c>
      <c r="J1207" s="5" t="s">
        <v>49</v>
      </c>
      <c r="K1207">
        <v>11</v>
      </c>
      <c r="L1207">
        <v>463199</v>
      </c>
      <c r="M1207" s="26">
        <v>5095189</v>
      </c>
      <c r="N1207">
        <v>17330</v>
      </c>
      <c r="O1207" s="26">
        <v>408955.05</v>
      </c>
      <c r="P1207" s="5" t="s">
        <v>42</v>
      </c>
      <c r="Q1207" s="5" t="s">
        <v>43</v>
      </c>
      <c r="R1207">
        <v>3.8</v>
      </c>
      <c r="S1207">
        <v>21</v>
      </c>
      <c r="T1207">
        <f t="shared" si="18"/>
        <v>1</v>
      </c>
    </row>
    <row r="1208" spans="1:20">
      <c r="A1208" s="4">
        <v>44928</v>
      </c>
      <c r="B1208">
        <v>2023</v>
      </c>
      <c r="C1208">
        <v>1</v>
      </c>
      <c r="D1208" s="5" t="s">
        <v>35</v>
      </c>
      <c r="E1208" s="5" t="s">
        <v>60</v>
      </c>
      <c r="F1208" s="5" t="s">
        <v>61</v>
      </c>
      <c r="G1208" s="5" t="s">
        <v>62</v>
      </c>
      <c r="H1208" s="5" t="s">
        <v>80</v>
      </c>
      <c r="I1208" s="5" t="s">
        <v>81</v>
      </c>
      <c r="J1208" s="5" t="s">
        <v>41</v>
      </c>
      <c r="K1208">
        <v>9</v>
      </c>
      <c r="L1208">
        <v>557460</v>
      </c>
      <c r="M1208" s="26">
        <v>5017140</v>
      </c>
      <c r="N1208">
        <v>16201</v>
      </c>
      <c r="O1208" s="26">
        <v>587687.56000000006</v>
      </c>
      <c r="P1208" s="5" t="s">
        <v>42</v>
      </c>
      <c r="Q1208" s="5" t="s">
        <v>51</v>
      </c>
      <c r="R1208">
        <v>4.5</v>
      </c>
      <c r="S1208">
        <v>7</v>
      </c>
      <c r="T1208">
        <f t="shared" si="18"/>
        <v>1</v>
      </c>
    </row>
    <row r="1209" spans="1:20">
      <c r="A1209" s="4">
        <v>44942</v>
      </c>
      <c r="B1209">
        <v>2023</v>
      </c>
      <c r="C1209">
        <v>1</v>
      </c>
      <c r="D1209" s="5" t="s">
        <v>35</v>
      </c>
      <c r="E1209" s="5" t="s">
        <v>36</v>
      </c>
      <c r="F1209" s="5" t="s">
        <v>37</v>
      </c>
      <c r="G1209" s="5" t="s">
        <v>38</v>
      </c>
      <c r="H1209" s="5" t="s">
        <v>48</v>
      </c>
      <c r="I1209" s="5" t="s">
        <v>40</v>
      </c>
      <c r="J1209" s="5" t="s">
        <v>49</v>
      </c>
      <c r="K1209">
        <v>24</v>
      </c>
      <c r="L1209">
        <v>464881</v>
      </c>
      <c r="M1209" s="26">
        <v>11157144</v>
      </c>
      <c r="N1209">
        <v>24919</v>
      </c>
      <c r="O1209" s="26">
        <v>1783058.38</v>
      </c>
      <c r="P1209" s="5" t="s">
        <v>42</v>
      </c>
      <c r="Q1209" s="5" t="s">
        <v>43</v>
      </c>
      <c r="R1209">
        <v>4</v>
      </c>
      <c r="S1209">
        <v>17</v>
      </c>
      <c r="T1209">
        <f t="shared" si="18"/>
        <v>1</v>
      </c>
    </row>
    <row r="1210" spans="1:20">
      <c r="A1210" s="4">
        <v>44948</v>
      </c>
      <c r="B1210">
        <v>2023</v>
      </c>
      <c r="C1210">
        <v>1</v>
      </c>
      <c r="D1210" s="5" t="s">
        <v>54</v>
      </c>
      <c r="E1210" s="5" t="s">
        <v>70</v>
      </c>
      <c r="F1210" s="5" t="s">
        <v>71</v>
      </c>
      <c r="G1210" s="5" t="s">
        <v>72</v>
      </c>
      <c r="H1210" s="5" t="s">
        <v>73</v>
      </c>
      <c r="I1210" s="5" t="s">
        <v>40</v>
      </c>
      <c r="J1210" s="5" t="s">
        <v>49</v>
      </c>
      <c r="K1210">
        <v>10</v>
      </c>
      <c r="L1210">
        <v>721582</v>
      </c>
      <c r="M1210" s="26">
        <v>7215820</v>
      </c>
      <c r="N1210">
        <v>41751</v>
      </c>
      <c r="O1210" s="26">
        <v>677970.46</v>
      </c>
      <c r="P1210" s="5" t="s">
        <v>42</v>
      </c>
      <c r="Q1210" s="5" t="s">
        <v>75</v>
      </c>
      <c r="R1210">
        <v>4.5999999999999996</v>
      </c>
      <c r="S1210">
        <v>12</v>
      </c>
      <c r="T1210">
        <f t="shared" si="18"/>
        <v>1</v>
      </c>
    </row>
    <row r="1211" spans="1:20">
      <c r="A1211" s="4">
        <v>44927</v>
      </c>
      <c r="B1211">
        <v>2023</v>
      </c>
      <c r="C1211">
        <v>1</v>
      </c>
      <c r="D1211" s="5" t="s">
        <v>44</v>
      </c>
      <c r="E1211" s="5" t="s">
        <v>82</v>
      </c>
      <c r="F1211" s="5" t="s">
        <v>83</v>
      </c>
      <c r="G1211" s="5" t="s">
        <v>84</v>
      </c>
      <c r="H1211" s="5" t="s">
        <v>65</v>
      </c>
      <c r="I1211" s="5" t="s">
        <v>53</v>
      </c>
      <c r="J1211" s="5" t="s">
        <v>49</v>
      </c>
      <c r="K1211">
        <v>49</v>
      </c>
      <c r="L1211">
        <v>1228945</v>
      </c>
      <c r="M1211" s="26">
        <v>60218305</v>
      </c>
      <c r="N1211">
        <v>22196</v>
      </c>
      <c r="O1211" s="26">
        <v>6663082.5999999996</v>
      </c>
      <c r="P1211" s="5" t="s">
        <v>50</v>
      </c>
      <c r="Q1211" s="5" t="s">
        <v>43</v>
      </c>
      <c r="R1211">
        <v>4.3</v>
      </c>
      <c r="S1211">
        <v>16</v>
      </c>
      <c r="T1211">
        <f t="shared" si="18"/>
        <v>0</v>
      </c>
    </row>
    <row r="1212" spans="1:20">
      <c r="A1212" s="4">
        <v>44939</v>
      </c>
      <c r="B1212">
        <v>2023</v>
      </c>
      <c r="C1212">
        <v>1</v>
      </c>
      <c r="D1212" s="5" t="s">
        <v>54</v>
      </c>
      <c r="E1212" s="5" t="s">
        <v>70</v>
      </c>
      <c r="F1212" s="5" t="s">
        <v>71</v>
      </c>
      <c r="G1212" s="5" t="s">
        <v>72</v>
      </c>
      <c r="H1212" s="5" t="s">
        <v>65</v>
      </c>
      <c r="I1212" s="5" t="s">
        <v>53</v>
      </c>
      <c r="J1212" s="5" t="s">
        <v>49</v>
      </c>
      <c r="K1212">
        <v>53</v>
      </c>
      <c r="L1212">
        <v>1251768</v>
      </c>
      <c r="M1212" s="26">
        <v>66343704</v>
      </c>
      <c r="N1212">
        <v>23673</v>
      </c>
      <c r="O1212" s="26">
        <v>10425330.42</v>
      </c>
      <c r="P1212" s="5" t="s">
        <v>42</v>
      </c>
      <c r="Q1212" s="5" t="s">
        <v>75</v>
      </c>
      <c r="R1212">
        <v>3.5</v>
      </c>
      <c r="S1212">
        <v>3</v>
      </c>
      <c r="T1212">
        <f t="shared" si="18"/>
        <v>1</v>
      </c>
    </row>
    <row r="1213" spans="1:20">
      <c r="A1213" s="4">
        <v>44942</v>
      </c>
      <c r="B1213">
        <v>2023</v>
      </c>
      <c r="C1213">
        <v>1</v>
      </c>
      <c r="D1213" s="5" t="s">
        <v>54</v>
      </c>
      <c r="E1213" s="5" t="s">
        <v>55</v>
      </c>
      <c r="F1213" s="5" t="s">
        <v>55</v>
      </c>
      <c r="G1213" s="5" t="s">
        <v>56</v>
      </c>
      <c r="H1213" s="5" t="s">
        <v>86</v>
      </c>
      <c r="I1213" s="5" t="s">
        <v>40</v>
      </c>
      <c r="J1213" s="5" t="s">
        <v>41</v>
      </c>
      <c r="K1213">
        <v>58</v>
      </c>
      <c r="L1213">
        <v>571952</v>
      </c>
      <c r="M1213" s="26">
        <v>33173216</v>
      </c>
      <c r="N1213">
        <v>22155</v>
      </c>
      <c r="O1213" s="26">
        <v>3076048.12</v>
      </c>
      <c r="P1213" s="5" t="s">
        <v>42</v>
      </c>
      <c r="Q1213" s="5" t="s">
        <v>51</v>
      </c>
      <c r="R1213">
        <v>4.0999999999999996</v>
      </c>
      <c r="S1213">
        <v>12</v>
      </c>
      <c r="T1213">
        <f t="shared" si="18"/>
        <v>1</v>
      </c>
    </row>
    <row r="1214" spans="1:20">
      <c r="A1214" s="4">
        <v>44948</v>
      </c>
      <c r="B1214">
        <v>2023</v>
      </c>
      <c r="C1214">
        <v>1</v>
      </c>
      <c r="D1214" s="5" t="s">
        <v>66</v>
      </c>
      <c r="E1214" s="5" t="s">
        <v>67</v>
      </c>
      <c r="F1214" s="5" t="s">
        <v>68</v>
      </c>
      <c r="G1214" s="5" t="s">
        <v>69</v>
      </c>
      <c r="H1214" s="5" t="s">
        <v>57</v>
      </c>
      <c r="I1214" s="5" t="s">
        <v>58</v>
      </c>
      <c r="J1214" s="5" t="s">
        <v>59</v>
      </c>
      <c r="K1214">
        <v>18</v>
      </c>
      <c r="L1214">
        <v>1379917</v>
      </c>
      <c r="M1214" s="26">
        <v>24838506</v>
      </c>
      <c r="N1214">
        <v>44290</v>
      </c>
      <c r="O1214" s="26">
        <v>3821130.35</v>
      </c>
      <c r="P1214" s="5" t="s">
        <v>50</v>
      </c>
      <c r="Q1214" s="5" t="s">
        <v>43</v>
      </c>
      <c r="R1214">
        <v>4.5</v>
      </c>
      <c r="S1214">
        <v>18</v>
      </c>
      <c r="T1214">
        <f t="shared" si="18"/>
        <v>0</v>
      </c>
    </row>
    <row r="1215" spans="1:20">
      <c r="A1215" s="4">
        <v>44931</v>
      </c>
      <c r="B1215">
        <v>2023</v>
      </c>
      <c r="C1215">
        <v>1</v>
      </c>
      <c r="D1215" s="5" t="s">
        <v>66</v>
      </c>
      <c r="E1215" s="5" t="s">
        <v>67</v>
      </c>
      <c r="F1215" s="5" t="s">
        <v>68</v>
      </c>
      <c r="G1215" s="5" t="s">
        <v>69</v>
      </c>
      <c r="H1215" s="5" t="s">
        <v>80</v>
      </c>
      <c r="I1215" s="5" t="s">
        <v>81</v>
      </c>
      <c r="J1215" s="5" t="s">
        <v>41</v>
      </c>
      <c r="K1215">
        <v>46</v>
      </c>
      <c r="L1215">
        <v>535105</v>
      </c>
      <c r="M1215" s="26">
        <v>24614830</v>
      </c>
      <c r="N1215">
        <v>20472</v>
      </c>
      <c r="O1215" s="26">
        <v>2386444.39</v>
      </c>
      <c r="P1215" s="5" t="s">
        <v>42</v>
      </c>
      <c r="Q1215" s="5" t="s">
        <v>75</v>
      </c>
      <c r="R1215">
        <v>4.5</v>
      </c>
      <c r="S1215">
        <v>12</v>
      </c>
      <c r="T1215">
        <f t="shared" si="18"/>
        <v>1</v>
      </c>
    </row>
    <row r="1216" spans="1:20">
      <c r="A1216" s="4">
        <v>44936</v>
      </c>
      <c r="B1216">
        <v>2023</v>
      </c>
      <c r="C1216">
        <v>1</v>
      </c>
      <c r="D1216" s="5" t="s">
        <v>54</v>
      </c>
      <c r="E1216" s="5" t="s">
        <v>55</v>
      </c>
      <c r="F1216" s="5" t="s">
        <v>55</v>
      </c>
      <c r="G1216" s="5" t="s">
        <v>56</v>
      </c>
      <c r="H1216" s="5" t="s">
        <v>86</v>
      </c>
      <c r="I1216" s="5" t="s">
        <v>40</v>
      </c>
      <c r="J1216" s="5" t="s">
        <v>41</v>
      </c>
      <c r="K1216">
        <v>10</v>
      </c>
      <c r="L1216">
        <v>581590</v>
      </c>
      <c r="M1216" s="26">
        <v>5815900</v>
      </c>
      <c r="N1216">
        <v>48478</v>
      </c>
      <c r="O1216" s="26">
        <v>467623.66</v>
      </c>
      <c r="P1216" s="5" t="s">
        <v>50</v>
      </c>
      <c r="Q1216" s="5" t="s">
        <v>51</v>
      </c>
      <c r="R1216">
        <v>4.2</v>
      </c>
      <c r="S1216">
        <v>8</v>
      </c>
      <c r="T1216">
        <f t="shared" si="18"/>
        <v>0</v>
      </c>
    </row>
    <row r="1217" spans="1:20">
      <c r="A1217" s="4">
        <v>44946</v>
      </c>
      <c r="B1217">
        <v>2023</v>
      </c>
      <c r="C1217">
        <v>1</v>
      </c>
      <c r="D1217" s="5" t="s">
        <v>35</v>
      </c>
      <c r="E1217" s="5" t="s">
        <v>76</v>
      </c>
      <c r="F1217" s="5" t="s">
        <v>77</v>
      </c>
      <c r="G1217" s="5" t="s">
        <v>78</v>
      </c>
      <c r="H1217" s="5" t="s">
        <v>48</v>
      </c>
      <c r="I1217" s="5" t="s">
        <v>40</v>
      </c>
      <c r="J1217" s="5" t="s">
        <v>49</v>
      </c>
      <c r="K1217">
        <v>58</v>
      </c>
      <c r="L1217">
        <v>464908</v>
      </c>
      <c r="M1217" s="26">
        <v>26964664</v>
      </c>
      <c r="N1217">
        <v>6650</v>
      </c>
      <c r="O1217" s="26">
        <v>3262490.45</v>
      </c>
      <c r="P1217" s="5" t="s">
        <v>42</v>
      </c>
      <c r="Q1217" s="5" t="s">
        <v>51</v>
      </c>
      <c r="R1217">
        <v>4.5999999999999996</v>
      </c>
      <c r="S1217">
        <v>21</v>
      </c>
      <c r="T1217">
        <f t="shared" si="18"/>
        <v>1</v>
      </c>
    </row>
    <row r="1218" spans="1:20">
      <c r="A1218" s="4">
        <v>44940</v>
      </c>
      <c r="B1218">
        <v>2023</v>
      </c>
      <c r="C1218">
        <v>1</v>
      </c>
      <c r="D1218" s="5" t="s">
        <v>35</v>
      </c>
      <c r="E1218" s="5" t="s">
        <v>76</v>
      </c>
      <c r="F1218" s="5" t="s">
        <v>77</v>
      </c>
      <c r="G1218" s="5" t="s">
        <v>78</v>
      </c>
      <c r="H1218" s="5" t="s">
        <v>73</v>
      </c>
      <c r="I1218" s="5" t="s">
        <v>40</v>
      </c>
      <c r="J1218" s="5" t="s">
        <v>49</v>
      </c>
      <c r="K1218">
        <v>56</v>
      </c>
      <c r="L1218">
        <v>711506</v>
      </c>
      <c r="M1218" s="26">
        <v>39844336</v>
      </c>
      <c r="N1218">
        <v>5561</v>
      </c>
      <c r="O1218" s="26">
        <v>5885038.7400000002</v>
      </c>
      <c r="P1218" s="5" t="s">
        <v>50</v>
      </c>
      <c r="Q1218" s="5" t="s">
        <v>75</v>
      </c>
      <c r="R1218">
        <v>4.2</v>
      </c>
      <c r="S1218">
        <v>7</v>
      </c>
      <c r="T1218">
        <f t="shared" ref="T1218:T1281" si="19">IF(AND(OR($B1218=Sel_Year,Sel_Year="All"),OR($C1218=Sel_Month,Sel_Month="All"),OR($D1218=Sel_Region,Sel_Region="All"),OR($E1218=Sel_State,Sel_State="All"),OR($F1218=Sel_City,Sel_City="All"),OR($G1218=Sel_Dealer,Sel_Dealer="All"),OR($H1218=Sel_Model,Sel_Model="All"),OR($I1218=Sel_Segment,Sel_Segment="All"),OR($J1218=Sel_Fuel,Sel_Fuel="All"),OR($P1218=Sel_CustType,Sel_CustType="All"),OR($Q1218=Sel_Payment,Sel_Payment="All")),1,0)</f>
        <v>0</v>
      </c>
    </row>
    <row r="1219" spans="1:20">
      <c r="A1219" s="4">
        <v>44934</v>
      </c>
      <c r="B1219">
        <v>2023</v>
      </c>
      <c r="C1219">
        <v>1</v>
      </c>
      <c r="D1219" s="5" t="s">
        <v>35</v>
      </c>
      <c r="E1219" s="5" t="s">
        <v>36</v>
      </c>
      <c r="F1219" s="5" t="s">
        <v>37</v>
      </c>
      <c r="G1219" s="5" t="s">
        <v>38</v>
      </c>
      <c r="H1219" s="5" t="s">
        <v>57</v>
      </c>
      <c r="I1219" s="5" t="s">
        <v>58</v>
      </c>
      <c r="J1219" s="5" t="s">
        <v>59</v>
      </c>
      <c r="K1219">
        <v>15</v>
      </c>
      <c r="L1219">
        <v>1399780</v>
      </c>
      <c r="M1219" s="26">
        <v>20996700</v>
      </c>
      <c r="N1219">
        <v>28335</v>
      </c>
      <c r="O1219" s="26">
        <v>3087205.39</v>
      </c>
      <c r="P1219" s="5" t="s">
        <v>42</v>
      </c>
      <c r="Q1219" s="5" t="s">
        <v>51</v>
      </c>
      <c r="R1219">
        <v>4.9000000000000004</v>
      </c>
      <c r="S1219">
        <v>15</v>
      </c>
      <c r="T1219">
        <f t="shared" si="19"/>
        <v>1</v>
      </c>
    </row>
    <row r="1220" spans="1:20">
      <c r="A1220" s="4">
        <v>44940</v>
      </c>
      <c r="B1220">
        <v>2023</v>
      </c>
      <c r="C1220">
        <v>1</v>
      </c>
      <c r="D1220" s="5" t="s">
        <v>66</v>
      </c>
      <c r="E1220" s="5" t="s">
        <v>67</v>
      </c>
      <c r="F1220" s="5" t="s">
        <v>68</v>
      </c>
      <c r="G1220" s="5" t="s">
        <v>69</v>
      </c>
      <c r="H1220" s="5" t="s">
        <v>48</v>
      </c>
      <c r="I1220" s="5" t="s">
        <v>40</v>
      </c>
      <c r="J1220" s="5" t="s">
        <v>49</v>
      </c>
      <c r="K1220">
        <v>47</v>
      </c>
      <c r="L1220">
        <v>420323</v>
      </c>
      <c r="M1220" s="26">
        <v>19755181</v>
      </c>
      <c r="N1220">
        <v>31607</v>
      </c>
      <c r="O1220" s="26">
        <v>3070944.3</v>
      </c>
      <c r="P1220" s="5" t="s">
        <v>42</v>
      </c>
      <c r="Q1220" s="5" t="s">
        <v>43</v>
      </c>
      <c r="R1220">
        <v>4.4000000000000004</v>
      </c>
      <c r="S1220">
        <v>11</v>
      </c>
      <c r="T1220">
        <f t="shared" si="19"/>
        <v>1</v>
      </c>
    </row>
    <row r="1221" spans="1:20">
      <c r="A1221" s="4">
        <v>44937</v>
      </c>
      <c r="B1221">
        <v>2023</v>
      </c>
      <c r="C1221">
        <v>1</v>
      </c>
      <c r="D1221" s="5" t="s">
        <v>66</v>
      </c>
      <c r="E1221" s="5" t="s">
        <v>67</v>
      </c>
      <c r="F1221" s="5" t="s">
        <v>68</v>
      </c>
      <c r="G1221" s="5" t="s">
        <v>69</v>
      </c>
      <c r="H1221" s="5" t="s">
        <v>48</v>
      </c>
      <c r="I1221" s="5" t="s">
        <v>40</v>
      </c>
      <c r="J1221" s="5" t="s">
        <v>49</v>
      </c>
      <c r="K1221">
        <v>51</v>
      </c>
      <c r="L1221">
        <v>459477</v>
      </c>
      <c r="M1221" s="26">
        <v>23433327</v>
      </c>
      <c r="N1221">
        <v>42871</v>
      </c>
      <c r="O1221" s="26">
        <v>3079167.13</v>
      </c>
      <c r="P1221" s="5" t="s">
        <v>50</v>
      </c>
      <c r="Q1221" s="5" t="s">
        <v>75</v>
      </c>
      <c r="R1221">
        <v>3.7</v>
      </c>
      <c r="S1221">
        <v>18</v>
      </c>
      <c r="T1221">
        <f t="shared" si="19"/>
        <v>0</v>
      </c>
    </row>
    <row r="1222" spans="1:20">
      <c r="A1222" s="4">
        <v>44953</v>
      </c>
      <c r="B1222">
        <v>2023</v>
      </c>
      <c r="C1222">
        <v>1</v>
      </c>
      <c r="D1222" s="5" t="s">
        <v>35</v>
      </c>
      <c r="E1222" s="5" t="s">
        <v>36</v>
      </c>
      <c r="F1222" s="5" t="s">
        <v>37</v>
      </c>
      <c r="G1222" s="5" t="s">
        <v>38</v>
      </c>
      <c r="H1222" s="5" t="s">
        <v>73</v>
      </c>
      <c r="I1222" s="5" t="s">
        <v>40</v>
      </c>
      <c r="J1222" s="5" t="s">
        <v>49</v>
      </c>
      <c r="K1222">
        <v>53</v>
      </c>
      <c r="L1222">
        <v>719475</v>
      </c>
      <c r="M1222" s="26">
        <v>38132175</v>
      </c>
      <c r="N1222">
        <v>37596</v>
      </c>
      <c r="O1222" s="26">
        <v>4291437.18</v>
      </c>
      <c r="P1222" s="5" t="s">
        <v>50</v>
      </c>
      <c r="Q1222" s="5" t="s">
        <v>51</v>
      </c>
      <c r="R1222">
        <v>4.3</v>
      </c>
      <c r="S1222">
        <v>17</v>
      </c>
      <c r="T1222">
        <f t="shared" si="19"/>
        <v>0</v>
      </c>
    </row>
    <row r="1223" spans="1:20">
      <c r="A1223" s="4">
        <v>44942</v>
      </c>
      <c r="B1223">
        <v>2023</v>
      </c>
      <c r="C1223">
        <v>1</v>
      </c>
      <c r="D1223" s="5" t="s">
        <v>66</v>
      </c>
      <c r="E1223" s="5" t="s">
        <v>67</v>
      </c>
      <c r="F1223" s="5" t="s">
        <v>68</v>
      </c>
      <c r="G1223" s="5" t="s">
        <v>69</v>
      </c>
      <c r="H1223" s="5" t="s">
        <v>57</v>
      </c>
      <c r="I1223" s="5" t="s">
        <v>58</v>
      </c>
      <c r="J1223" s="5" t="s">
        <v>59</v>
      </c>
      <c r="K1223">
        <v>29</v>
      </c>
      <c r="L1223">
        <v>1393766</v>
      </c>
      <c r="M1223" s="26">
        <v>40419214</v>
      </c>
      <c r="N1223">
        <v>25296</v>
      </c>
      <c r="O1223" s="26">
        <v>4203872.93</v>
      </c>
      <c r="P1223" s="5" t="s">
        <v>42</v>
      </c>
      <c r="Q1223" s="5" t="s">
        <v>43</v>
      </c>
      <c r="R1223">
        <v>3.9</v>
      </c>
      <c r="S1223">
        <v>9</v>
      </c>
      <c r="T1223">
        <f t="shared" si="19"/>
        <v>1</v>
      </c>
    </row>
    <row r="1224" spans="1:20">
      <c r="A1224" s="4">
        <v>44936</v>
      </c>
      <c r="B1224">
        <v>2023</v>
      </c>
      <c r="C1224">
        <v>1</v>
      </c>
      <c r="D1224" s="5" t="s">
        <v>54</v>
      </c>
      <c r="E1224" s="5" t="s">
        <v>70</v>
      </c>
      <c r="F1224" s="5" t="s">
        <v>71</v>
      </c>
      <c r="G1224" s="5" t="s">
        <v>72</v>
      </c>
      <c r="H1224" s="5" t="s">
        <v>85</v>
      </c>
      <c r="I1224" s="5" t="s">
        <v>58</v>
      </c>
      <c r="J1224" s="5" t="s">
        <v>49</v>
      </c>
      <c r="K1224">
        <v>47</v>
      </c>
      <c r="L1224">
        <v>984232</v>
      </c>
      <c r="M1224" s="26">
        <v>46258904</v>
      </c>
      <c r="N1224">
        <v>40201</v>
      </c>
      <c r="O1224" s="26">
        <v>5761013.0800000001</v>
      </c>
      <c r="P1224" s="5" t="s">
        <v>50</v>
      </c>
      <c r="Q1224" s="5" t="s">
        <v>51</v>
      </c>
      <c r="R1224">
        <v>3.6</v>
      </c>
      <c r="S1224">
        <v>14</v>
      </c>
      <c r="T1224">
        <f t="shared" si="19"/>
        <v>0</v>
      </c>
    </row>
    <row r="1225" spans="1:20">
      <c r="A1225" s="4">
        <v>44941</v>
      </c>
      <c r="B1225">
        <v>2023</v>
      </c>
      <c r="C1225">
        <v>1</v>
      </c>
      <c r="D1225" s="5" t="s">
        <v>35</v>
      </c>
      <c r="E1225" s="5" t="s">
        <v>60</v>
      </c>
      <c r="F1225" s="5" t="s">
        <v>61</v>
      </c>
      <c r="G1225" s="5" t="s">
        <v>62</v>
      </c>
      <c r="H1225" s="5" t="s">
        <v>73</v>
      </c>
      <c r="I1225" s="5" t="s">
        <v>40</v>
      </c>
      <c r="J1225" s="5" t="s">
        <v>49</v>
      </c>
      <c r="K1225">
        <v>56</v>
      </c>
      <c r="L1225">
        <v>694799</v>
      </c>
      <c r="M1225" s="26">
        <v>38908744</v>
      </c>
      <c r="N1225">
        <v>13097</v>
      </c>
      <c r="O1225" s="26">
        <v>6117873.79</v>
      </c>
      <c r="P1225" s="5" t="s">
        <v>42</v>
      </c>
      <c r="Q1225" s="5" t="s">
        <v>43</v>
      </c>
      <c r="R1225">
        <v>4.0999999999999996</v>
      </c>
      <c r="S1225">
        <v>13</v>
      </c>
      <c r="T1225">
        <f t="shared" si="19"/>
        <v>1</v>
      </c>
    </row>
    <row r="1226" spans="1:20">
      <c r="A1226" s="4">
        <v>44954</v>
      </c>
      <c r="B1226">
        <v>2023</v>
      </c>
      <c r="C1226">
        <v>1</v>
      </c>
      <c r="D1226" s="5" t="s">
        <v>35</v>
      </c>
      <c r="E1226" s="5" t="s">
        <v>76</v>
      </c>
      <c r="F1226" s="5" t="s">
        <v>77</v>
      </c>
      <c r="G1226" s="5" t="s">
        <v>78</v>
      </c>
      <c r="H1226" s="5" t="s">
        <v>48</v>
      </c>
      <c r="I1226" s="5" t="s">
        <v>40</v>
      </c>
      <c r="J1226" s="5" t="s">
        <v>49</v>
      </c>
      <c r="K1226">
        <v>9</v>
      </c>
      <c r="L1226">
        <v>425206</v>
      </c>
      <c r="M1226" s="26">
        <v>3826854</v>
      </c>
      <c r="N1226">
        <v>34680</v>
      </c>
      <c r="O1226" s="26">
        <v>417808.47</v>
      </c>
      <c r="P1226" s="5" t="s">
        <v>42</v>
      </c>
      <c r="Q1226" s="5" t="s">
        <v>51</v>
      </c>
      <c r="R1226">
        <v>4</v>
      </c>
      <c r="S1226">
        <v>5</v>
      </c>
      <c r="T1226">
        <f t="shared" si="19"/>
        <v>1</v>
      </c>
    </row>
    <row r="1227" spans="1:20">
      <c r="A1227" s="4">
        <v>44942</v>
      </c>
      <c r="B1227">
        <v>2023</v>
      </c>
      <c r="C1227">
        <v>1</v>
      </c>
      <c r="D1227" s="5" t="s">
        <v>66</v>
      </c>
      <c r="E1227" s="5" t="s">
        <v>67</v>
      </c>
      <c r="F1227" s="5" t="s">
        <v>68</v>
      </c>
      <c r="G1227" s="5" t="s">
        <v>69</v>
      </c>
      <c r="H1227" s="5" t="s">
        <v>74</v>
      </c>
      <c r="I1227" s="5" t="s">
        <v>40</v>
      </c>
      <c r="J1227" s="5" t="s">
        <v>49</v>
      </c>
      <c r="K1227">
        <v>59</v>
      </c>
      <c r="L1227">
        <v>634306</v>
      </c>
      <c r="M1227" s="26">
        <v>37424054</v>
      </c>
      <c r="N1227">
        <v>49583</v>
      </c>
      <c r="O1227" s="26">
        <v>4382483.3</v>
      </c>
      <c r="P1227" s="5" t="s">
        <v>50</v>
      </c>
      <c r="Q1227" s="5" t="s">
        <v>43</v>
      </c>
      <c r="R1227">
        <v>4</v>
      </c>
      <c r="S1227">
        <v>9</v>
      </c>
      <c r="T1227">
        <f t="shared" si="19"/>
        <v>0</v>
      </c>
    </row>
    <row r="1228" spans="1:20">
      <c r="A1228" s="4">
        <v>44928</v>
      </c>
      <c r="B1228">
        <v>2023</v>
      </c>
      <c r="C1228">
        <v>1</v>
      </c>
      <c r="D1228" s="5" t="s">
        <v>44</v>
      </c>
      <c r="E1228" s="5" t="s">
        <v>45</v>
      </c>
      <c r="F1228" s="5" t="s">
        <v>46</v>
      </c>
      <c r="G1228" s="5" t="s">
        <v>47</v>
      </c>
      <c r="H1228" s="5" t="s">
        <v>48</v>
      </c>
      <c r="I1228" s="5" t="s">
        <v>40</v>
      </c>
      <c r="J1228" s="5" t="s">
        <v>49</v>
      </c>
      <c r="K1228">
        <v>14</v>
      </c>
      <c r="L1228">
        <v>448573</v>
      </c>
      <c r="M1228" s="26">
        <v>6280022</v>
      </c>
      <c r="N1228">
        <v>8487</v>
      </c>
      <c r="O1228" s="26">
        <v>524853.67000000004</v>
      </c>
      <c r="P1228" s="5" t="s">
        <v>50</v>
      </c>
      <c r="Q1228" s="5" t="s">
        <v>43</v>
      </c>
      <c r="R1228">
        <v>4.5</v>
      </c>
      <c r="S1228">
        <v>5</v>
      </c>
      <c r="T1228">
        <f t="shared" si="19"/>
        <v>0</v>
      </c>
    </row>
    <row r="1229" spans="1:20">
      <c r="A1229" s="4">
        <v>44946</v>
      </c>
      <c r="B1229">
        <v>2023</v>
      </c>
      <c r="C1229">
        <v>1</v>
      </c>
      <c r="D1229" s="5" t="s">
        <v>35</v>
      </c>
      <c r="E1229" s="5" t="s">
        <v>76</v>
      </c>
      <c r="F1229" s="5" t="s">
        <v>77</v>
      </c>
      <c r="G1229" s="5" t="s">
        <v>78</v>
      </c>
      <c r="H1229" s="5" t="s">
        <v>73</v>
      </c>
      <c r="I1229" s="5" t="s">
        <v>40</v>
      </c>
      <c r="J1229" s="5" t="s">
        <v>49</v>
      </c>
      <c r="K1229">
        <v>55</v>
      </c>
      <c r="L1229">
        <v>707065</v>
      </c>
      <c r="M1229" s="26">
        <v>38888575</v>
      </c>
      <c r="N1229">
        <v>42725</v>
      </c>
      <c r="O1229" s="26">
        <v>3163053.05</v>
      </c>
      <c r="P1229" s="5" t="s">
        <v>50</v>
      </c>
      <c r="Q1229" s="5" t="s">
        <v>43</v>
      </c>
      <c r="R1229">
        <v>4.4000000000000004</v>
      </c>
      <c r="S1229">
        <v>7</v>
      </c>
      <c r="T1229">
        <f t="shared" si="19"/>
        <v>0</v>
      </c>
    </row>
    <row r="1230" spans="1:20">
      <c r="A1230" s="4">
        <v>44933</v>
      </c>
      <c r="B1230">
        <v>2023</v>
      </c>
      <c r="C1230">
        <v>1</v>
      </c>
      <c r="D1230" s="5" t="s">
        <v>35</v>
      </c>
      <c r="E1230" s="5" t="s">
        <v>60</v>
      </c>
      <c r="F1230" s="5" t="s">
        <v>61</v>
      </c>
      <c r="G1230" s="5" t="s">
        <v>62</v>
      </c>
      <c r="H1230" s="5" t="s">
        <v>86</v>
      </c>
      <c r="I1230" s="5" t="s">
        <v>40</v>
      </c>
      <c r="J1230" s="5" t="s">
        <v>41</v>
      </c>
      <c r="K1230">
        <v>16</v>
      </c>
      <c r="L1230">
        <v>618342</v>
      </c>
      <c r="M1230" s="26">
        <v>9893472</v>
      </c>
      <c r="N1230">
        <v>44219</v>
      </c>
      <c r="O1230" s="26">
        <v>1289530.21</v>
      </c>
      <c r="P1230" s="5" t="s">
        <v>50</v>
      </c>
      <c r="Q1230" s="5" t="s">
        <v>43</v>
      </c>
      <c r="R1230">
        <v>4.3</v>
      </c>
      <c r="S1230">
        <v>21</v>
      </c>
      <c r="T1230">
        <f t="shared" si="19"/>
        <v>0</v>
      </c>
    </row>
    <row r="1231" spans="1:20">
      <c r="A1231" s="4">
        <v>44935</v>
      </c>
      <c r="B1231">
        <v>2023</v>
      </c>
      <c r="C1231">
        <v>1</v>
      </c>
      <c r="D1231" s="5" t="s">
        <v>44</v>
      </c>
      <c r="E1231" s="5" t="s">
        <v>45</v>
      </c>
      <c r="F1231" s="5" t="s">
        <v>46</v>
      </c>
      <c r="G1231" s="5" t="s">
        <v>47</v>
      </c>
      <c r="H1231" s="5" t="s">
        <v>73</v>
      </c>
      <c r="I1231" s="5" t="s">
        <v>40</v>
      </c>
      <c r="J1231" s="5" t="s">
        <v>49</v>
      </c>
      <c r="K1231">
        <v>47</v>
      </c>
      <c r="L1231">
        <v>698444</v>
      </c>
      <c r="M1231" s="26">
        <v>32826868</v>
      </c>
      <c r="N1231">
        <v>36377</v>
      </c>
      <c r="O1231" s="26">
        <v>5035073.28</v>
      </c>
      <c r="P1231" s="5" t="s">
        <v>50</v>
      </c>
      <c r="Q1231" s="5" t="s">
        <v>43</v>
      </c>
      <c r="R1231">
        <v>3.8</v>
      </c>
      <c r="S1231">
        <v>21</v>
      </c>
      <c r="T1231">
        <f t="shared" si="19"/>
        <v>0</v>
      </c>
    </row>
    <row r="1232" spans="1:20">
      <c r="A1232" s="4">
        <v>44944</v>
      </c>
      <c r="B1232">
        <v>2023</v>
      </c>
      <c r="C1232">
        <v>1</v>
      </c>
      <c r="D1232" s="5" t="s">
        <v>35</v>
      </c>
      <c r="E1232" s="5" t="s">
        <v>36</v>
      </c>
      <c r="F1232" s="5" t="s">
        <v>37</v>
      </c>
      <c r="G1232" s="5" t="s">
        <v>38</v>
      </c>
      <c r="H1232" s="5" t="s">
        <v>57</v>
      </c>
      <c r="I1232" s="5" t="s">
        <v>58</v>
      </c>
      <c r="J1232" s="5" t="s">
        <v>59</v>
      </c>
      <c r="K1232">
        <v>40</v>
      </c>
      <c r="L1232">
        <v>1403391</v>
      </c>
      <c r="M1232" s="26">
        <v>56135640</v>
      </c>
      <c r="N1232">
        <v>15622</v>
      </c>
      <c r="O1232" s="26">
        <v>6575231.0199999996</v>
      </c>
      <c r="P1232" s="5" t="s">
        <v>42</v>
      </c>
      <c r="Q1232" s="5" t="s">
        <v>51</v>
      </c>
      <c r="R1232">
        <v>4.0999999999999996</v>
      </c>
      <c r="S1232">
        <v>20</v>
      </c>
      <c r="T1232">
        <f t="shared" si="19"/>
        <v>1</v>
      </c>
    </row>
    <row r="1233" spans="1:20">
      <c r="A1233" s="4">
        <v>44928</v>
      </c>
      <c r="B1233">
        <v>2023</v>
      </c>
      <c r="C1233">
        <v>1</v>
      </c>
      <c r="D1233" s="5" t="s">
        <v>35</v>
      </c>
      <c r="E1233" s="5" t="s">
        <v>76</v>
      </c>
      <c r="F1233" s="5" t="s">
        <v>77</v>
      </c>
      <c r="G1233" s="5" t="s">
        <v>78</v>
      </c>
      <c r="H1233" s="5" t="s">
        <v>74</v>
      </c>
      <c r="I1233" s="5" t="s">
        <v>40</v>
      </c>
      <c r="J1233" s="5" t="s">
        <v>49</v>
      </c>
      <c r="K1233">
        <v>23</v>
      </c>
      <c r="L1233">
        <v>657248</v>
      </c>
      <c r="M1233" s="26">
        <v>15116704</v>
      </c>
      <c r="N1233">
        <v>49212</v>
      </c>
      <c r="O1233" s="26">
        <v>1250024.57</v>
      </c>
      <c r="P1233" s="5" t="s">
        <v>50</v>
      </c>
      <c r="Q1233" s="5" t="s">
        <v>43</v>
      </c>
      <c r="R1233">
        <v>4.2</v>
      </c>
      <c r="S1233">
        <v>18</v>
      </c>
      <c r="T1233">
        <f t="shared" si="19"/>
        <v>0</v>
      </c>
    </row>
    <row r="1234" spans="1:20">
      <c r="A1234" s="4">
        <v>44931</v>
      </c>
      <c r="B1234">
        <v>2023</v>
      </c>
      <c r="C1234">
        <v>1</v>
      </c>
      <c r="D1234" s="5" t="s">
        <v>35</v>
      </c>
      <c r="E1234" s="5" t="s">
        <v>76</v>
      </c>
      <c r="F1234" s="5" t="s">
        <v>77</v>
      </c>
      <c r="G1234" s="5" t="s">
        <v>78</v>
      </c>
      <c r="H1234" s="5" t="s">
        <v>65</v>
      </c>
      <c r="I1234" s="5" t="s">
        <v>53</v>
      </c>
      <c r="J1234" s="5" t="s">
        <v>49</v>
      </c>
      <c r="K1234">
        <v>40</v>
      </c>
      <c r="L1234">
        <v>1276648</v>
      </c>
      <c r="M1234" s="26">
        <v>51065920</v>
      </c>
      <c r="N1234">
        <v>35629</v>
      </c>
      <c r="O1234" s="26">
        <v>4893546.71</v>
      </c>
      <c r="P1234" s="5" t="s">
        <v>50</v>
      </c>
      <c r="Q1234" s="5" t="s">
        <v>51</v>
      </c>
      <c r="R1234">
        <v>3.9</v>
      </c>
      <c r="S1234">
        <v>2</v>
      </c>
      <c r="T1234">
        <f t="shared" si="19"/>
        <v>0</v>
      </c>
    </row>
    <row r="1235" spans="1:20">
      <c r="A1235" s="4">
        <v>44943</v>
      </c>
      <c r="B1235">
        <v>2023</v>
      </c>
      <c r="C1235">
        <v>1</v>
      </c>
      <c r="D1235" s="5" t="s">
        <v>54</v>
      </c>
      <c r="E1235" s="5" t="s">
        <v>70</v>
      </c>
      <c r="F1235" s="5" t="s">
        <v>71</v>
      </c>
      <c r="G1235" s="5" t="s">
        <v>72</v>
      </c>
      <c r="H1235" s="5" t="s">
        <v>52</v>
      </c>
      <c r="I1235" s="5" t="s">
        <v>53</v>
      </c>
      <c r="J1235" s="5" t="s">
        <v>41</v>
      </c>
      <c r="K1235">
        <v>48</v>
      </c>
      <c r="L1235">
        <v>967937</v>
      </c>
      <c r="M1235" s="26">
        <v>46460976</v>
      </c>
      <c r="N1235">
        <v>23602</v>
      </c>
      <c r="O1235" s="26">
        <v>6909110.54</v>
      </c>
      <c r="P1235" s="5" t="s">
        <v>50</v>
      </c>
      <c r="Q1235" s="5" t="s">
        <v>43</v>
      </c>
      <c r="R1235">
        <v>3.5</v>
      </c>
      <c r="S1235">
        <v>14</v>
      </c>
      <c r="T1235">
        <f t="shared" si="19"/>
        <v>0</v>
      </c>
    </row>
    <row r="1236" spans="1:20">
      <c r="A1236" s="4">
        <v>44945</v>
      </c>
      <c r="B1236">
        <v>2023</v>
      </c>
      <c r="C1236">
        <v>1</v>
      </c>
      <c r="D1236" s="5" t="s">
        <v>35</v>
      </c>
      <c r="E1236" s="5" t="s">
        <v>60</v>
      </c>
      <c r="F1236" s="5" t="s">
        <v>61</v>
      </c>
      <c r="G1236" s="5" t="s">
        <v>62</v>
      </c>
      <c r="H1236" s="5" t="s">
        <v>86</v>
      </c>
      <c r="I1236" s="5" t="s">
        <v>40</v>
      </c>
      <c r="J1236" s="5" t="s">
        <v>41</v>
      </c>
      <c r="K1236">
        <v>48</v>
      </c>
      <c r="L1236">
        <v>610479</v>
      </c>
      <c r="M1236" s="26">
        <v>29302992</v>
      </c>
      <c r="N1236">
        <v>44563</v>
      </c>
      <c r="O1236" s="26">
        <v>3233382.92</v>
      </c>
      <c r="P1236" s="5" t="s">
        <v>50</v>
      </c>
      <c r="Q1236" s="5" t="s">
        <v>51</v>
      </c>
      <c r="R1236">
        <v>5</v>
      </c>
      <c r="S1236">
        <v>8</v>
      </c>
      <c r="T1236">
        <f t="shared" si="19"/>
        <v>0</v>
      </c>
    </row>
    <row r="1237" spans="1:20">
      <c r="A1237" s="4">
        <v>44932</v>
      </c>
      <c r="B1237">
        <v>2023</v>
      </c>
      <c r="C1237">
        <v>1</v>
      </c>
      <c r="D1237" s="5" t="s">
        <v>35</v>
      </c>
      <c r="E1237" s="5" t="s">
        <v>36</v>
      </c>
      <c r="F1237" s="5" t="s">
        <v>37</v>
      </c>
      <c r="G1237" s="5" t="s">
        <v>38</v>
      </c>
      <c r="H1237" s="5" t="s">
        <v>48</v>
      </c>
      <c r="I1237" s="5" t="s">
        <v>40</v>
      </c>
      <c r="J1237" s="5" t="s">
        <v>49</v>
      </c>
      <c r="K1237">
        <v>46</v>
      </c>
      <c r="L1237">
        <v>423549</v>
      </c>
      <c r="M1237" s="26">
        <v>19483254</v>
      </c>
      <c r="N1237">
        <v>28964</v>
      </c>
      <c r="O1237" s="26">
        <v>2167014.6800000002</v>
      </c>
      <c r="P1237" s="5" t="s">
        <v>42</v>
      </c>
      <c r="Q1237" s="5" t="s">
        <v>51</v>
      </c>
      <c r="R1237">
        <v>3.7</v>
      </c>
      <c r="S1237">
        <v>18</v>
      </c>
      <c r="T1237">
        <f t="shared" si="19"/>
        <v>1</v>
      </c>
    </row>
    <row r="1238" spans="1:20">
      <c r="A1238" s="4">
        <v>44947</v>
      </c>
      <c r="B1238">
        <v>2023</v>
      </c>
      <c r="C1238">
        <v>1</v>
      </c>
      <c r="D1238" s="5" t="s">
        <v>35</v>
      </c>
      <c r="E1238" s="5" t="s">
        <v>36</v>
      </c>
      <c r="F1238" s="5" t="s">
        <v>37</v>
      </c>
      <c r="G1238" s="5" t="s">
        <v>38</v>
      </c>
      <c r="H1238" s="5" t="s">
        <v>48</v>
      </c>
      <c r="I1238" s="5" t="s">
        <v>40</v>
      </c>
      <c r="J1238" s="5" t="s">
        <v>49</v>
      </c>
      <c r="K1238">
        <v>50</v>
      </c>
      <c r="L1238">
        <v>479126</v>
      </c>
      <c r="M1238" s="26">
        <v>23956300</v>
      </c>
      <c r="N1238">
        <v>12606</v>
      </c>
      <c r="O1238" s="26">
        <v>3100704.29</v>
      </c>
      <c r="P1238" s="5" t="s">
        <v>50</v>
      </c>
      <c r="Q1238" s="5" t="s">
        <v>75</v>
      </c>
      <c r="R1238">
        <v>4.4000000000000004</v>
      </c>
      <c r="S1238">
        <v>2</v>
      </c>
      <c r="T1238">
        <f t="shared" si="19"/>
        <v>0</v>
      </c>
    </row>
    <row r="1239" spans="1:20">
      <c r="A1239" s="4">
        <v>44945</v>
      </c>
      <c r="B1239">
        <v>2023</v>
      </c>
      <c r="C1239">
        <v>1</v>
      </c>
      <c r="D1239" s="5" t="s">
        <v>54</v>
      </c>
      <c r="E1239" s="5" t="s">
        <v>70</v>
      </c>
      <c r="F1239" s="5" t="s">
        <v>71</v>
      </c>
      <c r="G1239" s="5" t="s">
        <v>72</v>
      </c>
      <c r="H1239" s="5" t="s">
        <v>80</v>
      </c>
      <c r="I1239" s="5" t="s">
        <v>81</v>
      </c>
      <c r="J1239" s="5" t="s">
        <v>41</v>
      </c>
      <c r="K1239">
        <v>10</v>
      </c>
      <c r="L1239">
        <v>540569</v>
      </c>
      <c r="M1239" s="26">
        <v>5405690</v>
      </c>
      <c r="N1239">
        <v>32508</v>
      </c>
      <c r="O1239" s="26">
        <v>779760.56</v>
      </c>
      <c r="P1239" s="5" t="s">
        <v>42</v>
      </c>
      <c r="Q1239" s="5" t="s">
        <v>43</v>
      </c>
      <c r="R1239">
        <v>4.8</v>
      </c>
      <c r="S1239">
        <v>10</v>
      </c>
      <c r="T1239">
        <f t="shared" si="19"/>
        <v>1</v>
      </c>
    </row>
    <row r="1240" spans="1:20">
      <c r="A1240" s="4">
        <v>44943</v>
      </c>
      <c r="B1240">
        <v>2023</v>
      </c>
      <c r="C1240">
        <v>1</v>
      </c>
      <c r="D1240" s="5" t="s">
        <v>44</v>
      </c>
      <c r="E1240" s="5" t="s">
        <v>45</v>
      </c>
      <c r="F1240" s="5" t="s">
        <v>46</v>
      </c>
      <c r="G1240" s="5" t="s">
        <v>47</v>
      </c>
      <c r="H1240" s="5" t="s">
        <v>80</v>
      </c>
      <c r="I1240" s="5" t="s">
        <v>81</v>
      </c>
      <c r="J1240" s="5" t="s">
        <v>41</v>
      </c>
      <c r="K1240">
        <v>23</v>
      </c>
      <c r="L1240">
        <v>551044</v>
      </c>
      <c r="M1240" s="26">
        <v>12674012</v>
      </c>
      <c r="N1240">
        <v>48730</v>
      </c>
      <c r="O1240" s="26">
        <v>1509509.04</v>
      </c>
      <c r="P1240" s="5" t="s">
        <v>42</v>
      </c>
      <c r="Q1240" s="5" t="s">
        <v>75</v>
      </c>
      <c r="R1240">
        <v>4.9000000000000004</v>
      </c>
      <c r="S1240">
        <v>11</v>
      </c>
      <c r="T1240">
        <f t="shared" si="19"/>
        <v>1</v>
      </c>
    </row>
    <row r="1241" spans="1:20">
      <c r="A1241" s="4">
        <v>44928</v>
      </c>
      <c r="B1241">
        <v>2023</v>
      </c>
      <c r="C1241">
        <v>1</v>
      </c>
      <c r="D1241" s="5" t="s">
        <v>44</v>
      </c>
      <c r="E1241" s="5" t="s">
        <v>82</v>
      </c>
      <c r="F1241" s="5" t="s">
        <v>83</v>
      </c>
      <c r="G1241" s="5" t="s">
        <v>84</v>
      </c>
      <c r="H1241" s="5" t="s">
        <v>86</v>
      </c>
      <c r="I1241" s="5" t="s">
        <v>40</v>
      </c>
      <c r="J1241" s="5" t="s">
        <v>41</v>
      </c>
      <c r="K1241">
        <v>45</v>
      </c>
      <c r="L1241">
        <v>605031</v>
      </c>
      <c r="M1241" s="26">
        <v>27226395</v>
      </c>
      <c r="N1241">
        <v>30229</v>
      </c>
      <c r="O1241" s="26">
        <v>4340532.5999999996</v>
      </c>
      <c r="P1241" s="5" t="s">
        <v>50</v>
      </c>
      <c r="Q1241" s="5" t="s">
        <v>75</v>
      </c>
      <c r="R1241">
        <v>4.2</v>
      </c>
      <c r="S1241">
        <v>2</v>
      </c>
      <c r="T1241">
        <f t="shared" si="19"/>
        <v>0</v>
      </c>
    </row>
    <row r="1242" spans="1:20">
      <c r="A1242" s="4">
        <v>44947</v>
      </c>
      <c r="B1242">
        <v>2023</v>
      </c>
      <c r="C1242">
        <v>1</v>
      </c>
      <c r="D1242" s="5" t="s">
        <v>66</v>
      </c>
      <c r="E1242" s="5" t="s">
        <v>67</v>
      </c>
      <c r="F1242" s="5" t="s">
        <v>68</v>
      </c>
      <c r="G1242" s="5" t="s">
        <v>69</v>
      </c>
      <c r="H1242" s="5" t="s">
        <v>63</v>
      </c>
      <c r="I1242" s="5" t="s">
        <v>64</v>
      </c>
      <c r="J1242" s="5" t="s">
        <v>41</v>
      </c>
      <c r="K1242">
        <v>47</v>
      </c>
      <c r="L1242">
        <v>741424</v>
      </c>
      <c r="M1242" s="26">
        <v>34846928</v>
      </c>
      <c r="N1242">
        <v>13783</v>
      </c>
      <c r="O1242" s="26">
        <v>4808395.78</v>
      </c>
      <c r="P1242" s="5" t="s">
        <v>50</v>
      </c>
      <c r="Q1242" s="5" t="s">
        <v>75</v>
      </c>
      <c r="R1242">
        <v>4.5</v>
      </c>
      <c r="S1242">
        <v>20</v>
      </c>
      <c r="T1242">
        <f t="shared" si="19"/>
        <v>0</v>
      </c>
    </row>
    <row r="1243" spans="1:20">
      <c r="A1243" s="4">
        <v>44940</v>
      </c>
      <c r="B1243">
        <v>2023</v>
      </c>
      <c r="C1243">
        <v>1</v>
      </c>
      <c r="D1243" s="5" t="s">
        <v>54</v>
      </c>
      <c r="E1243" s="5" t="s">
        <v>70</v>
      </c>
      <c r="F1243" s="5" t="s">
        <v>71</v>
      </c>
      <c r="G1243" s="5" t="s">
        <v>72</v>
      </c>
      <c r="H1243" s="5" t="s">
        <v>39</v>
      </c>
      <c r="I1243" s="5" t="s">
        <v>40</v>
      </c>
      <c r="J1243" s="5" t="s">
        <v>41</v>
      </c>
      <c r="K1243">
        <v>12</v>
      </c>
      <c r="L1243">
        <v>594932</v>
      </c>
      <c r="M1243" s="26">
        <v>7139184</v>
      </c>
      <c r="N1243">
        <v>21489</v>
      </c>
      <c r="O1243" s="26">
        <v>763971.7</v>
      </c>
      <c r="P1243" s="5" t="s">
        <v>50</v>
      </c>
      <c r="Q1243" s="5" t="s">
        <v>51</v>
      </c>
      <c r="R1243">
        <v>4.5</v>
      </c>
      <c r="S1243">
        <v>19</v>
      </c>
      <c r="T1243">
        <f t="shared" si="19"/>
        <v>0</v>
      </c>
    </row>
    <row r="1244" spans="1:20">
      <c r="A1244" s="4">
        <v>44933</v>
      </c>
      <c r="B1244">
        <v>2023</v>
      </c>
      <c r="C1244">
        <v>1</v>
      </c>
      <c r="D1244" s="5" t="s">
        <v>35</v>
      </c>
      <c r="E1244" s="5" t="s">
        <v>76</v>
      </c>
      <c r="F1244" s="5" t="s">
        <v>77</v>
      </c>
      <c r="G1244" s="5" t="s">
        <v>78</v>
      </c>
      <c r="H1244" s="5" t="s">
        <v>86</v>
      </c>
      <c r="I1244" s="5" t="s">
        <v>40</v>
      </c>
      <c r="J1244" s="5" t="s">
        <v>41</v>
      </c>
      <c r="K1244">
        <v>42</v>
      </c>
      <c r="L1244">
        <v>607798</v>
      </c>
      <c r="M1244" s="26">
        <v>25527516</v>
      </c>
      <c r="N1244">
        <v>30746</v>
      </c>
      <c r="O1244" s="26">
        <v>3743053.81</v>
      </c>
      <c r="P1244" s="5" t="s">
        <v>42</v>
      </c>
      <c r="Q1244" s="5" t="s">
        <v>75</v>
      </c>
      <c r="R1244">
        <v>3.6</v>
      </c>
      <c r="S1244">
        <v>8</v>
      </c>
      <c r="T1244">
        <f t="shared" si="19"/>
        <v>1</v>
      </c>
    </row>
    <row r="1245" spans="1:20">
      <c r="A1245" s="4">
        <v>44940</v>
      </c>
      <c r="B1245">
        <v>2023</v>
      </c>
      <c r="C1245">
        <v>1</v>
      </c>
      <c r="D1245" s="5" t="s">
        <v>35</v>
      </c>
      <c r="E1245" s="5" t="s">
        <v>76</v>
      </c>
      <c r="F1245" s="5" t="s">
        <v>77</v>
      </c>
      <c r="G1245" s="5" t="s">
        <v>78</v>
      </c>
      <c r="H1245" s="5" t="s">
        <v>39</v>
      </c>
      <c r="I1245" s="5" t="s">
        <v>40</v>
      </c>
      <c r="J1245" s="5" t="s">
        <v>41</v>
      </c>
      <c r="K1245">
        <v>37</v>
      </c>
      <c r="L1245">
        <v>589871</v>
      </c>
      <c r="M1245" s="26">
        <v>21825227</v>
      </c>
      <c r="N1245">
        <v>47157</v>
      </c>
      <c r="O1245" s="26">
        <v>2599984.94</v>
      </c>
      <c r="P1245" s="5" t="s">
        <v>50</v>
      </c>
      <c r="Q1245" s="5" t="s">
        <v>43</v>
      </c>
      <c r="R1245">
        <v>4.0999999999999996</v>
      </c>
      <c r="S1245">
        <v>5</v>
      </c>
      <c r="T1245">
        <f t="shared" si="19"/>
        <v>0</v>
      </c>
    </row>
    <row r="1246" spans="1:20">
      <c r="A1246" s="4">
        <v>44944</v>
      </c>
      <c r="B1246">
        <v>2023</v>
      </c>
      <c r="C1246">
        <v>1</v>
      </c>
      <c r="D1246" s="5" t="s">
        <v>35</v>
      </c>
      <c r="E1246" s="5" t="s">
        <v>36</v>
      </c>
      <c r="F1246" s="5" t="s">
        <v>37</v>
      </c>
      <c r="G1246" s="5" t="s">
        <v>38</v>
      </c>
      <c r="H1246" s="5" t="s">
        <v>48</v>
      </c>
      <c r="I1246" s="5" t="s">
        <v>40</v>
      </c>
      <c r="J1246" s="5" t="s">
        <v>49</v>
      </c>
      <c r="K1246">
        <v>32</v>
      </c>
      <c r="L1246">
        <v>441091</v>
      </c>
      <c r="M1246" s="26">
        <v>14114912</v>
      </c>
      <c r="N1246">
        <v>12199</v>
      </c>
      <c r="O1246" s="26">
        <v>1869380.65</v>
      </c>
      <c r="P1246" s="5" t="s">
        <v>42</v>
      </c>
      <c r="Q1246" s="5" t="s">
        <v>43</v>
      </c>
      <c r="R1246">
        <v>3.5</v>
      </c>
      <c r="S1246">
        <v>13</v>
      </c>
      <c r="T1246">
        <f t="shared" si="19"/>
        <v>1</v>
      </c>
    </row>
    <row r="1247" spans="1:20">
      <c r="A1247" s="4">
        <v>44944</v>
      </c>
      <c r="B1247">
        <v>2023</v>
      </c>
      <c r="C1247">
        <v>1</v>
      </c>
      <c r="D1247" s="5" t="s">
        <v>54</v>
      </c>
      <c r="E1247" s="5" t="s">
        <v>55</v>
      </c>
      <c r="F1247" s="5" t="s">
        <v>55</v>
      </c>
      <c r="G1247" s="5" t="s">
        <v>56</v>
      </c>
      <c r="H1247" s="5" t="s">
        <v>63</v>
      </c>
      <c r="I1247" s="5" t="s">
        <v>64</v>
      </c>
      <c r="J1247" s="5" t="s">
        <v>41</v>
      </c>
      <c r="K1247">
        <v>25</v>
      </c>
      <c r="L1247">
        <v>777241</v>
      </c>
      <c r="M1247" s="26">
        <v>19431025</v>
      </c>
      <c r="N1247">
        <v>15054</v>
      </c>
      <c r="O1247" s="26">
        <v>2172363.86</v>
      </c>
      <c r="P1247" s="5" t="s">
        <v>42</v>
      </c>
      <c r="Q1247" s="5" t="s">
        <v>51</v>
      </c>
      <c r="R1247">
        <v>3.6</v>
      </c>
      <c r="S1247">
        <v>12</v>
      </c>
      <c r="T1247">
        <f t="shared" si="19"/>
        <v>1</v>
      </c>
    </row>
    <row r="1248" spans="1:20">
      <c r="A1248" s="4">
        <v>44941</v>
      </c>
      <c r="B1248">
        <v>2023</v>
      </c>
      <c r="C1248">
        <v>1</v>
      </c>
      <c r="D1248" s="5" t="s">
        <v>66</v>
      </c>
      <c r="E1248" s="5" t="s">
        <v>67</v>
      </c>
      <c r="F1248" s="5" t="s">
        <v>68</v>
      </c>
      <c r="G1248" s="5" t="s">
        <v>69</v>
      </c>
      <c r="H1248" s="5" t="s">
        <v>74</v>
      </c>
      <c r="I1248" s="5" t="s">
        <v>40</v>
      </c>
      <c r="J1248" s="5" t="s">
        <v>49</v>
      </c>
      <c r="K1248">
        <v>39</v>
      </c>
      <c r="L1248">
        <v>672562</v>
      </c>
      <c r="M1248" s="26">
        <v>26229918</v>
      </c>
      <c r="N1248">
        <v>5818</v>
      </c>
      <c r="O1248" s="26">
        <v>3870066.38</v>
      </c>
      <c r="P1248" s="5" t="s">
        <v>42</v>
      </c>
      <c r="Q1248" s="5" t="s">
        <v>51</v>
      </c>
      <c r="R1248">
        <v>3.7</v>
      </c>
      <c r="S1248">
        <v>9</v>
      </c>
      <c r="T1248">
        <f t="shared" si="19"/>
        <v>1</v>
      </c>
    </row>
    <row r="1249" spans="1:20">
      <c r="A1249" s="4">
        <v>44934</v>
      </c>
      <c r="B1249">
        <v>2023</v>
      </c>
      <c r="C1249">
        <v>1</v>
      </c>
      <c r="D1249" s="5" t="s">
        <v>44</v>
      </c>
      <c r="E1249" s="5" t="s">
        <v>45</v>
      </c>
      <c r="F1249" s="5" t="s">
        <v>46</v>
      </c>
      <c r="G1249" s="5" t="s">
        <v>47</v>
      </c>
      <c r="H1249" s="5" t="s">
        <v>52</v>
      </c>
      <c r="I1249" s="5" t="s">
        <v>53</v>
      </c>
      <c r="J1249" s="5" t="s">
        <v>41</v>
      </c>
      <c r="K1249">
        <v>12</v>
      </c>
      <c r="L1249">
        <v>932956</v>
      </c>
      <c r="M1249" s="26">
        <v>11195472</v>
      </c>
      <c r="N1249">
        <v>47044</v>
      </c>
      <c r="O1249" s="26">
        <v>1011406.7</v>
      </c>
      <c r="P1249" s="5" t="s">
        <v>42</v>
      </c>
      <c r="Q1249" s="5" t="s">
        <v>43</v>
      </c>
      <c r="R1249">
        <v>4.8</v>
      </c>
      <c r="S1249">
        <v>6</v>
      </c>
      <c r="T1249">
        <f t="shared" si="19"/>
        <v>1</v>
      </c>
    </row>
    <row r="1250" spans="1:20">
      <c r="A1250" s="4">
        <v>44929</v>
      </c>
      <c r="B1250">
        <v>2023</v>
      </c>
      <c r="C1250">
        <v>1</v>
      </c>
      <c r="D1250" s="5" t="s">
        <v>54</v>
      </c>
      <c r="E1250" s="5" t="s">
        <v>55</v>
      </c>
      <c r="F1250" s="5" t="s">
        <v>55</v>
      </c>
      <c r="G1250" s="5" t="s">
        <v>56</v>
      </c>
      <c r="H1250" s="5" t="s">
        <v>79</v>
      </c>
      <c r="I1250" s="5" t="s">
        <v>58</v>
      </c>
      <c r="J1250" s="5" t="s">
        <v>49</v>
      </c>
      <c r="K1250">
        <v>24</v>
      </c>
      <c r="L1250">
        <v>889192</v>
      </c>
      <c r="M1250" s="26">
        <v>21340608</v>
      </c>
      <c r="N1250">
        <v>23327</v>
      </c>
      <c r="O1250" s="26">
        <v>3396437.16</v>
      </c>
      <c r="P1250" s="5" t="s">
        <v>50</v>
      </c>
      <c r="Q1250" s="5" t="s">
        <v>43</v>
      </c>
      <c r="R1250">
        <v>3.7</v>
      </c>
      <c r="S1250">
        <v>11</v>
      </c>
      <c r="T1250">
        <f t="shared" si="19"/>
        <v>0</v>
      </c>
    </row>
    <row r="1251" spans="1:20">
      <c r="A1251" s="4">
        <v>44953</v>
      </c>
      <c r="B1251">
        <v>2023</v>
      </c>
      <c r="C1251">
        <v>1</v>
      </c>
      <c r="D1251" s="5" t="s">
        <v>54</v>
      </c>
      <c r="E1251" s="5" t="s">
        <v>55</v>
      </c>
      <c r="F1251" s="5" t="s">
        <v>55</v>
      </c>
      <c r="G1251" s="5" t="s">
        <v>56</v>
      </c>
      <c r="H1251" s="5" t="s">
        <v>39</v>
      </c>
      <c r="I1251" s="5" t="s">
        <v>40</v>
      </c>
      <c r="J1251" s="5" t="s">
        <v>41</v>
      </c>
      <c r="K1251">
        <v>52</v>
      </c>
      <c r="L1251">
        <v>594489</v>
      </c>
      <c r="M1251" s="26">
        <v>30913428</v>
      </c>
      <c r="N1251">
        <v>18699</v>
      </c>
      <c r="O1251" s="26">
        <v>3141606.16</v>
      </c>
      <c r="P1251" s="5" t="s">
        <v>50</v>
      </c>
      <c r="Q1251" s="5" t="s">
        <v>75</v>
      </c>
      <c r="R1251">
        <v>4.2</v>
      </c>
      <c r="S1251">
        <v>2</v>
      </c>
      <c r="T1251">
        <f t="shared" si="19"/>
        <v>0</v>
      </c>
    </row>
    <row r="1252" spans="1:20">
      <c r="A1252" s="4">
        <v>44976</v>
      </c>
      <c r="B1252">
        <v>2023</v>
      </c>
      <c r="C1252">
        <v>2</v>
      </c>
      <c r="D1252" s="5" t="s">
        <v>35</v>
      </c>
      <c r="E1252" s="5" t="s">
        <v>76</v>
      </c>
      <c r="F1252" s="5" t="s">
        <v>77</v>
      </c>
      <c r="G1252" s="5" t="s">
        <v>78</v>
      </c>
      <c r="H1252" s="5" t="s">
        <v>74</v>
      </c>
      <c r="I1252" s="5" t="s">
        <v>40</v>
      </c>
      <c r="J1252" s="5" t="s">
        <v>49</v>
      </c>
      <c r="K1252">
        <v>51</v>
      </c>
      <c r="L1252">
        <v>650406</v>
      </c>
      <c r="M1252" s="26">
        <v>33170706</v>
      </c>
      <c r="N1252">
        <v>35046</v>
      </c>
      <c r="O1252" s="26">
        <v>3187275.26</v>
      </c>
      <c r="P1252" s="5" t="s">
        <v>42</v>
      </c>
      <c r="Q1252" s="5" t="s">
        <v>51</v>
      </c>
      <c r="R1252">
        <v>4.5999999999999996</v>
      </c>
      <c r="S1252">
        <v>6</v>
      </c>
      <c r="T1252">
        <f t="shared" si="19"/>
        <v>1</v>
      </c>
    </row>
    <row r="1253" spans="1:20">
      <c r="A1253" s="4">
        <v>44961</v>
      </c>
      <c r="B1253">
        <v>2023</v>
      </c>
      <c r="C1253">
        <v>2</v>
      </c>
      <c r="D1253" s="5" t="s">
        <v>54</v>
      </c>
      <c r="E1253" s="5" t="s">
        <v>70</v>
      </c>
      <c r="F1253" s="5" t="s">
        <v>71</v>
      </c>
      <c r="G1253" s="5" t="s">
        <v>72</v>
      </c>
      <c r="H1253" s="5" t="s">
        <v>57</v>
      </c>
      <c r="I1253" s="5" t="s">
        <v>58</v>
      </c>
      <c r="J1253" s="5" t="s">
        <v>59</v>
      </c>
      <c r="K1253">
        <v>7</v>
      </c>
      <c r="L1253">
        <v>1392600</v>
      </c>
      <c r="M1253" s="26">
        <v>9748200</v>
      </c>
      <c r="N1253">
        <v>48479</v>
      </c>
      <c r="O1253" s="26">
        <v>1354945.91</v>
      </c>
      <c r="P1253" s="5" t="s">
        <v>50</v>
      </c>
      <c r="Q1253" s="5" t="s">
        <v>43</v>
      </c>
      <c r="R1253">
        <v>4.9000000000000004</v>
      </c>
      <c r="S1253">
        <v>20</v>
      </c>
      <c r="T1253">
        <f t="shared" si="19"/>
        <v>0</v>
      </c>
    </row>
    <row r="1254" spans="1:20">
      <c r="A1254" s="4">
        <v>44963</v>
      </c>
      <c r="B1254">
        <v>2023</v>
      </c>
      <c r="C1254">
        <v>2</v>
      </c>
      <c r="D1254" s="5" t="s">
        <v>35</v>
      </c>
      <c r="E1254" s="5" t="s">
        <v>76</v>
      </c>
      <c r="F1254" s="5" t="s">
        <v>77</v>
      </c>
      <c r="G1254" s="5" t="s">
        <v>78</v>
      </c>
      <c r="H1254" s="5" t="s">
        <v>73</v>
      </c>
      <c r="I1254" s="5" t="s">
        <v>40</v>
      </c>
      <c r="J1254" s="5" t="s">
        <v>49</v>
      </c>
      <c r="K1254">
        <v>53</v>
      </c>
      <c r="L1254">
        <v>737930</v>
      </c>
      <c r="M1254" s="26">
        <v>39110290</v>
      </c>
      <c r="N1254">
        <v>8419</v>
      </c>
      <c r="O1254" s="26">
        <v>4874527.5199999996</v>
      </c>
      <c r="P1254" s="5" t="s">
        <v>50</v>
      </c>
      <c r="Q1254" s="5" t="s">
        <v>51</v>
      </c>
      <c r="R1254">
        <v>3.7</v>
      </c>
      <c r="S1254">
        <v>2</v>
      </c>
      <c r="T1254">
        <f t="shared" si="19"/>
        <v>0</v>
      </c>
    </row>
    <row r="1255" spans="1:20">
      <c r="A1255" s="4">
        <v>44985</v>
      </c>
      <c r="B1255">
        <v>2023</v>
      </c>
      <c r="C1255">
        <v>2</v>
      </c>
      <c r="D1255" s="5" t="s">
        <v>35</v>
      </c>
      <c r="E1255" s="5" t="s">
        <v>36</v>
      </c>
      <c r="F1255" s="5" t="s">
        <v>37</v>
      </c>
      <c r="G1255" s="5" t="s">
        <v>38</v>
      </c>
      <c r="H1255" s="5" t="s">
        <v>65</v>
      </c>
      <c r="I1255" s="5" t="s">
        <v>53</v>
      </c>
      <c r="J1255" s="5" t="s">
        <v>49</v>
      </c>
      <c r="K1255">
        <v>33</v>
      </c>
      <c r="L1255">
        <v>1271230</v>
      </c>
      <c r="M1255" s="26">
        <v>41950590</v>
      </c>
      <c r="N1255">
        <v>45860</v>
      </c>
      <c r="O1255" s="26">
        <v>3814265.19</v>
      </c>
      <c r="P1255" s="5" t="s">
        <v>50</v>
      </c>
      <c r="Q1255" s="5" t="s">
        <v>43</v>
      </c>
      <c r="R1255">
        <v>3.6</v>
      </c>
      <c r="S1255">
        <v>11</v>
      </c>
      <c r="T1255">
        <f t="shared" si="19"/>
        <v>0</v>
      </c>
    </row>
    <row r="1256" spans="1:20">
      <c r="A1256" s="4">
        <v>44980</v>
      </c>
      <c r="B1256">
        <v>2023</v>
      </c>
      <c r="C1256">
        <v>2</v>
      </c>
      <c r="D1256" s="5" t="s">
        <v>66</v>
      </c>
      <c r="E1256" s="5" t="s">
        <v>67</v>
      </c>
      <c r="F1256" s="5" t="s">
        <v>68</v>
      </c>
      <c r="G1256" s="5" t="s">
        <v>69</v>
      </c>
      <c r="H1256" s="5" t="s">
        <v>57</v>
      </c>
      <c r="I1256" s="5" t="s">
        <v>58</v>
      </c>
      <c r="J1256" s="5" t="s">
        <v>59</v>
      </c>
      <c r="K1256">
        <v>23</v>
      </c>
      <c r="L1256">
        <v>1416515</v>
      </c>
      <c r="M1256" s="26">
        <v>32579845</v>
      </c>
      <c r="N1256">
        <v>24497</v>
      </c>
      <c r="O1256" s="26">
        <v>3927584.21</v>
      </c>
      <c r="P1256" s="5" t="s">
        <v>50</v>
      </c>
      <c r="Q1256" s="5" t="s">
        <v>51</v>
      </c>
      <c r="R1256">
        <v>3.9</v>
      </c>
      <c r="S1256">
        <v>3</v>
      </c>
      <c r="T1256">
        <f t="shared" si="19"/>
        <v>0</v>
      </c>
    </row>
    <row r="1257" spans="1:20">
      <c r="A1257" s="4">
        <v>44972</v>
      </c>
      <c r="B1257">
        <v>2023</v>
      </c>
      <c r="C1257">
        <v>2</v>
      </c>
      <c r="D1257" s="5" t="s">
        <v>54</v>
      </c>
      <c r="E1257" s="5" t="s">
        <v>55</v>
      </c>
      <c r="F1257" s="5" t="s">
        <v>55</v>
      </c>
      <c r="G1257" s="5" t="s">
        <v>56</v>
      </c>
      <c r="H1257" s="5" t="s">
        <v>63</v>
      </c>
      <c r="I1257" s="5" t="s">
        <v>64</v>
      </c>
      <c r="J1257" s="5" t="s">
        <v>41</v>
      </c>
      <c r="K1257">
        <v>9</v>
      </c>
      <c r="L1257">
        <v>767499</v>
      </c>
      <c r="M1257" s="26">
        <v>6907491</v>
      </c>
      <c r="N1257">
        <v>23001</v>
      </c>
      <c r="O1257" s="26">
        <v>1073741.79</v>
      </c>
      <c r="P1257" s="5" t="s">
        <v>42</v>
      </c>
      <c r="Q1257" s="5" t="s">
        <v>75</v>
      </c>
      <c r="R1257">
        <v>3.8</v>
      </c>
      <c r="S1257">
        <v>19</v>
      </c>
      <c r="T1257">
        <f t="shared" si="19"/>
        <v>1</v>
      </c>
    </row>
    <row r="1258" spans="1:20">
      <c r="A1258" s="4">
        <v>44971</v>
      </c>
      <c r="B1258">
        <v>2023</v>
      </c>
      <c r="C1258">
        <v>2</v>
      </c>
      <c r="D1258" s="5" t="s">
        <v>54</v>
      </c>
      <c r="E1258" s="5" t="s">
        <v>55</v>
      </c>
      <c r="F1258" s="5" t="s">
        <v>55</v>
      </c>
      <c r="G1258" s="5" t="s">
        <v>56</v>
      </c>
      <c r="H1258" s="5" t="s">
        <v>85</v>
      </c>
      <c r="I1258" s="5" t="s">
        <v>58</v>
      </c>
      <c r="J1258" s="5" t="s">
        <v>49</v>
      </c>
      <c r="K1258">
        <v>39</v>
      </c>
      <c r="L1258">
        <v>989373</v>
      </c>
      <c r="M1258" s="26">
        <v>38585547</v>
      </c>
      <c r="N1258">
        <v>44440</v>
      </c>
      <c r="O1258" s="26">
        <v>4661559.03</v>
      </c>
      <c r="P1258" s="5" t="s">
        <v>42</v>
      </c>
      <c r="Q1258" s="5" t="s">
        <v>43</v>
      </c>
      <c r="R1258">
        <v>4.3</v>
      </c>
      <c r="S1258">
        <v>9</v>
      </c>
      <c r="T1258">
        <f t="shared" si="19"/>
        <v>1</v>
      </c>
    </row>
    <row r="1259" spans="1:20">
      <c r="A1259" s="4">
        <v>44973</v>
      </c>
      <c r="B1259">
        <v>2023</v>
      </c>
      <c r="C1259">
        <v>2</v>
      </c>
      <c r="D1259" s="5" t="s">
        <v>44</v>
      </c>
      <c r="E1259" s="5" t="s">
        <v>82</v>
      </c>
      <c r="F1259" s="5" t="s">
        <v>83</v>
      </c>
      <c r="G1259" s="5" t="s">
        <v>84</v>
      </c>
      <c r="H1259" s="5" t="s">
        <v>65</v>
      </c>
      <c r="I1259" s="5" t="s">
        <v>53</v>
      </c>
      <c r="J1259" s="5" t="s">
        <v>49</v>
      </c>
      <c r="K1259">
        <v>28</v>
      </c>
      <c r="L1259">
        <v>1226495</v>
      </c>
      <c r="M1259" s="26">
        <v>34341860</v>
      </c>
      <c r="N1259">
        <v>19947</v>
      </c>
      <c r="O1259" s="26">
        <v>3450727.46</v>
      </c>
      <c r="P1259" s="5" t="s">
        <v>42</v>
      </c>
      <c r="Q1259" s="5" t="s">
        <v>43</v>
      </c>
      <c r="R1259">
        <v>4.4000000000000004</v>
      </c>
      <c r="S1259">
        <v>19</v>
      </c>
      <c r="T1259">
        <f t="shared" si="19"/>
        <v>1</v>
      </c>
    </row>
    <row r="1260" spans="1:20">
      <c r="A1260" s="4">
        <v>44974</v>
      </c>
      <c r="B1260">
        <v>2023</v>
      </c>
      <c r="C1260">
        <v>2</v>
      </c>
      <c r="D1260" s="5" t="s">
        <v>54</v>
      </c>
      <c r="E1260" s="5" t="s">
        <v>70</v>
      </c>
      <c r="F1260" s="5" t="s">
        <v>71</v>
      </c>
      <c r="G1260" s="5" t="s">
        <v>72</v>
      </c>
      <c r="H1260" s="5" t="s">
        <v>39</v>
      </c>
      <c r="I1260" s="5" t="s">
        <v>40</v>
      </c>
      <c r="J1260" s="5" t="s">
        <v>41</v>
      </c>
      <c r="K1260">
        <v>34</v>
      </c>
      <c r="L1260">
        <v>599076</v>
      </c>
      <c r="M1260" s="26">
        <v>20368584</v>
      </c>
      <c r="N1260">
        <v>22463</v>
      </c>
      <c r="O1260" s="26">
        <v>2312035.9500000002</v>
      </c>
      <c r="P1260" s="5" t="s">
        <v>42</v>
      </c>
      <c r="Q1260" s="5" t="s">
        <v>51</v>
      </c>
      <c r="R1260">
        <v>4.4000000000000004</v>
      </c>
      <c r="S1260">
        <v>7</v>
      </c>
      <c r="T1260">
        <f t="shared" si="19"/>
        <v>1</v>
      </c>
    </row>
    <row r="1261" spans="1:20">
      <c r="A1261" s="4">
        <v>44964</v>
      </c>
      <c r="B1261">
        <v>2023</v>
      </c>
      <c r="C1261">
        <v>2</v>
      </c>
      <c r="D1261" s="5" t="s">
        <v>35</v>
      </c>
      <c r="E1261" s="5" t="s">
        <v>36</v>
      </c>
      <c r="F1261" s="5" t="s">
        <v>37</v>
      </c>
      <c r="G1261" s="5" t="s">
        <v>38</v>
      </c>
      <c r="H1261" s="5" t="s">
        <v>86</v>
      </c>
      <c r="I1261" s="5" t="s">
        <v>40</v>
      </c>
      <c r="J1261" s="5" t="s">
        <v>41</v>
      </c>
      <c r="K1261">
        <v>50</v>
      </c>
      <c r="L1261">
        <v>579536</v>
      </c>
      <c r="M1261" s="26">
        <v>28976800</v>
      </c>
      <c r="N1261">
        <v>10439</v>
      </c>
      <c r="O1261" s="26">
        <v>3164811.5</v>
      </c>
      <c r="P1261" s="5" t="s">
        <v>42</v>
      </c>
      <c r="Q1261" s="5" t="s">
        <v>51</v>
      </c>
      <c r="R1261">
        <v>4.5999999999999996</v>
      </c>
      <c r="S1261">
        <v>4</v>
      </c>
      <c r="T1261">
        <f t="shared" si="19"/>
        <v>1</v>
      </c>
    </row>
    <row r="1262" spans="1:20">
      <c r="A1262" s="4">
        <v>44970</v>
      </c>
      <c r="B1262">
        <v>2023</v>
      </c>
      <c r="C1262">
        <v>2</v>
      </c>
      <c r="D1262" s="5" t="s">
        <v>44</v>
      </c>
      <c r="E1262" s="5" t="s">
        <v>45</v>
      </c>
      <c r="F1262" s="5" t="s">
        <v>46</v>
      </c>
      <c r="G1262" s="5" t="s">
        <v>47</v>
      </c>
      <c r="H1262" s="5" t="s">
        <v>52</v>
      </c>
      <c r="I1262" s="5" t="s">
        <v>53</v>
      </c>
      <c r="J1262" s="5" t="s">
        <v>41</v>
      </c>
      <c r="K1262">
        <v>17</v>
      </c>
      <c r="L1262">
        <v>951259</v>
      </c>
      <c r="M1262" s="26">
        <v>16171403</v>
      </c>
      <c r="N1262">
        <v>29707</v>
      </c>
      <c r="O1262" s="26">
        <v>2470511.7200000002</v>
      </c>
      <c r="P1262" s="5" t="s">
        <v>50</v>
      </c>
      <c r="Q1262" s="5" t="s">
        <v>51</v>
      </c>
      <c r="R1262">
        <v>4.5</v>
      </c>
      <c r="S1262">
        <v>10</v>
      </c>
      <c r="T1262">
        <f t="shared" si="19"/>
        <v>0</v>
      </c>
    </row>
    <row r="1263" spans="1:20">
      <c r="A1263" s="4">
        <v>44961</v>
      </c>
      <c r="B1263">
        <v>2023</v>
      </c>
      <c r="C1263">
        <v>2</v>
      </c>
      <c r="D1263" s="5" t="s">
        <v>66</v>
      </c>
      <c r="E1263" s="5" t="s">
        <v>67</v>
      </c>
      <c r="F1263" s="5" t="s">
        <v>68</v>
      </c>
      <c r="G1263" s="5" t="s">
        <v>69</v>
      </c>
      <c r="H1263" s="5" t="s">
        <v>39</v>
      </c>
      <c r="I1263" s="5" t="s">
        <v>40</v>
      </c>
      <c r="J1263" s="5" t="s">
        <v>41</v>
      </c>
      <c r="K1263">
        <v>28</v>
      </c>
      <c r="L1263">
        <v>605031</v>
      </c>
      <c r="M1263" s="26">
        <v>16940868</v>
      </c>
      <c r="N1263">
        <v>19707</v>
      </c>
      <c r="O1263" s="26">
        <v>1568792.16</v>
      </c>
      <c r="P1263" s="5" t="s">
        <v>50</v>
      </c>
      <c r="Q1263" s="5" t="s">
        <v>43</v>
      </c>
      <c r="R1263">
        <v>4.0999999999999996</v>
      </c>
      <c r="S1263">
        <v>4</v>
      </c>
      <c r="T1263">
        <f t="shared" si="19"/>
        <v>0</v>
      </c>
    </row>
    <row r="1264" spans="1:20">
      <c r="A1264" s="4">
        <v>44972</v>
      </c>
      <c r="B1264">
        <v>2023</v>
      </c>
      <c r="C1264">
        <v>2</v>
      </c>
      <c r="D1264" s="5" t="s">
        <v>66</v>
      </c>
      <c r="E1264" s="5" t="s">
        <v>67</v>
      </c>
      <c r="F1264" s="5" t="s">
        <v>68</v>
      </c>
      <c r="G1264" s="5" t="s">
        <v>69</v>
      </c>
      <c r="H1264" s="5" t="s">
        <v>86</v>
      </c>
      <c r="I1264" s="5" t="s">
        <v>40</v>
      </c>
      <c r="J1264" s="5" t="s">
        <v>41</v>
      </c>
      <c r="K1264">
        <v>38</v>
      </c>
      <c r="L1264">
        <v>581583</v>
      </c>
      <c r="M1264" s="26">
        <v>22100154</v>
      </c>
      <c r="N1264">
        <v>9317</v>
      </c>
      <c r="O1264" s="26">
        <v>2994390.04</v>
      </c>
      <c r="P1264" s="5" t="s">
        <v>50</v>
      </c>
      <c r="Q1264" s="5" t="s">
        <v>51</v>
      </c>
      <c r="R1264">
        <v>5</v>
      </c>
      <c r="S1264">
        <v>7</v>
      </c>
      <c r="T1264">
        <f t="shared" si="19"/>
        <v>0</v>
      </c>
    </row>
    <row r="1265" spans="1:20">
      <c r="A1265" s="4">
        <v>44975</v>
      </c>
      <c r="B1265">
        <v>2023</v>
      </c>
      <c r="C1265">
        <v>2</v>
      </c>
      <c r="D1265" s="5" t="s">
        <v>66</v>
      </c>
      <c r="E1265" s="5" t="s">
        <v>67</v>
      </c>
      <c r="F1265" s="5" t="s">
        <v>68</v>
      </c>
      <c r="G1265" s="5" t="s">
        <v>69</v>
      </c>
      <c r="H1265" s="5" t="s">
        <v>63</v>
      </c>
      <c r="I1265" s="5" t="s">
        <v>64</v>
      </c>
      <c r="J1265" s="5" t="s">
        <v>41</v>
      </c>
      <c r="K1265">
        <v>14</v>
      </c>
      <c r="L1265">
        <v>765637</v>
      </c>
      <c r="M1265" s="26">
        <v>10718918</v>
      </c>
      <c r="N1265">
        <v>14298</v>
      </c>
      <c r="O1265" s="26">
        <v>1693546.43</v>
      </c>
      <c r="P1265" s="5" t="s">
        <v>42</v>
      </c>
      <c r="Q1265" s="5" t="s">
        <v>43</v>
      </c>
      <c r="R1265">
        <v>4.5999999999999996</v>
      </c>
      <c r="S1265">
        <v>10</v>
      </c>
      <c r="T1265">
        <f t="shared" si="19"/>
        <v>1</v>
      </c>
    </row>
    <row r="1266" spans="1:20">
      <c r="A1266" s="4">
        <v>44966</v>
      </c>
      <c r="B1266">
        <v>2023</v>
      </c>
      <c r="C1266">
        <v>2</v>
      </c>
      <c r="D1266" s="5" t="s">
        <v>35</v>
      </c>
      <c r="E1266" s="5" t="s">
        <v>36</v>
      </c>
      <c r="F1266" s="5" t="s">
        <v>37</v>
      </c>
      <c r="G1266" s="5" t="s">
        <v>38</v>
      </c>
      <c r="H1266" s="5" t="s">
        <v>73</v>
      </c>
      <c r="I1266" s="5" t="s">
        <v>40</v>
      </c>
      <c r="J1266" s="5" t="s">
        <v>49</v>
      </c>
      <c r="K1266">
        <v>27</v>
      </c>
      <c r="L1266">
        <v>736495</v>
      </c>
      <c r="M1266" s="26">
        <v>19885365</v>
      </c>
      <c r="N1266">
        <v>19392</v>
      </c>
      <c r="O1266" s="26">
        <v>1863378.75</v>
      </c>
      <c r="P1266" s="5" t="s">
        <v>50</v>
      </c>
      <c r="Q1266" s="5" t="s">
        <v>75</v>
      </c>
      <c r="R1266">
        <v>3.8</v>
      </c>
      <c r="S1266">
        <v>19</v>
      </c>
      <c r="T1266">
        <f t="shared" si="19"/>
        <v>0</v>
      </c>
    </row>
    <row r="1267" spans="1:20">
      <c r="A1267" s="4">
        <v>44967</v>
      </c>
      <c r="B1267">
        <v>2023</v>
      </c>
      <c r="C1267">
        <v>2</v>
      </c>
      <c r="D1267" s="5" t="s">
        <v>54</v>
      </c>
      <c r="E1267" s="5" t="s">
        <v>55</v>
      </c>
      <c r="F1267" s="5" t="s">
        <v>55</v>
      </c>
      <c r="G1267" s="5" t="s">
        <v>56</v>
      </c>
      <c r="H1267" s="5" t="s">
        <v>57</v>
      </c>
      <c r="I1267" s="5" t="s">
        <v>58</v>
      </c>
      <c r="J1267" s="5" t="s">
        <v>59</v>
      </c>
      <c r="K1267">
        <v>38</v>
      </c>
      <c r="L1267">
        <v>1399382</v>
      </c>
      <c r="M1267" s="26">
        <v>53176516</v>
      </c>
      <c r="N1267">
        <v>7909</v>
      </c>
      <c r="O1267" s="26">
        <v>7376080.0899999999</v>
      </c>
      <c r="P1267" s="5" t="s">
        <v>42</v>
      </c>
      <c r="Q1267" s="5" t="s">
        <v>75</v>
      </c>
      <c r="R1267">
        <v>4.5999999999999996</v>
      </c>
      <c r="S1267">
        <v>18</v>
      </c>
      <c r="T1267">
        <f t="shared" si="19"/>
        <v>1</v>
      </c>
    </row>
    <row r="1268" spans="1:20">
      <c r="A1268" s="4">
        <v>44984</v>
      </c>
      <c r="B1268">
        <v>2023</v>
      </c>
      <c r="C1268">
        <v>2</v>
      </c>
      <c r="D1268" s="5" t="s">
        <v>54</v>
      </c>
      <c r="E1268" s="5" t="s">
        <v>70</v>
      </c>
      <c r="F1268" s="5" t="s">
        <v>71</v>
      </c>
      <c r="G1268" s="5" t="s">
        <v>72</v>
      </c>
      <c r="H1268" s="5" t="s">
        <v>86</v>
      </c>
      <c r="I1268" s="5" t="s">
        <v>40</v>
      </c>
      <c r="J1268" s="5" t="s">
        <v>41</v>
      </c>
      <c r="K1268">
        <v>36</v>
      </c>
      <c r="L1268">
        <v>609488</v>
      </c>
      <c r="M1268" s="26">
        <v>21941568</v>
      </c>
      <c r="N1268">
        <v>32266</v>
      </c>
      <c r="O1268" s="26">
        <v>3092339.04</v>
      </c>
      <c r="P1268" s="5" t="s">
        <v>50</v>
      </c>
      <c r="Q1268" s="5" t="s">
        <v>43</v>
      </c>
      <c r="R1268">
        <v>3.8</v>
      </c>
      <c r="S1268">
        <v>13</v>
      </c>
      <c r="T1268">
        <f t="shared" si="19"/>
        <v>0</v>
      </c>
    </row>
    <row r="1269" spans="1:20">
      <c r="A1269" s="4">
        <v>44959</v>
      </c>
      <c r="B1269">
        <v>2023</v>
      </c>
      <c r="C1269">
        <v>2</v>
      </c>
      <c r="D1269" s="5" t="s">
        <v>44</v>
      </c>
      <c r="E1269" s="5" t="s">
        <v>82</v>
      </c>
      <c r="F1269" s="5" t="s">
        <v>83</v>
      </c>
      <c r="G1269" s="5" t="s">
        <v>84</v>
      </c>
      <c r="H1269" s="5" t="s">
        <v>74</v>
      </c>
      <c r="I1269" s="5" t="s">
        <v>40</v>
      </c>
      <c r="J1269" s="5" t="s">
        <v>49</v>
      </c>
      <c r="K1269">
        <v>37</v>
      </c>
      <c r="L1269">
        <v>642999</v>
      </c>
      <c r="M1269" s="26">
        <v>23790963</v>
      </c>
      <c r="N1269">
        <v>42441</v>
      </c>
      <c r="O1269" s="26">
        <v>2103746.44</v>
      </c>
      <c r="P1269" s="5" t="s">
        <v>42</v>
      </c>
      <c r="Q1269" s="5" t="s">
        <v>51</v>
      </c>
      <c r="R1269">
        <v>4.8</v>
      </c>
      <c r="S1269">
        <v>21</v>
      </c>
      <c r="T1269">
        <f t="shared" si="19"/>
        <v>1</v>
      </c>
    </row>
    <row r="1270" spans="1:20">
      <c r="A1270" s="4">
        <v>44985</v>
      </c>
      <c r="B1270">
        <v>2023</v>
      </c>
      <c r="C1270">
        <v>2</v>
      </c>
      <c r="D1270" s="5" t="s">
        <v>54</v>
      </c>
      <c r="E1270" s="5" t="s">
        <v>55</v>
      </c>
      <c r="F1270" s="5" t="s">
        <v>55</v>
      </c>
      <c r="G1270" s="5" t="s">
        <v>56</v>
      </c>
      <c r="H1270" s="5" t="s">
        <v>48</v>
      </c>
      <c r="I1270" s="5" t="s">
        <v>40</v>
      </c>
      <c r="J1270" s="5" t="s">
        <v>49</v>
      </c>
      <c r="K1270">
        <v>39</v>
      </c>
      <c r="L1270">
        <v>464637</v>
      </c>
      <c r="M1270" s="26">
        <v>18120843</v>
      </c>
      <c r="N1270">
        <v>31079</v>
      </c>
      <c r="O1270" s="26">
        <v>2482216.81</v>
      </c>
      <c r="P1270" s="5" t="s">
        <v>42</v>
      </c>
      <c r="Q1270" s="5" t="s">
        <v>51</v>
      </c>
      <c r="R1270">
        <v>4.3</v>
      </c>
      <c r="S1270">
        <v>13</v>
      </c>
      <c r="T1270">
        <f t="shared" si="19"/>
        <v>1</v>
      </c>
    </row>
    <row r="1271" spans="1:20">
      <c r="A1271" s="4">
        <v>44964</v>
      </c>
      <c r="B1271">
        <v>2023</v>
      </c>
      <c r="C1271">
        <v>2</v>
      </c>
      <c r="D1271" s="5" t="s">
        <v>54</v>
      </c>
      <c r="E1271" s="5" t="s">
        <v>55</v>
      </c>
      <c r="F1271" s="5" t="s">
        <v>55</v>
      </c>
      <c r="G1271" s="5" t="s">
        <v>56</v>
      </c>
      <c r="H1271" s="5" t="s">
        <v>63</v>
      </c>
      <c r="I1271" s="5" t="s">
        <v>64</v>
      </c>
      <c r="J1271" s="5" t="s">
        <v>41</v>
      </c>
      <c r="K1271">
        <v>23</v>
      </c>
      <c r="L1271">
        <v>789194</v>
      </c>
      <c r="M1271" s="26">
        <v>18151462</v>
      </c>
      <c r="N1271">
        <v>40414</v>
      </c>
      <c r="O1271" s="26">
        <v>2640964.89</v>
      </c>
      <c r="P1271" s="5" t="s">
        <v>50</v>
      </c>
      <c r="Q1271" s="5" t="s">
        <v>75</v>
      </c>
      <c r="R1271">
        <v>4.7</v>
      </c>
      <c r="S1271">
        <v>20</v>
      </c>
      <c r="T1271">
        <f t="shared" si="19"/>
        <v>0</v>
      </c>
    </row>
    <row r="1272" spans="1:20">
      <c r="A1272" s="4">
        <v>44977</v>
      </c>
      <c r="B1272">
        <v>2023</v>
      </c>
      <c r="C1272">
        <v>2</v>
      </c>
      <c r="D1272" s="5" t="s">
        <v>44</v>
      </c>
      <c r="E1272" s="5" t="s">
        <v>82</v>
      </c>
      <c r="F1272" s="5" t="s">
        <v>83</v>
      </c>
      <c r="G1272" s="5" t="s">
        <v>84</v>
      </c>
      <c r="H1272" s="5" t="s">
        <v>86</v>
      </c>
      <c r="I1272" s="5" t="s">
        <v>40</v>
      </c>
      <c r="J1272" s="5" t="s">
        <v>41</v>
      </c>
      <c r="K1272">
        <v>59</v>
      </c>
      <c r="L1272">
        <v>600777</v>
      </c>
      <c r="M1272" s="26">
        <v>35445843</v>
      </c>
      <c r="N1272">
        <v>43050</v>
      </c>
      <c r="O1272" s="26">
        <v>3614325.41</v>
      </c>
      <c r="P1272" s="5" t="s">
        <v>42</v>
      </c>
      <c r="Q1272" s="5" t="s">
        <v>51</v>
      </c>
      <c r="R1272">
        <v>4.8</v>
      </c>
      <c r="S1272">
        <v>20</v>
      </c>
      <c r="T1272">
        <f t="shared" si="19"/>
        <v>1</v>
      </c>
    </row>
    <row r="1273" spans="1:20">
      <c r="A1273" s="4">
        <v>44985</v>
      </c>
      <c r="B1273">
        <v>2023</v>
      </c>
      <c r="C1273">
        <v>2</v>
      </c>
      <c r="D1273" s="5" t="s">
        <v>35</v>
      </c>
      <c r="E1273" s="5" t="s">
        <v>60</v>
      </c>
      <c r="F1273" s="5" t="s">
        <v>61</v>
      </c>
      <c r="G1273" s="5" t="s">
        <v>62</v>
      </c>
      <c r="H1273" s="5" t="s">
        <v>63</v>
      </c>
      <c r="I1273" s="5" t="s">
        <v>64</v>
      </c>
      <c r="J1273" s="5" t="s">
        <v>41</v>
      </c>
      <c r="K1273">
        <v>38</v>
      </c>
      <c r="L1273">
        <v>764278</v>
      </c>
      <c r="M1273" s="26">
        <v>29042564</v>
      </c>
      <c r="N1273">
        <v>42698</v>
      </c>
      <c r="O1273" s="26">
        <v>2476098.46</v>
      </c>
      <c r="P1273" s="5" t="s">
        <v>42</v>
      </c>
      <c r="Q1273" s="5" t="s">
        <v>43</v>
      </c>
      <c r="R1273">
        <v>4.5999999999999996</v>
      </c>
      <c r="S1273">
        <v>6</v>
      </c>
      <c r="T1273">
        <f t="shared" si="19"/>
        <v>1</v>
      </c>
    </row>
    <row r="1274" spans="1:20">
      <c r="A1274" s="4">
        <v>44963</v>
      </c>
      <c r="B1274">
        <v>2023</v>
      </c>
      <c r="C1274">
        <v>2</v>
      </c>
      <c r="D1274" s="5" t="s">
        <v>54</v>
      </c>
      <c r="E1274" s="5" t="s">
        <v>55</v>
      </c>
      <c r="F1274" s="5" t="s">
        <v>55</v>
      </c>
      <c r="G1274" s="5" t="s">
        <v>56</v>
      </c>
      <c r="H1274" s="5" t="s">
        <v>85</v>
      </c>
      <c r="I1274" s="5" t="s">
        <v>58</v>
      </c>
      <c r="J1274" s="5" t="s">
        <v>49</v>
      </c>
      <c r="K1274">
        <v>38</v>
      </c>
      <c r="L1274">
        <v>969547</v>
      </c>
      <c r="M1274" s="26">
        <v>36842786</v>
      </c>
      <c r="N1274">
        <v>41064</v>
      </c>
      <c r="O1274" s="26">
        <v>5084603.24</v>
      </c>
      <c r="P1274" s="5" t="s">
        <v>50</v>
      </c>
      <c r="Q1274" s="5" t="s">
        <v>75</v>
      </c>
      <c r="R1274">
        <v>4.3</v>
      </c>
      <c r="S1274">
        <v>19</v>
      </c>
      <c r="T1274">
        <f t="shared" si="19"/>
        <v>0</v>
      </c>
    </row>
    <row r="1275" spans="1:20">
      <c r="A1275" s="4">
        <v>44964</v>
      </c>
      <c r="B1275">
        <v>2023</v>
      </c>
      <c r="C1275">
        <v>2</v>
      </c>
      <c r="D1275" s="5" t="s">
        <v>35</v>
      </c>
      <c r="E1275" s="5" t="s">
        <v>60</v>
      </c>
      <c r="F1275" s="5" t="s">
        <v>61</v>
      </c>
      <c r="G1275" s="5" t="s">
        <v>62</v>
      </c>
      <c r="H1275" s="5" t="s">
        <v>65</v>
      </c>
      <c r="I1275" s="5" t="s">
        <v>53</v>
      </c>
      <c r="J1275" s="5" t="s">
        <v>49</v>
      </c>
      <c r="K1275">
        <v>15</v>
      </c>
      <c r="L1275">
        <v>1247580</v>
      </c>
      <c r="M1275" s="26">
        <v>18713700</v>
      </c>
      <c r="N1275">
        <v>16447</v>
      </c>
      <c r="O1275" s="26">
        <v>1804367.2</v>
      </c>
      <c r="P1275" s="5" t="s">
        <v>42</v>
      </c>
      <c r="Q1275" s="5" t="s">
        <v>51</v>
      </c>
      <c r="R1275">
        <v>4.2</v>
      </c>
      <c r="S1275">
        <v>16</v>
      </c>
      <c r="T1275">
        <f t="shared" si="19"/>
        <v>1</v>
      </c>
    </row>
    <row r="1276" spans="1:20">
      <c r="A1276" s="4">
        <v>44968</v>
      </c>
      <c r="B1276">
        <v>2023</v>
      </c>
      <c r="C1276">
        <v>2</v>
      </c>
      <c r="D1276" s="5" t="s">
        <v>44</v>
      </c>
      <c r="E1276" s="5" t="s">
        <v>45</v>
      </c>
      <c r="F1276" s="5" t="s">
        <v>46</v>
      </c>
      <c r="G1276" s="5" t="s">
        <v>47</v>
      </c>
      <c r="H1276" s="5" t="s">
        <v>52</v>
      </c>
      <c r="I1276" s="5" t="s">
        <v>53</v>
      </c>
      <c r="J1276" s="5" t="s">
        <v>41</v>
      </c>
      <c r="K1276">
        <v>22</v>
      </c>
      <c r="L1276">
        <v>962913</v>
      </c>
      <c r="M1276" s="26">
        <v>21184086</v>
      </c>
      <c r="N1276">
        <v>15268</v>
      </c>
      <c r="O1276" s="26">
        <v>1847295.71</v>
      </c>
      <c r="P1276" s="5" t="s">
        <v>50</v>
      </c>
      <c r="Q1276" s="5" t="s">
        <v>43</v>
      </c>
      <c r="R1276">
        <v>3.9</v>
      </c>
      <c r="S1276">
        <v>12</v>
      </c>
      <c r="T1276">
        <f t="shared" si="19"/>
        <v>0</v>
      </c>
    </row>
    <row r="1277" spans="1:20">
      <c r="A1277" s="4">
        <v>44976</v>
      </c>
      <c r="B1277">
        <v>2023</v>
      </c>
      <c r="C1277">
        <v>2</v>
      </c>
      <c r="D1277" s="5" t="s">
        <v>35</v>
      </c>
      <c r="E1277" s="5" t="s">
        <v>76</v>
      </c>
      <c r="F1277" s="5" t="s">
        <v>77</v>
      </c>
      <c r="G1277" s="5" t="s">
        <v>78</v>
      </c>
      <c r="H1277" s="5" t="s">
        <v>39</v>
      </c>
      <c r="I1277" s="5" t="s">
        <v>40</v>
      </c>
      <c r="J1277" s="5" t="s">
        <v>41</v>
      </c>
      <c r="K1277">
        <v>38</v>
      </c>
      <c r="L1277">
        <v>575322</v>
      </c>
      <c r="M1277" s="26">
        <v>21862236</v>
      </c>
      <c r="N1277">
        <v>18572</v>
      </c>
      <c r="O1277" s="26">
        <v>3098506.65</v>
      </c>
      <c r="P1277" s="5" t="s">
        <v>42</v>
      </c>
      <c r="Q1277" s="5" t="s">
        <v>51</v>
      </c>
      <c r="R1277">
        <v>4.9000000000000004</v>
      </c>
      <c r="S1277">
        <v>13</v>
      </c>
      <c r="T1277">
        <f t="shared" si="19"/>
        <v>1</v>
      </c>
    </row>
    <row r="1278" spans="1:20">
      <c r="A1278" s="4">
        <v>44982</v>
      </c>
      <c r="B1278">
        <v>2023</v>
      </c>
      <c r="C1278">
        <v>2</v>
      </c>
      <c r="D1278" s="5" t="s">
        <v>54</v>
      </c>
      <c r="E1278" s="5" t="s">
        <v>70</v>
      </c>
      <c r="F1278" s="5" t="s">
        <v>71</v>
      </c>
      <c r="G1278" s="5" t="s">
        <v>72</v>
      </c>
      <c r="H1278" s="5" t="s">
        <v>57</v>
      </c>
      <c r="I1278" s="5" t="s">
        <v>58</v>
      </c>
      <c r="J1278" s="5" t="s">
        <v>59</v>
      </c>
      <c r="K1278">
        <v>12</v>
      </c>
      <c r="L1278">
        <v>1392053</v>
      </c>
      <c r="M1278" s="26">
        <v>16704636</v>
      </c>
      <c r="N1278">
        <v>6925</v>
      </c>
      <c r="O1278" s="26">
        <v>2594117.5499999998</v>
      </c>
      <c r="P1278" s="5" t="s">
        <v>42</v>
      </c>
      <c r="Q1278" s="5" t="s">
        <v>43</v>
      </c>
      <c r="R1278">
        <v>4.5</v>
      </c>
      <c r="S1278">
        <v>11</v>
      </c>
      <c r="T1278">
        <f t="shared" si="19"/>
        <v>1</v>
      </c>
    </row>
    <row r="1279" spans="1:20">
      <c r="A1279" s="4">
        <v>44959</v>
      </c>
      <c r="B1279">
        <v>2023</v>
      </c>
      <c r="C1279">
        <v>2</v>
      </c>
      <c r="D1279" s="5" t="s">
        <v>35</v>
      </c>
      <c r="E1279" s="5" t="s">
        <v>36</v>
      </c>
      <c r="F1279" s="5" t="s">
        <v>37</v>
      </c>
      <c r="G1279" s="5" t="s">
        <v>38</v>
      </c>
      <c r="H1279" s="5" t="s">
        <v>86</v>
      </c>
      <c r="I1279" s="5" t="s">
        <v>40</v>
      </c>
      <c r="J1279" s="5" t="s">
        <v>41</v>
      </c>
      <c r="K1279">
        <v>36</v>
      </c>
      <c r="L1279">
        <v>625202</v>
      </c>
      <c r="M1279" s="26">
        <v>22507272</v>
      </c>
      <c r="N1279">
        <v>26716</v>
      </c>
      <c r="O1279" s="26">
        <v>3529568.52</v>
      </c>
      <c r="P1279" s="5" t="s">
        <v>42</v>
      </c>
      <c r="Q1279" s="5" t="s">
        <v>43</v>
      </c>
      <c r="R1279">
        <v>3.9</v>
      </c>
      <c r="S1279">
        <v>15</v>
      </c>
      <c r="T1279">
        <f t="shared" si="19"/>
        <v>1</v>
      </c>
    </row>
    <row r="1280" spans="1:20">
      <c r="A1280" s="4">
        <v>44978</v>
      </c>
      <c r="B1280">
        <v>2023</v>
      </c>
      <c r="C1280">
        <v>2</v>
      </c>
      <c r="D1280" s="5" t="s">
        <v>54</v>
      </c>
      <c r="E1280" s="5" t="s">
        <v>55</v>
      </c>
      <c r="F1280" s="5" t="s">
        <v>55</v>
      </c>
      <c r="G1280" s="5" t="s">
        <v>56</v>
      </c>
      <c r="H1280" s="5" t="s">
        <v>48</v>
      </c>
      <c r="I1280" s="5" t="s">
        <v>40</v>
      </c>
      <c r="J1280" s="5" t="s">
        <v>49</v>
      </c>
      <c r="K1280">
        <v>39</v>
      </c>
      <c r="L1280">
        <v>466364</v>
      </c>
      <c r="M1280" s="26">
        <v>18188196</v>
      </c>
      <c r="N1280">
        <v>45390</v>
      </c>
      <c r="O1280" s="26">
        <v>1688840.35</v>
      </c>
      <c r="P1280" s="5" t="s">
        <v>50</v>
      </c>
      <c r="Q1280" s="5" t="s">
        <v>51</v>
      </c>
      <c r="R1280">
        <v>4.0999999999999996</v>
      </c>
      <c r="S1280">
        <v>6</v>
      </c>
      <c r="T1280">
        <f t="shared" si="19"/>
        <v>0</v>
      </c>
    </row>
    <row r="1281" spans="1:20">
      <c r="A1281" s="4">
        <v>44985</v>
      </c>
      <c r="B1281">
        <v>2023</v>
      </c>
      <c r="C1281">
        <v>2</v>
      </c>
      <c r="D1281" s="5" t="s">
        <v>35</v>
      </c>
      <c r="E1281" s="5" t="s">
        <v>76</v>
      </c>
      <c r="F1281" s="5" t="s">
        <v>77</v>
      </c>
      <c r="G1281" s="5" t="s">
        <v>78</v>
      </c>
      <c r="H1281" s="5" t="s">
        <v>80</v>
      </c>
      <c r="I1281" s="5" t="s">
        <v>81</v>
      </c>
      <c r="J1281" s="5" t="s">
        <v>41</v>
      </c>
      <c r="K1281">
        <v>58</v>
      </c>
      <c r="L1281">
        <v>542674</v>
      </c>
      <c r="M1281" s="26">
        <v>31475092</v>
      </c>
      <c r="N1281">
        <v>6286</v>
      </c>
      <c r="O1281" s="26">
        <v>4761670.5599999996</v>
      </c>
      <c r="P1281" s="5" t="s">
        <v>42</v>
      </c>
      <c r="Q1281" s="5" t="s">
        <v>51</v>
      </c>
      <c r="R1281">
        <v>4.2</v>
      </c>
      <c r="S1281">
        <v>18</v>
      </c>
      <c r="T1281">
        <f t="shared" si="19"/>
        <v>1</v>
      </c>
    </row>
    <row r="1282" spans="1:20">
      <c r="A1282" s="4">
        <v>44967</v>
      </c>
      <c r="B1282">
        <v>2023</v>
      </c>
      <c r="C1282">
        <v>2</v>
      </c>
      <c r="D1282" s="5" t="s">
        <v>35</v>
      </c>
      <c r="E1282" s="5" t="s">
        <v>36</v>
      </c>
      <c r="F1282" s="5" t="s">
        <v>37</v>
      </c>
      <c r="G1282" s="5" t="s">
        <v>38</v>
      </c>
      <c r="H1282" s="5" t="s">
        <v>48</v>
      </c>
      <c r="I1282" s="5" t="s">
        <v>40</v>
      </c>
      <c r="J1282" s="5" t="s">
        <v>49</v>
      </c>
      <c r="K1282">
        <v>40</v>
      </c>
      <c r="L1282">
        <v>468903</v>
      </c>
      <c r="M1282" s="26">
        <v>18756120</v>
      </c>
      <c r="N1282">
        <v>16702</v>
      </c>
      <c r="O1282" s="26">
        <v>1541181.58</v>
      </c>
      <c r="P1282" s="5" t="s">
        <v>42</v>
      </c>
      <c r="Q1282" s="5" t="s">
        <v>75</v>
      </c>
      <c r="R1282">
        <v>4.5999999999999996</v>
      </c>
      <c r="S1282">
        <v>3</v>
      </c>
      <c r="T1282">
        <f t="shared" ref="T1282:T1345" si="20">IF(AND(OR($B1282=Sel_Year,Sel_Year="All"),OR($C1282=Sel_Month,Sel_Month="All"),OR($D1282=Sel_Region,Sel_Region="All"),OR($E1282=Sel_State,Sel_State="All"),OR($F1282=Sel_City,Sel_City="All"),OR($G1282=Sel_Dealer,Sel_Dealer="All"),OR($H1282=Sel_Model,Sel_Model="All"),OR($I1282=Sel_Segment,Sel_Segment="All"),OR($J1282=Sel_Fuel,Sel_Fuel="All"),OR($P1282=Sel_CustType,Sel_CustType="All"),OR($Q1282=Sel_Payment,Sel_Payment="All")),1,0)</f>
        <v>1</v>
      </c>
    </row>
    <row r="1283" spans="1:20">
      <c r="A1283" s="4">
        <v>44963</v>
      </c>
      <c r="B1283">
        <v>2023</v>
      </c>
      <c r="C1283">
        <v>2</v>
      </c>
      <c r="D1283" s="5" t="s">
        <v>66</v>
      </c>
      <c r="E1283" s="5" t="s">
        <v>67</v>
      </c>
      <c r="F1283" s="5" t="s">
        <v>68</v>
      </c>
      <c r="G1283" s="5" t="s">
        <v>69</v>
      </c>
      <c r="H1283" s="5" t="s">
        <v>63</v>
      </c>
      <c r="I1283" s="5" t="s">
        <v>64</v>
      </c>
      <c r="J1283" s="5" t="s">
        <v>41</v>
      </c>
      <c r="K1283">
        <v>10</v>
      </c>
      <c r="L1283">
        <v>756293</v>
      </c>
      <c r="M1283" s="26">
        <v>7562930</v>
      </c>
      <c r="N1283">
        <v>46555</v>
      </c>
      <c r="O1283" s="26">
        <v>1072788.3600000001</v>
      </c>
      <c r="P1283" s="5" t="s">
        <v>50</v>
      </c>
      <c r="Q1283" s="5" t="s">
        <v>75</v>
      </c>
      <c r="R1283">
        <v>4.3</v>
      </c>
      <c r="S1283">
        <v>9</v>
      </c>
      <c r="T1283">
        <f t="shared" si="20"/>
        <v>0</v>
      </c>
    </row>
    <row r="1284" spans="1:20">
      <c r="A1284" s="4">
        <v>44966</v>
      </c>
      <c r="B1284">
        <v>2023</v>
      </c>
      <c r="C1284">
        <v>2</v>
      </c>
      <c r="D1284" s="5" t="s">
        <v>35</v>
      </c>
      <c r="E1284" s="5" t="s">
        <v>36</v>
      </c>
      <c r="F1284" s="5" t="s">
        <v>37</v>
      </c>
      <c r="G1284" s="5" t="s">
        <v>38</v>
      </c>
      <c r="H1284" s="5" t="s">
        <v>74</v>
      </c>
      <c r="I1284" s="5" t="s">
        <v>40</v>
      </c>
      <c r="J1284" s="5" t="s">
        <v>49</v>
      </c>
      <c r="K1284">
        <v>16</v>
      </c>
      <c r="L1284">
        <v>647587</v>
      </c>
      <c r="M1284" s="26">
        <v>10361392</v>
      </c>
      <c r="N1284">
        <v>26630</v>
      </c>
      <c r="O1284" s="26">
        <v>951307.66</v>
      </c>
      <c r="P1284" s="5" t="s">
        <v>50</v>
      </c>
      <c r="Q1284" s="5" t="s">
        <v>51</v>
      </c>
      <c r="R1284">
        <v>4.8</v>
      </c>
      <c r="S1284">
        <v>4</v>
      </c>
      <c r="T1284">
        <f t="shared" si="20"/>
        <v>0</v>
      </c>
    </row>
    <row r="1285" spans="1:20">
      <c r="A1285" s="4">
        <v>44965</v>
      </c>
      <c r="B1285">
        <v>2023</v>
      </c>
      <c r="C1285">
        <v>2</v>
      </c>
      <c r="D1285" s="5" t="s">
        <v>54</v>
      </c>
      <c r="E1285" s="5" t="s">
        <v>55</v>
      </c>
      <c r="F1285" s="5" t="s">
        <v>55</v>
      </c>
      <c r="G1285" s="5" t="s">
        <v>56</v>
      </c>
      <c r="H1285" s="5" t="s">
        <v>63</v>
      </c>
      <c r="I1285" s="5" t="s">
        <v>64</v>
      </c>
      <c r="J1285" s="5" t="s">
        <v>41</v>
      </c>
      <c r="K1285">
        <v>18</v>
      </c>
      <c r="L1285">
        <v>738757</v>
      </c>
      <c r="M1285" s="26">
        <v>13297626</v>
      </c>
      <c r="N1285">
        <v>26248</v>
      </c>
      <c r="O1285" s="26">
        <v>1648626.27</v>
      </c>
      <c r="P1285" s="5" t="s">
        <v>50</v>
      </c>
      <c r="Q1285" s="5" t="s">
        <v>75</v>
      </c>
      <c r="R1285">
        <v>4.5</v>
      </c>
      <c r="S1285">
        <v>12</v>
      </c>
      <c r="T1285">
        <f t="shared" si="20"/>
        <v>0</v>
      </c>
    </row>
    <row r="1286" spans="1:20">
      <c r="A1286" s="4">
        <v>44973</v>
      </c>
      <c r="B1286">
        <v>2023</v>
      </c>
      <c r="C1286">
        <v>2</v>
      </c>
      <c r="D1286" s="5" t="s">
        <v>44</v>
      </c>
      <c r="E1286" s="5" t="s">
        <v>82</v>
      </c>
      <c r="F1286" s="5" t="s">
        <v>83</v>
      </c>
      <c r="G1286" s="5" t="s">
        <v>84</v>
      </c>
      <c r="H1286" s="5" t="s">
        <v>74</v>
      </c>
      <c r="I1286" s="5" t="s">
        <v>40</v>
      </c>
      <c r="J1286" s="5" t="s">
        <v>49</v>
      </c>
      <c r="K1286">
        <v>11</v>
      </c>
      <c r="L1286">
        <v>644525</v>
      </c>
      <c r="M1286" s="26">
        <v>7089775</v>
      </c>
      <c r="N1286">
        <v>23854</v>
      </c>
      <c r="O1286" s="26">
        <v>1050661.71</v>
      </c>
      <c r="P1286" s="5" t="s">
        <v>50</v>
      </c>
      <c r="Q1286" s="5" t="s">
        <v>43</v>
      </c>
      <c r="R1286">
        <v>5</v>
      </c>
      <c r="S1286">
        <v>17</v>
      </c>
      <c r="T1286">
        <f t="shared" si="20"/>
        <v>0</v>
      </c>
    </row>
    <row r="1287" spans="1:20">
      <c r="A1287" s="4">
        <v>44982</v>
      </c>
      <c r="B1287">
        <v>2023</v>
      </c>
      <c r="C1287">
        <v>2</v>
      </c>
      <c r="D1287" s="5" t="s">
        <v>35</v>
      </c>
      <c r="E1287" s="5" t="s">
        <v>76</v>
      </c>
      <c r="F1287" s="5" t="s">
        <v>77</v>
      </c>
      <c r="G1287" s="5" t="s">
        <v>78</v>
      </c>
      <c r="H1287" s="5" t="s">
        <v>86</v>
      </c>
      <c r="I1287" s="5" t="s">
        <v>40</v>
      </c>
      <c r="J1287" s="5" t="s">
        <v>41</v>
      </c>
      <c r="K1287">
        <v>48</v>
      </c>
      <c r="L1287">
        <v>591346</v>
      </c>
      <c r="M1287" s="26">
        <v>28384608</v>
      </c>
      <c r="N1287">
        <v>22232</v>
      </c>
      <c r="O1287" s="26">
        <v>3734239.49</v>
      </c>
      <c r="P1287" s="5" t="s">
        <v>42</v>
      </c>
      <c r="Q1287" s="5" t="s">
        <v>75</v>
      </c>
      <c r="R1287">
        <v>4.2</v>
      </c>
      <c r="S1287">
        <v>4</v>
      </c>
      <c r="T1287">
        <f t="shared" si="20"/>
        <v>1</v>
      </c>
    </row>
    <row r="1288" spans="1:20">
      <c r="A1288" s="4">
        <v>44981</v>
      </c>
      <c r="B1288">
        <v>2023</v>
      </c>
      <c r="C1288">
        <v>2</v>
      </c>
      <c r="D1288" s="5" t="s">
        <v>35</v>
      </c>
      <c r="E1288" s="5" t="s">
        <v>60</v>
      </c>
      <c r="F1288" s="5" t="s">
        <v>61</v>
      </c>
      <c r="G1288" s="5" t="s">
        <v>62</v>
      </c>
      <c r="H1288" s="5" t="s">
        <v>52</v>
      </c>
      <c r="I1288" s="5" t="s">
        <v>53</v>
      </c>
      <c r="J1288" s="5" t="s">
        <v>41</v>
      </c>
      <c r="K1288">
        <v>16</v>
      </c>
      <c r="L1288">
        <v>968928</v>
      </c>
      <c r="M1288" s="26">
        <v>15502848</v>
      </c>
      <c r="N1288">
        <v>11946</v>
      </c>
      <c r="O1288" s="26">
        <v>2180248.25</v>
      </c>
      <c r="P1288" s="5" t="s">
        <v>50</v>
      </c>
      <c r="Q1288" s="5" t="s">
        <v>75</v>
      </c>
      <c r="R1288">
        <v>3.6</v>
      </c>
      <c r="S1288">
        <v>7</v>
      </c>
      <c r="T1288">
        <f t="shared" si="20"/>
        <v>0</v>
      </c>
    </row>
    <row r="1289" spans="1:20">
      <c r="A1289" s="4">
        <v>44959</v>
      </c>
      <c r="B1289">
        <v>2023</v>
      </c>
      <c r="C1289">
        <v>2</v>
      </c>
      <c r="D1289" s="5" t="s">
        <v>54</v>
      </c>
      <c r="E1289" s="5" t="s">
        <v>55</v>
      </c>
      <c r="F1289" s="5" t="s">
        <v>55</v>
      </c>
      <c r="G1289" s="5" t="s">
        <v>56</v>
      </c>
      <c r="H1289" s="5" t="s">
        <v>85</v>
      </c>
      <c r="I1289" s="5" t="s">
        <v>58</v>
      </c>
      <c r="J1289" s="5" t="s">
        <v>49</v>
      </c>
      <c r="K1289">
        <v>7</v>
      </c>
      <c r="L1289">
        <v>1005169</v>
      </c>
      <c r="M1289" s="26">
        <v>7036183</v>
      </c>
      <c r="N1289">
        <v>43904</v>
      </c>
      <c r="O1289" s="26">
        <v>845161.36</v>
      </c>
      <c r="P1289" s="5" t="s">
        <v>42</v>
      </c>
      <c r="Q1289" s="5" t="s">
        <v>51</v>
      </c>
      <c r="R1289">
        <v>4.8</v>
      </c>
      <c r="S1289">
        <v>6</v>
      </c>
      <c r="T1289">
        <f t="shared" si="20"/>
        <v>1</v>
      </c>
    </row>
    <row r="1290" spans="1:20">
      <c r="A1290" s="4">
        <v>44962</v>
      </c>
      <c r="B1290">
        <v>2023</v>
      </c>
      <c r="C1290">
        <v>2</v>
      </c>
      <c r="D1290" s="5" t="s">
        <v>35</v>
      </c>
      <c r="E1290" s="5" t="s">
        <v>76</v>
      </c>
      <c r="F1290" s="5" t="s">
        <v>77</v>
      </c>
      <c r="G1290" s="5" t="s">
        <v>78</v>
      </c>
      <c r="H1290" s="5" t="s">
        <v>85</v>
      </c>
      <c r="I1290" s="5" t="s">
        <v>58</v>
      </c>
      <c r="J1290" s="5" t="s">
        <v>49</v>
      </c>
      <c r="K1290">
        <v>24</v>
      </c>
      <c r="L1290">
        <v>1001733</v>
      </c>
      <c r="M1290" s="26">
        <v>24041592</v>
      </c>
      <c r="N1290">
        <v>32679</v>
      </c>
      <c r="O1290" s="26">
        <v>2018863.84</v>
      </c>
      <c r="P1290" s="5" t="s">
        <v>50</v>
      </c>
      <c r="Q1290" s="5" t="s">
        <v>75</v>
      </c>
      <c r="R1290">
        <v>4.3</v>
      </c>
      <c r="S1290">
        <v>9</v>
      </c>
      <c r="T1290">
        <f t="shared" si="20"/>
        <v>0</v>
      </c>
    </row>
    <row r="1291" spans="1:20">
      <c r="A1291" s="4">
        <v>44974</v>
      </c>
      <c r="B1291">
        <v>2023</v>
      </c>
      <c r="C1291">
        <v>2</v>
      </c>
      <c r="D1291" s="5" t="s">
        <v>44</v>
      </c>
      <c r="E1291" s="5" t="s">
        <v>45</v>
      </c>
      <c r="F1291" s="5" t="s">
        <v>46</v>
      </c>
      <c r="G1291" s="5" t="s">
        <v>47</v>
      </c>
      <c r="H1291" s="5" t="s">
        <v>52</v>
      </c>
      <c r="I1291" s="5" t="s">
        <v>53</v>
      </c>
      <c r="J1291" s="5" t="s">
        <v>41</v>
      </c>
      <c r="K1291">
        <v>52</v>
      </c>
      <c r="L1291">
        <v>929655</v>
      </c>
      <c r="M1291" s="26">
        <v>48342060</v>
      </c>
      <c r="N1291">
        <v>19545</v>
      </c>
      <c r="O1291" s="26">
        <v>4893575.2</v>
      </c>
      <c r="P1291" s="5" t="s">
        <v>42</v>
      </c>
      <c r="Q1291" s="5" t="s">
        <v>51</v>
      </c>
      <c r="R1291">
        <v>5</v>
      </c>
      <c r="S1291">
        <v>21</v>
      </c>
      <c r="T1291">
        <f t="shared" si="20"/>
        <v>1</v>
      </c>
    </row>
    <row r="1292" spans="1:20">
      <c r="A1292" s="4">
        <v>44972</v>
      </c>
      <c r="B1292">
        <v>2023</v>
      </c>
      <c r="C1292">
        <v>2</v>
      </c>
      <c r="D1292" s="5" t="s">
        <v>44</v>
      </c>
      <c r="E1292" s="5" t="s">
        <v>82</v>
      </c>
      <c r="F1292" s="5" t="s">
        <v>83</v>
      </c>
      <c r="G1292" s="5" t="s">
        <v>84</v>
      </c>
      <c r="H1292" s="5" t="s">
        <v>74</v>
      </c>
      <c r="I1292" s="5" t="s">
        <v>40</v>
      </c>
      <c r="J1292" s="5" t="s">
        <v>49</v>
      </c>
      <c r="K1292">
        <v>59</v>
      </c>
      <c r="L1292">
        <v>628496</v>
      </c>
      <c r="M1292" s="26">
        <v>37081264</v>
      </c>
      <c r="N1292">
        <v>46954</v>
      </c>
      <c r="O1292" s="26">
        <v>3965456.85</v>
      </c>
      <c r="P1292" s="5" t="s">
        <v>42</v>
      </c>
      <c r="Q1292" s="5" t="s">
        <v>51</v>
      </c>
      <c r="R1292">
        <v>4</v>
      </c>
      <c r="S1292">
        <v>5</v>
      </c>
      <c r="T1292">
        <f t="shared" si="20"/>
        <v>1</v>
      </c>
    </row>
    <row r="1293" spans="1:20">
      <c r="A1293" s="4">
        <v>44979</v>
      </c>
      <c r="B1293">
        <v>2023</v>
      </c>
      <c r="C1293">
        <v>2</v>
      </c>
      <c r="D1293" s="5" t="s">
        <v>35</v>
      </c>
      <c r="E1293" s="5" t="s">
        <v>36</v>
      </c>
      <c r="F1293" s="5" t="s">
        <v>37</v>
      </c>
      <c r="G1293" s="5" t="s">
        <v>38</v>
      </c>
      <c r="H1293" s="5" t="s">
        <v>85</v>
      </c>
      <c r="I1293" s="5" t="s">
        <v>58</v>
      </c>
      <c r="J1293" s="5" t="s">
        <v>49</v>
      </c>
      <c r="K1293">
        <v>37</v>
      </c>
      <c r="L1293">
        <v>974210</v>
      </c>
      <c r="M1293" s="26">
        <v>36045770</v>
      </c>
      <c r="N1293">
        <v>42492</v>
      </c>
      <c r="O1293" s="26">
        <v>4781526.21</v>
      </c>
      <c r="P1293" s="5" t="s">
        <v>50</v>
      </c>
      <c r="Q1293" s="5" t="s">
        <v>43</v>
      </c>
      <c r="R1293">
        <v>4.2</v>
      </c>
      <c r="S1293">
        <v>15</v>
      </c>
      <c r="T1293">
        <f t="shared" si="20"/>
        <v>0</v>
      </c>
    </row>
    <row r="1294" spans="1:20">
      <c r="A1294" s="4">
        <v>44983</v>
      </c>
      <c r="B1294">
        <v>2023</v>
      </c>
      <c r="C1294">
        <v>2</v>
      </c>
      <c r="D1294" s="5" t="s">
        <v>44</v>
      </c>
      <c r="E1294" s="5" t="s">
        <v>45</v>
      </c>
      <c r="F1294" s="5" t="s">
        <v>46</v>
      </c>
      <c r="G1294" s="5" t="s">
        <v>47</v>
      </c>
      <c r="H1294" s="5" t="s">
        <v>48</v>
      </c>
      <c r="I1294" s="5" t="s">
        <v>40</v>
      </c>
      <c r="J1294" s="5" t="s">
        <v>49</v>
      </c>
      <c r="K1294">
        <v>32</v>
      </c>
      <c r="L1294">
        <v>460661</v>
      </c>
      <c r="M1294" s="26">
        <v>14741152</v>
      </c>
      <c r="N1294">
        <v>22706</v>
      </c>
      <c r="O1294" s="26">
        <v>1890116.23</v>
      </c>
      <c r="P1294" s="5" t="s">
        <v>50</v>
      </c>
      <c r="Q1294" s="5" t="s">
        <v>75</v>
      </c>
      <c r="R1294">
        <v>4</v>
      </c>
      <c r="S1294">
        <v>5</v>
      </c>
      <c r="T1294">
        <f t="shared" si="20"/>
        <v>0</v>
      </c>
    </row>
    <row r="1295" spans="1:20">
      <c r="A1295" s="4">
        <v>44978</v>
      </c>
      <c r="B1295">
        <v>2023</v>
      </c>
      <c r="C1295">
        <v>2</v>
      </c>
      <c r="D1295" s="5" t="s">
        <v>35</v>
      </c>
      <c r="E1295" s="5" t="s">
        <v>76</v>
      </c>
      <c r="F1295" s="5" t="s">
        <v>77</v>
      </c>
      <c r="G1295" s="5" t="s">
        <v>78</v>
      </c>
      <c r="H1295" s="5" t="s">
        <v>52</v>
      </c>
      <c r="I1295" s="5" t="s">
        <v>53</v>
      </c>
      <c r="J1295" s="5" t="s">
        <v>41</v>
      </c>
      <c r="K1295">
        <v>16</v>
      </c>
      <c r="L1295">
        <v>922756</v>
      </c>
      <c r="M1295" s="26">
        <v>14764096</v>
      </c>
      <c r="N1295">
        <v>11690</v>
      </c>
      <c r="O1295" s="26">
        <v>1853584.47</v>
      </c>
      <c r="P1295" s="5" t="s">
        <v>42</v>
      </c>
      <c r="Q1295" s="5" t="s">
        <v>51</v>
      </c>
      <c r="R1295">
        <v>4.9000000000000004</v>
      </c>
      <c r="S1295">
        <v>19</v>
      </c>
      <c r="T1295">
        <f t="shared" si="20"/>
        <v>1</v>
      </c>
    </row>
    <row r="1296" spans="1:20">
      <c r="A1296" s="4">
        <v>44961</v>
      </c>
      <c r="B1296">
        <v>2023</v>
      </c>
      <c r="C1296">
        <v>2</v>
      </c>
      <c r="D1296" s="5" t="s">
        <v>35</v>
      </c>
      <c r="E1296" s="5" t="s">
        <v>76</v>
      </c>
      <c r="F1296" s="5" t="s">
        <v>77</v>
      </c>
      <c r="G1296" s="5" t="s">
        <v>78</v>
      </c>
      <c r="H1296" s="5" t="s">
        <v>48</v>
      </c>
      <c r="I1296" s="5" t="s">
        <v>40</v>
      </c>
      <c r="J1296" s="5" t="s">
        <v>49</v>
      </c>
      <c r="K1296">
        <v>46</v>
      </c>
      <c r="L1296">
        <v>430891</v>
      </c>
      <c r="M1296" s="26">
        <v>19820986</v>
      </c>
      <c r="N1296">
        <v>22671</v>
      </c>
      <c r="O1296" s="26">
        <v>2195450.7200000002</v>
      </c>
      <c r="P1296" s="5" t="s">
        <v>50</v>
      </c>
      <c r="Q1296" s="5" t="s">
        <v>51</v>
      </c>
      <c r="R1296">
        <v>3.7</v>
      </c>
      <c r="S1296">
        <v>12</v>
      </c>
      <c r="T1296">
        <f t="shared" si="20"/>
        <v>0</v>
      </c>
    </row>
    <row r="1297" spans="1:20">
      <c r="A1297" s="4">
        <v>44959</v>
      </c>
      <c r="B1297">
        <v>2023</v>
      </c>
      <c r="C1297">
        <v>2</v>
      </c>
      <c r="D1297" s="5" t="s">
        <v>35</v>
      </c>
      <c r="E1297" s="5" t="s">
        <v>76</v>
      </c>
      <c r="F1297" s="5" t="s">
        <v>77</v>
      </c>
      <c r="G1297" s="5" t="s">
        <v>78</v>
      </c>
      <c r="H1297" s="5" t="s">
        <v>57</v>
      </c>
      <c r="I1297" s="5" t="s">
        <v>58</v>
      </c>
      <c r="J1297" s="5" t="s">
        <v>59</v>
      </c>
      <c r="K1297">
        <v>18</v>
      </c>
      <c r="L1297">
        <v>1400132</v>
      </c>
      <c r="M1297" s="26">
        <v>25202376</v>
      </c>
      <c r="N1297">
        <v>35697</v>
      </c>
      <c r="O1297" s="26">
        <v>2316682.17</v>
      </c>
      <c r="P1297" s="5" t="s">
        <v>42</v>
      </c>
      <c r="Q1297" s="5" t="s">
        <v>75</v>
      </c>
      <c r="R1297">
        <v>5</v>
      </c>
      <c r="S1297">
        <v>5</v>
      </c>
      <c r="T1297">
        <f t="shared" si="20"/>
        <v>1</v>
      </c>
    </row>
    <row r="1298" spans="1:20">
      <c r="A1298" s="4">
        <v>44960</v>
      </c>
      <c r="B1298">
        <v>2023</v>
      </c>
      <c r="C1298">
        <v>2</v>
      </c>
      <c r="D1298" s="5" t="s">
        <v>54</v>
      </c>
      <c r="E1298" s="5" t="s">
        <v>70</v>
      </c>
      <c r="F1298" s="5" t="s">
        <v>71</v>
      </c>
      <c r="G1298" s="5" t="s">
        <v>72</v>
      </c>
      <c r="H1298" s="5" t="s">
        <v>86</v>
      </c>
      <c r="I1298" s="5" t="s">
        <v>40</v>
      </c>
      <c r="J1298" s="5" t="s">
        <v>41</v>
      </c>
      <c r="K1298">
        <v>29</v>
      </c>
      <c r="L1298">
        <v>612313</v>
      </c>
      <c r="M1298" s="26">
        <v>17757077</v>
      </c>
      <c r="N1298">
        <v>36533</v>
      </c>
      <c r="O1298" s="26">
        <v>1476685.47</v>
      </c>
      <c r="P1298" s="5" t="s">
        <v>50</v>
      </c>
      <c r="Q1298" s="5" t="s">
        <v>75</v>
      </c>
      <c r="R1298">
        <v>3.9</v>
      </c>
      <c r="S1298">
        <v>4</v>
      </c>
      <c r="T1298">
        <f t="shared" si="20"/>
        <v>0</v>
      </c>
    </row>
    <row r="1299" spans="1:20">
      <c r="A1299" s="4">
        <v>44971</v>
      </c>
      <c r="B1299">
        <v>2023</v>
      </c>
      <c r="C1299">
        <v>2</v>
      </c>
      <c r="D1299" s="5" t="s">
        <v>54</v>
      </c>
      <c r="E1299" s="5" t="s">
        <v>55</v>
      </c>
      <c r="F1299" s="5" t="s">
        <v>55</v>
      </c>
      <c r="G1299" s="5" t="s">
        <v>56</v>
      </c>
      <c r="H1299" s="5" t="s">
        <v>57</v>
      </c>
      <c r="I1299" s="5" t="s">
        <v>58</v>
      </c>
      <c r="J1299" s="5" t="s">
        <v>59</v>
      </c>
      <c r="K1299">
        <v>8</v>
      </c>
      <c r="L1299">
        <v>1383031</v>
      </c>
      <c r="M1299" s="26">
        <v>11064248</v>
      </c>
      <c r="N1299">
        <v>27646</v>
      </c>
      <c r="O1299" s="26">
        <v>945468</v>
      </c>
      <c r="P1299" s="5" t="s">
        <v>42</v>
      </c>
      <c r="Q1299" s="5" t="s">
        <v>75</v>
      </c>
      <c r="R1299">
        <v>5</v>
      </c>
      <c r="S1299">
        <v>4</v>
      </c>
      <c r="T1299">
        <f t="shared" si="20"/>
        <v>1</v>
      </c>
    </row>
    <row r="1300" spans="1:20">
      <c r="A1300" s="4">
        <v>44960</v>
      </c>
      <c r="B1300">
        <v>2023</v>
      </c>
      <c r="C1300">
        <v>2</v>
      </c>
      <c r="D1300" s="5" t="s">
        <v>54</v>
      </c>
      <c r="E1300" s="5" t="s">
        <v>55</v>
      </c>
      <c r="F1300" s="5" t="s">
        <v>55</v>
      </c>
      <c r="G1300" s="5" t="s">
        <v>56</v>
      </c>
      <c r="H1300" s="5" t="s">
        <v>63</v>
      </c>
      <c r="I1300" s="5" t="s">
        <v>64</v>
      </c>
      <c r="J1300" s="5" t="s">
        <v>41</v>
      </c>
      <c r="K1300">
        <v>59</v>
      </c>
      <c r="L1300">
        <v>732209</v>
      </c>
      <c r="M1300" s="26">
        <v>43200331</v>
      </c>
      <c r="N1300">
        <v>46672</v>
      </c>
      <c r="O1300" s="26">
        <v>5967863.5499999998</v>
      </c>
      <c r="P1300" s="5" t="s">
        <v>50</v>
      </c>
      <c r="Q1300" s="5" t="s">
        <v>51</v>
      </c>
      <c r="R1300">
        <v>4.2</v>
      </c>
      <c r="S1300">
        <v>11</v>
      </c>
      <c r="T1300">
        <f t="shared" si="20"/>
        <v>0</v>
      </c>
    </row>
    <row r="1301" spans="1:20">
      <c r="A1301" s="4">
        <v>44977</v>
      </c>
      <c r="B1301">
        <v>2023</v>
      </c>
      <c r="C1301">
        <v>2</v>
      </c>
      <c r="D1301" s="5" t="s">
        <v>44</v>
      </c>
      <c r="E1301" s="5" t="s">
        <v>82</v>
      </c>
      <c r="F1301" s="5" t="s">
        <v>83</v>
      </c>
      <c r="G1301" s="5" t="s">
        <v>84</v>
      </c>
      <c r="H1301" s="5" t="s">
        <v>65</v>
      </c>
      <c r="I1301" s="5" t="s">
        <v>53</v>
      </c>
      <c r="J1301" s="5" t="s">
        <v>49</v>
      </c>
      <c r="K1301">
        <v>22</v>
      </c>
      <c r="L1301">
        <v>1258142</v>
      </c>
      <c r="M1301" s="26">
        <v>27679124</v>
      </c>
      <c r="N1301">
        <v>36640</v>
      </c>
      <c r="O1301" s="26">
        <v>3501641.15</v>
      </c>
      <c r="P1301" s="5" t="s">
        <v>42</v>
      </c>
      <c r="Q1301" s="5" t="s">
        <v>51</v>
      </c>
      <c r="R1301">
        <v>3.6</v>
      </c>
      <c r="S1301">
        <v>13</v>
      </c>
      <c r="T1301">
        <f t="shared" si="20"/>
        <v>1</v>
      </c>
    </row>
    <row r="1302" spans="1:20">
      <c r="A1302" s="4">
        <v>44986</v>
      </c>
      <c r="B1302">
        <v>2023</v>
      </c>
      <c r="C1302">
        <v>3</v>
      </c>
      <c r="D1302" s="5" t="s">
        <v>54</v>
      </c>
      <c r="E1302" s="5" t="s">
        <v>70</v>
      </c>
      <c r="F1302" s="5" t="s">
        <v>71</v>
      </c>
      <c r="G1302" s="5" t="s">
        <v>72</v>
      </c>
      <c r="H1302" s="5" t="s">
        <v>65</v>
      </c>
      <c r="I1302" s="5" t="s">
        <v>53</v>
      </c>
      <c r="J1302" s="5" t="s">
        <v>49</v>
      </c>
      <c r="K1302">
        <v>56</v>
      </c>
      <c r="L1302">
        <v>1261138</v>
      </c>
      <c r="M1302" s="26">
        <v>70623728</v>
      </c>
      <c r="N1302">
        <v>30786</v>
      </c>
      <c r="O1302" s="26">
        <v>6011727.9199999999</v>
      </c>
      <c r="P1302" s="5" t="s">
        <v>50</v>
      </c>
      <c r="Q1302" s="5" t="s">
        <v>75</v>
      </c>
      <c r="R1302">
        <v>3.6</v>
      </c>
      <c r="S1302">
        <v>14</v>
      </c>
      <c r="T1302">
        <f t="shared" si="20"/>
        <v>0</v>
      </c>
    </row>
    <row r="1303" spans="1:20">
      <c r="A1303" s="4">
        <v>44993</v>
      </c>
      <c r="B1303">
        <v>2023</v>
      </c>
      <c r="C1303">
        <v>3</v>
      </c>
      <c r="D1303" s="5" t="s">
        <v>35</v>
      </c>
      <c r="E1303" s="5" t="s">
        <v>60</v>
      </c>
      <c r="F1303" s="5" t="s">
        <v>61</v>
      </c>
      <c r="G1303" s="5" t="s">
        <v>62</v>
      </c>
      <c r="H1303" s="5" t="s">
        <v>52</v>
      </c>
      <c r="I1303" s="5" t="s">
        <v>53</v>
      </c>
      <c r="J1303" s="5" t="s">
        <v>41</v>
      </c>
      <c r="K1303">
        <v>60</v>
      </c>
      <c r="L1303">
        <v>934453</v>
      </c>
      <c r="M1303" s="26">
        <v>56067180</v>
      </c>
      <c r="N1303">
        <v>11729</v>
      </c>
      <c r="O1303" s="26">
        <v>8033152.5599999996</v>
      </c>
      <c r="P1303" s="5" t="s">
        <v>50</v>
      </c>
      <c r="Q1303" s="5" t="s">
        <v>51</v>
      </c>
      <c r="R1303">
        <v>4.5</v>
      </c>
      <c r="S1303">
        <v>12</v>
      </c>
      <c r="T1303">
        <f t="shared" si="20"/>
        <v>0</v>
      </c>
    </row>
    <row r="1304" spans="1:20">
      <c r="A1304" s="4">
        <v>44994</v>
      </c>
      <c r="B1304">
        <v>2023</v>
      </c>
      <c r="C1304">
        <v>3</v>
      </c>
      <c r="D1304" s="5" t="s">
        <v>35</v>
      </c>
      <c r="E1304" s="5" t="s">
        <v>76</v>
      </c>
      <c r="F1304" s="5" t="s">
        <v>77</v>
      </c>
      <c r="G1304" s="5" t="s">
        <v>78</v>
      </c>
      <c r="H1304" s="5" t="s">
        <v>65</v>
      </c>
      <c r="I1304" s="5" t="s">
        <v>53</v>
      </c>
      <c r="J1304" s="5" t="s">
        <v>49</v>
      </c>
      <c r="K1304">
        <v>30</v>
      </c>
      <c r="L1304">
        <v>1227589</v>
      </c>
      <c r="M1304" s="26">
        <v>36827670</v>
      </c>
      <c r="N1304">
        <v>33457</v>
      </c>
      <c r="O1304" s="26">
        <v>3890955.99</v>
      </c>
      <c r="P1304" s="5" t="s">
        <v>50</v>
      </c>
      <c r="Q1304" s="5" t="s">
        <v>75</v>
      </c>
      <c r="R1304">
        <v>3.7</v>
      </c>
      <c r="S1304">
        <v>14</v>
      </c>
      <c r="T1304">
        <f t="shared" si="20"/>
        <v>0</v>
      </c>
    </row>
    <row r="1305" spans="1:20">
      <c r="A1305" s="4">
        <v>45011</v>
      </c>
      <c r="B1305">
        <v>2023</v>
      </c>
      <c r="C1305">
        <v>3</v>
      </c>
      <c r="D1305" s="5" t="s">
        <v>44</v>
      </c>
      <c r="E1305" s="5" t="s">
        <v>82</v>
      </c>
      <c r="F1305" s="5" t="s">
        <v>83</v>
      </c>
      <c r="G1305" s="5" t="s">
        <v>84</v>
      </c>
      <c r="H1305" s="5" t="s">
        <v>80</v>
      </c>
      <c r="I1305" s="5" t="s">
        <v>81</v>
      </c>
      <c r="J1305" s="5" t="s">
        <v>41</v>
      </c>
      <c r="K1305">
        <v>31</v>
      </c>
      <c r="L1305">
        <v>559429</v>
      </c>
      <c r="M1305" s="26">
        <v>17342299</v>
      </c>
      <c r="N1305">
        <v>15466</v>
      </c>
      <c r="O1305" s="26">
        <v>2167652.63</v>
      </c>
      <c r="P1305" s="5" t="s">
        <v>42</v>
      </c>
      <c r="Q1305" s="5" t="s">
        <v>51</v>
      </c>
      <c r="R1305">
        <v>3.5</v>
      </c>
      <c r="S1305">
        <v>13</v>
      </c>
      <c r="T1305">
        <f t="shared" si="20"/>
        <v>1</v>
      </c>
    </row>
    <row r="1306" spans="1:20">
      <c r="A1306" s="4">
        <v>44994</v>
      </c>
      <c r="B1306">
        <v>2023</v>
      </c>
      <c r="C1306">
        <v>3</v>
      </c>
      <c r="D1306" s="5" t="s">
        <v>54</v>
      </c>
      <c r="E1306" s="5" t="s">
        <v>70</v>
      </c>
      <c r="F1306" s="5" t="s">
        <v>71</v>
      </c>
      <c r="G1306" s="5" t="s">
        <v>72</v>
      </c>
      <c r="H1306" s="5" t="s">
        <v>73</v>
      </c>
      <c r="I1306" s="5" t="s">
        <v>40</v>
      </c>
      <c r="J1306" s="5" t="s">
        <v>49</v>
      </c>
      <c r="K1306">
        <v>33</v>
      </c>
      <c r="L1306">
        <v>701909</v>
      </c>
      <c r="M1306" s="26">
        <v>23162997</v>
      </c>
      <c r="N1306">
        <v>45773</v>
      </c>
      <c r="O1306" s="26">
        <v>2573537.96</v>
      </c>
      <c r="P1306" s="5" t="s">
        <v>42</v>
      </c>
      <c r="Q1306" s="5" t="s">
        <v>43</v>
      </c>
      <c r="R1306">
        <v>4.5</v>
      </c>
      <c r="S1306">
        <v>16</v>
      </c>
      <c r="T1306">
        <f t="shared" si="20"/>
        <v>1</v>
      </c>
    </row>
    <row r="1307" spans="1:20">
      <c r="A1307" s="4">
        <v>44997</v>
      </c>
      <c r="B1307">
        <v>2023</v>
      </c>
      <c r="C1307">
        <v>3</v>
      </c>
      <c r="D1307" s="5" t="s">
        <v>35</v>
      </c>
      <c r="E1307" s="5" t="s">
        <v>76</v>
      </c>
      <c r="F1307" s="5" t="s">
        <v>77</v>
      </c>
      <c r="G1307" s="5" t="s">
        <v>78</v>
      </c>
      <c r="H1307" s="5" t="s">
        <v>65</v>
      </c>
      <c r="I1307" s="5" t="s">
        <v>53</v>
      </c>
      <c r="J1307" s="5" t="s">
        <v>49</v>
      </c>
      <c r="K1307">
        <v>10</v>
      </c>
      <c r="L1307">
        <v>1243166</v>
      </c>
      <c r="M1307" s="26">
        <v>12431660</v>
      </c>
      <c r="N1307">
        <v>35817</v>
      </c>
      <c r="O1307" s="26">
        <v>1682189.7</v>
      </c>
      <c r="P1307" s="5" t="s">
        <v>42</v>
      </c>
      <c r="Q1307" s="5" t="s">
        <v>51</v>
      </c>
      <c r="R1307">
        <v>3.7</v>
      </c>
      <c r="S1307">
        <v>2</v>
      </c>
      <c r="T1307">
        <f t="shared" si="20"/>
        <v>1</v>
      </c>
    </row>
    <row r="1308" spans="1:20">
      <c r="A1308" s="4">
        <v>45012</v>
      </c>
      <c r="B1308">
        <v>2023</v>
      </c>
      <c r="C1308">
        <v>3</v>
      </c>
      <c r="D1308" s="5" t="s">
        <v>66</v>
      </c>
      <c r="E1308" s="5" t="s">
        <v>67</v>
      </c>
      <c r="F1308" s="5" t="s">
        <v>68</v>
      </c>
      <c r="G1308" s="5" t="s">
        <v>69</v>
      </c>
      <c r="H1308" s="5" t="s">
        <v>73</v>
      </c>
      <c r="I1308" s="5" t="s">
        <v>40</v>
      </c>
      <c r="J1308" s="5" t="s">
        <v>49</v>
      </c>
      <c r="K1308">
        <v>51</v>
      </c>
      <c r="L1308">
        <v>747606</v>
      </c>
      <c r="M1308" s="26">
        <v>38127906</v>
      </c>
      <c r="N1308">
        <v>43481</v>
      </c>
      <c r="O1308" s="26">
        <v>5286660.57</v>
      </c>
      <c r="P1308" s="5" t="s">
        <v>50</v>
      </c>
      <c r="Q1308" s="5" t="s">
        <v>51</v>
      </c>
      <c r="R1308">
        <v>4.4000000000000004</v>
      </c>
      <c r="S1308">
        <v>16</v>
      </c>
      <c r="T1308">
        <f t="shared" si="20"/>
        <v>0</v>
      </c>
    </row>
    <row r="1309" spans="1:20">
      <c r="A1309" s="4">
        <v>45002</v>
      </c>
      <c r="B1309">
        <v>2023</v>
      </c>
      <c r="C1309">
        <v>3</v>
      </c>
      <c r="D1309" s="5" t="s">
        <v>35</v>
      </c>
      <c r="E1309" s="5" t="s">
        <v>60</v>
      </c>
      <c r="F1309" s="5" t="s">
        <v>61</v>
      </c>
      <c r="G1309" s="5" t="s">
        <v>62</v>
      </c>
      <c r="H1309" s="5" t="s">
        <v>85</v>
      </c>
      <c r="I1309" s="5" t="s">
        <v>58</v>
      </c>
      <c r="J1309" s="5" t="s">
        <v>49</v>
      </c>
      <c r="K1309">
        <v>22</v>
      </c>
      <c r="L1309">
        <v>983316</v>
      </c>
      <c r="M1309" s="26">
        <v>21632952</v>
      </c>
      <c r="N1309">
        <v>23069</v>
      </c>
      <c r="O1309" s="26">
        <v>3392581.83</v>
      </c>
      <c r="P1309" s="5" t="s">
        <v>42</v>
      </c>
      <c r="Q1309" s="5" t="s">
        <v>75</v>
      </c>
      <c r="R1309">
        <v>3.9</v>
      </c>
      <c r="S1309">
        <v>17</v>
      </c>
      <c r="T1309">
        <f t="shared" si="20"/>
        <v>1</v>
      </c>
    </row>
    <row r="1310" spans="1:20">
      <c r="A1310" s="4">
        <v>44994</v>
      </c>
      <c r="B1310">
        <v>2023</v>
      </c>
      <c r="C1310">
        <v>3</v>
      </c>
      <c r="D1310" s="5" t="s">
        <v>44</v>
      </c>
      <c r="E1310" s="5" t="s">
        <v>45</v>
      </c>
      <c r="F1310" s="5" t="s">
        <v>46</v>
      </c>
      <c r="G1310" s="5" t="s">
        <v>47</v>
      </c>
      <c r="H1310" s="5" t="s">
        <v>86</v>
      </c>
      <c r="I1310" s="5" t="s">
        <v>40</v>
      </c>
      <c r="J1310" s="5" t="s">
        <v>41</v>
      </c>
      <c r="K1310">
        <v>16</v>
      </c>
      <c r="L1310">
        <v>605957</v>
      </c>
      <c r="M1310" s="26">
        <v>9695312</v>
      </c>
      <c r="N1310">
        <v>20657</v>
      </c>
      <c r="O1310" s="26">
        <v>1039728.69</v>
      </c>
      <c r="P1310" s="5" t="s">
        <v>50</v>
      </c>
      <c r="Q1310" s="5" t="s">
        <v>75</v>
      </c>
      <c r="R1310">
        <v>5</v>
      </c>
      <c r="S1310">
        <v>6</v>
      </c>
      <c r="T1310">
        <f t="shared" si="20"/>
        <v>0</v>
      </c>
    </row>
    <row r="1311" spans="1:20">
      <c r="A1311" s="4">
        <v>45007</v>
      </c>
      <c r="B1311">
        <v>2023</v>
      </c>
      <c r="C1311">
        <v>3</v>
      </c>
      <c r="D1311" s="5" t="s">
        <v>35</v>
      </c>
      <c r="E1311" s="5" t="s">
        <v>36</v>
      </c>
      <c r="F1311" s="5" t="s">
        <v>37</v>
      </c>
      <c r="G1311" s="5" t="s">
        <v>38</v>
      </c>
      <c r="H1311" s="5" t="s">
        <v>57</v>
      </c>
      <c r="I1311" s="5" t="s">
        <v>58</v>
      </c>
      <c r="J1311" s="5" t="s">
        <v>59</v>
      </c>
      <c r="K1311">
        <v>60</v>
      </c>
      <c r="L1311">
        <v>1397414</v>
      </c>
      <c r="M1311" s="26">
        <v>83844840</v>
      </c>
      <c r="N1311">
        <v>6822</v>
      </c>
      <c r="O1311" s="26">
        <v>7612772.1799999997</v>
      </c>
      <c r="P1311" s="5" t="s">
        <v>50</v>
      </c>
      <c r="Q1311" s="5" t="s">
        <v>43</v>
      </c>
      <c r="R1311">
        <v>3.8</v>
      </c>
      <c r="S1311">
        <v>16</v>
      </c>
      <c r="T1311">
        <f t="shared" si="20"/>
        <v>0</v>
      </c>
    </row>
    <row r="1312" spans="1:20">
      <c r="A1312" s="4">
        <v>45010</v>
      </c>
      <c r="B1312">
        <v>2023</v>
      </c>
      <c r="C1312">
        <v>3</v>
      </c>
      <c r="D1312" s="5" t="s">
        <v>54</v>
      </c>
      <c r="E1312" s="5" t="s">
        <v>70</v>
      </c>
      <c r="F1312" s="5" t="s">
        <v>71</v>
      </c>
      <c r="G1312" s="5" t="s">
        <v>72</v>
      </c>
      <c r="H1312" s="5" t="s">
        <v>39</v>
      </c>
      <c r="I1312" s="5" t="s">
        <v>40</v>
      </c>
      <c r="J1312" s="5" t="s">
        <v>41</v>
      </c>
      <c r="K1312">
        <v>35</v>
      </c>
      <c r="L1312">
        <v>555571</v>
      </c>
      <c r="M1312" s="26">
        <v>19444985</v>
      </c>
      <c r="N1312">
        <v>43118</v>
      </c>
      <c r="O1312" s="26">
        <v>2679304.37</v>
      </c>
      <c r="P1312" s="5" t="s">
        <v>50</v>
      </c>
      <c r="Q1312" s="5" t="s">
        <v>75</v>
      </c>
      <c r="R1312">
        <v>4.2</v>
      </c>
      <c r="S1312">
        <v>21</v>
      </c>
      <c r="T1312">
        <f t="shared" si="20"/>
        <v>0</v>
      </c>
    </row>
    <row r="1313" spans="1:20">
      <c r="A1313" s="4">
        <v>44987</v>
      </c>
      <c r="B1313">
        <v>2023</v>
      </c>
      <c r="C1313">
        <v>3</v>
      </c>
      <c r="D1313" s="5" t="s">
        <v>44</v>
      </c>
      <c r="E1313" s="5" t="s">
        <v>82</v>
      </c>
      <c r="F1313" s="5" t="s">
        <v>83</v>
      </c>
      <c r="G1313" s="5" t="s">
        <v>84</v>
      </c>
      <c r="H1313" s="5" t="s">
        <v>65</v>
      </c>
      <c r="I1313" s="5" t="s">
        <v>53</v>
      </c>
      <c r="J1313" s="5" t="s">
        <v>49</v>
      </c>
      <c r="K1313">
        <v>43</v>
      </c>
      <c r="L1313">
        <v>1272616</v>
      </c>
      <c r="M1313" s="26">
        <v>54722488</v>
      </c>
      <c r="N1313">
        <v>20249</v>
      </c>
      <c r="O1313" s="26">
        <v>8330337.0300000003</v>
      </c>
      <c r="P1313" s="5" t="s">
        <v>42</v>
      </c>
      <c r="Q1313" s="5" t="s">
        <v>51</v>
      </c>
      <c r="R1313">
        <v>4.5</v>
      </c>
      <c r="S1313">
        <v>5</v>
      </c>
      <c r="T1313">
        <f t="shared" si="20"/>
        <v>1</v>
      </c>
    </row>
    <row r="1314" spans="1:20">
      <c r="A1314" s="4">
        <v>45012</v>
      </c>
      <c r="B1314">
        <v>2023</v>
      </c>
      <c r="C1314">
        <v>3</v>
      </c>
      <c r="D1314" s="5" t="s">
        <v>66</v>
      </c>
      <c r="E1314" s="5" t="s">
        <v>67</v>
      </c>
      <c r="F1314" s="5" t="s">
        <v>68</v>
      </c>
      <c r="G1314" s="5" t="s">
        <v>69</v>
      </c>
      <c r="H1314" s="5" t="s">
        <v>74</v>
      </c>
      <c r="I1314" s="5" t="s">
        <v>40</v>
      </c>
      <c r="J1314" s="5" t="s">
        <v>49</v>
      </c>
      <c r="K1314">
        <v>38</v>
      </c>
      <c r="L1314">
        <v>658939</v>
      </c>
      <c r="M1314" s="26">
        <v>25039682</v>
      </c>
      <c r="N1314">
        <v>44153</v>
      </c>
      <c r="O1314" s="26">
        <v>2585844.7400000002</v>
      </c>
      <c r="P1314" s="5" t="s">
        <v>50</v>
      </c>
      <c r="Q1314" s="5" t="s">
        <v>43</v>
      </c>
      <c r="R1314">
        <v>4.5999999999999996</v>
      </c>
      <c r="S1314">
        <v>10</v>
      </c>
      <c r="T1314">
        <f t="shared" si="20"/>
        <v>0</v>
      </c>
    </row>
    <row r="1315" spans="1:20">
      <c r="A1315" s="4">
        <v>44993</v>
      </c>
      <c r="B1315">
        <v>2023</v>
      </c>
      <c r="C1315">
        <v>3</v>
      </c>
      <c r="D1315" s="5" t="s">
        <v>35</v>
      </c>
      <c r="E1315" s="5" t="s">
        <v>76</v>
      </c>
      <c r="F1315" s="5" t="s">
        <v>77</v>
      </c>
      <c r="G1315" s="5" t="s">
        <v>78</v>
      </c>
      <c r="H1315" s="5" t="s">
        <v>79</v>
      </c>
      <c r="I1315" s="5" t="s">
        <v>58</v>
      </c>
      <c r="J1315" s="5" t="s">
        <v>49</v>
      </c>
      <c r="K1315">
        <v>44</v>
      </c>
      <c r="L1315">
        <v>895456</v>
      </c>
      <c r="M1315" s="26">
        <v>39400064</v>
      </c>
      <c r="N1315">
        <v>33392</v>
      </c>
      <c r="O1315" s="26">
        <v>3917630.29</v>
      </c>
      <c r="P1315" s="5" t="s">
        <v>50</v>
      </c>
      <c r="Q1315" s="5" t="s">
        <v>75</v>
      </c>
      <c r="R1315">
        <v>3.6</v>
      </c>
      <c r="S1315">
        <v>8</v>
      </c>
      <c r="T1315">
        <f t="shared" si="20"/>
        <v>0</v>
      </c>
    </row>
    <row r="1316" spans="1:20">
      <c r="A1316" s="4">
        <v>45013</v>
      </c>
      <c r="B1316">
        <v>2023</v>
      </c>
      <c r="C1316">
        <v>3</v>
      </c>
      <c r="D1316" s="5" t="s">
        <v>35</v>
      </c>
      <c r="E1316" s="5" t="s">
        <v>76</v>
      </c>
      <c r="F1316" s="5" t="s">
        <v>77</v>
      </c>
      <c r="G1316" s="5" t="s">
        <v>78</v>
      </c>
      <c r="H1316" s="5" t="s">
        <v>39</v>
      </c>
      <c r="I1316" s="5" t="s">
        <v>40</v>
      </c>
      <c r="J1316" s="5" t="s">
        <v>41</v>
      </c>
      <c r="K1316">
        <v>15</v>
      </c>
      <c r="L1316">
        <v>579527</v>
      </c>
      <c r="M1316" s="26">
        <v>8692905</v>
      </c>
      <c r="N1316">
        <v>28128</v>
      </c>
      <c r="O1316" s="26">
        <v>903392.97</v>
      </c>
      <c r="P1316" s="5" t="s">
        <v>42</v>
      </c>
      <c r="Q1316" s="5" t="s">
        <v>43</v>
      </c>
      <c r="R1316">
        <v>4.0999999999999996</v>
      </c>
      <c r="S1316">
        <v>21</v>
      </c>
      <c r="T1316">
        <f t="shared" si="20"/>
        <v>1</v>
      </c>
    </row>
    <row r="1317" spans="1:20">
      <c r="A1317" s="4">
        <v>45007</v>
      </c>
      <c r="B1317">
        <v>2023</v>
      </c>
      <c r="C1317">
        <v>3</v>
      </c>
      <c r="D1317" s="5" t="s">
        <v>66</v>
      </c>
      <c r="E1317" s="5" t="s">
        <v>67</v>
      </c>
      <c r="F1317" s="5" t="s">
        <v>68</v>
      </c>
      <c r="G1317" s="5" t="s">
        <v>69</v>
      </c>
      <c r="H1317" s="5" t="s">
        <v>57</v>
      </c>
      <c r="I1317" s="5" t="s">
        <v>58</v>
      </c>
      <c r="J1317" s="5" t="s">
        <v>59</v>
      </c>
      <c r="K1317">
        <v>43</v>
      </c>
      <c r="L1317">
        <v>1373779</v>
      </c>
      <c r="M1317" s="26">
        <v>59072497</v>
      </c>
      <c r="N1317">
        <v>12249</v>
      </c>
      <c r="O1317" s="26">
        <v>9415068.4399999995</v>
      </c>
      <c r="P1317" s="5" t="s">
        <v>42</v>
      </c>
      <c r="Q1317" s="5" t="s">
        <v>43</v>
      </c>
      <c r="R1317">
        <v>4.2</v>
      </c>
      <c r="S1317">
        <v>2</v>
      </c>
      <c r="T1317">
        <f t="shared" si="20"/>
        <v>1</v>
      </c>
    </row>
    <row r="1318" spans="1:20">
      <c r="A1318" s="4">
        <v>45011</v>
      </c>
      <c r="B1318">
        <v>2023</v>
      </c>
      <c r="C1318">
        <v>3</v>
      </c>
      <c r="D1318" s="5" t="s">
        <v>44</v>
      </c>
      <c r="E1318" s="5" t="s">
        <v>45</v>
      </c>
      <c r="F1318" s="5" t="s">
        <v>46</v>
      </c>
      <c r="G1318" s="5" t="s">
        <v>47</v>
      </c>
      <c r="H1318" s="5" t="s">
        <v>74</v>
      </c>
      <c r="I1318" s="5" t="s">
        <v>40</v>
      </c>
      <c r="J1318" s="5" t="s">
        <v>49</v>
      </c>
      <c r="K1318">
        <v>43</v>
      </c>
      <c r="L1318">
        <v>652959</v>
      </c>
      <c r="M1318" s="26">
        <v>28077237</v>
      </c>
      <c r="N1318">
        <v>49591</v>
      </c>
      <c r="O1318" s="26">
        <v>2960550.2</v>
      </c>
      <c r="P1318" s="5" t="s">
        <v>42</v>
      </c>
      <c r="Q1318" s="5" t="s">
        <v>75</v>
      </c>
      <c r="R1318">
        <v>4.7</v>
      </c>
      <c r="S1318">
        <v>3</v>
      </c>
      <c r="T1318">
        <f t="shared" si="20"/>
        <v>1</v>
      </c>
    </row>
    <row r="1319" spans="1:20">
      <c r="A1319" s="4">
        <v>44993</v>
      </c>
      <c r="B1319">
        <v>2023</v>
      </c>
      <c r="C1319">
        <v>3</v>
      </c>
      <c r="D1319" s="5" t="s">
        <v>54</v>
      </c>
      <c r="E1319" s="5" t="s">
        <v>70</v>
      </c>
      <c r="F1319" s="5" t="s">
        <v>71</v>
      </c>
      <c r="G1319" s="5" t="s">
        <v>72</v>
      </c>
      <c r="H1319" s="5" t="s">
        <v>85</v>
      </c>
      <c r="I1319" s="5" t="s">
        <v>58</v>
      </c>
      <c r="J1319" s="5" t="s">
        <v>49</v>
      </c>
      <c r="K1319">
        <v>12</v>
      </c>
      <c r="L1319">
        <v>1001046</v>
      </c>
      <c r="M1319" s="26">
        <v>12012552</v>
      </c>
      <c r="N1319">
        <v>13786</v>
      </c>
      <c r="O1319" s="26">
        <v>1556464.6</v>
      </c>
      <c r="P1319" s="5" t="s">
        <v>42</v>
      </c>
      <c r="Q1319" s="5" t="s">
        <v>75</v>
      </c>
      <c r="R1319">
        <v>3.6</v>
      </c>
      <c r="S1319">
        <v>14</v>
      </c>
      <c r="T1319">
        <f t="shared" si="20"/>
        <v>1</v>
      </c>
    </row>
    <row r="1320" spans="1:20">
      <c r="A1320" s="4">
        <v>45006</v>
      </c>
      <c r="B1320">
        <v>2023</v>
      </c>
      <c r="C1320">
        <v>3</v>
      </c>
      <c r="D1320" s="5" t="s">
        <v>54</v>
      </c>
      <c r="E1320" s="5" t="s">
        <v>70</v>
      </c>
      <c r="F1320" s="5" t="s">
        <v>71</v>
      </c>
      <c r="G1320" s="5" t="s">
        <v>72</v>
      </c>
      <c r="H1320" s="5" t="s">
        <v>80</v>
      </c>
      <c r="I1320" s="5" t="s">
        <v>81</v>
      </c>
      <c r="J1320" s="5" t="s">
        <v>41</v>
      </c>
      <c r="K1320">
        <v>37</v>
      </c>
      <c r="L1320">
        <v>558115</v>
      </c>
      <c r="M1320" s="26">
        <v>20650255</v>
      </c>
      <c r="N1320">
        <v>26146</v>
      </c>
      <c r="O1320" s="26">
        <v>2153752.14</v>
      </c>
      <c r="P1320" s="5" t="s">
        <v>42</v>
      </c>
      <c r="Q1320" s="5" t="s">
        <v>43</v>
      </c>
      <c r="R1320">
        <v>3.7</v>
      </c>
      <c r="S1320">
        <v>8</v>
      </c>
      <c r="T1320">
        <f t="shared" si="20"/>
        <v>1</v>
      </c>
    </row>
    <row r="1321" spans="1:20">
      <c r="A1321" s="4">
        <v>44988</v>
      </c>
      <c r="B1321">
        <v>2023</v>
      </c>
      <c r="C1321">
        <v>3</v>
      </c>
      <c r="D1321" s="5" t="s">
        <v>44</v>
      </c>
      <c r="E1321" s="5" t="s">
        <v>82</v>
      </c>
      <c r="F1321" s="5" t="s">
        <v>83</v>
      </c>
      <c r="G1321" s="5" t="s">
        <v>84</v>
      </c>
      <c r="H1321" s="5" t="s">
        <v>80</v>
      </c>
      <c r="I1321" s="5" t="s">
        <v>81</v>
      </c>
      <c r="J1321" s="5" t="s">
        <v>41</v>
      </c>
      <c r="K1321">
        <v>25</v>
      </c>
      <c r="L1321">
        <v>540962</v>
      </c>
      <c r="M1321" s="26">
        <v>13524050</v>
      </c>
      <c r="N1321">
        <v>25558</v>
      </c>
      <c r="O1321" s="26">
        <v>1665414.16</v>
      </c>
      <c r="P1321" s="5" t="s">
        <v>50</v>
      </c>
      <c r="Q1321" s="5" t="s">
        <v>75</v>
      </c>
      <c r="R1321">
        <v>3.6</v>
      </c>
      <c r="S1321">
        <v>15</v>
      </c>
      <c r="T1321">
        <f t="shared" si="20"/>
        <v>0</v>
      </c>
    </row>
    <row r="1322" spans="1:20">
      <c r="A1322" s="4">
        <v>44996</v>
      </c>
      <c r="B1322">
        <v>2023</v>
      </c>
      <c r="C1322">
        <v>3</v>
      </c>
      <c r="D1322" s="5" t="s">
        <v>66</v>
      </c>
      <c r="E1322" s="5" t="s">
        <v>67</v>
      </c>
      <c r="F1322" s="5" t="s">
        <v>68</v>
      </c>
      <c r="G1322" s="5" t="s">
        <v>69</v>
      </c>
      <c r="H1322" s="5" t="s">
        <v>63</v>
      </c>
      <c r="I1322" s="5" t="s">
        <v>64</v>
      </c>
      <c r="J1322" s="5" t="s">
        <v>41</v>
      </c>
      <c r="K1322">
        <v>59</v>
      </c>
      <c r="L1322">
        <v>732639</v>
      </c>
      <c r="M1322" s="26">
        <v>43225701</v>
      </c>
      <c r="N1322">
        <v>23812</v>
      </c>
      <c r="O1322" s="26">
        <v>5133665.1500000004</v>
      </c>
      <c r="P1322" s="5" t="s">
        <v>42</v>
      </c>
      <c r="Q1322" s="5" t="s">
        <v>51</v>
      </c>
      <c r="R1322">
        <v>4.2</v>
      </c>
      <c r="S1322">
        <v>19</v>
      </c>
      <c r="T1322">
        <f t="shared" si="20"/>
        <v>1</v>
      </c>
    </row>
    <row r="1323" spans="1:20">
      <c r="A1323" s="4">
        <v>45011</v>
      </c>
      <c r="B1323">
        <v>2023</v>
      </c>
      <c r="C1323">
        <v>3</v>
      </c>
      <c r="D1323" s="5" t="s">
        <v>44</v>
      </c>
      <c r="E1323" s="5" t="s">
        <v>45</v>
      </c>
      <c r="F1323" s="5" t="s">
        <v>46</v>
      </c>
      <c r="G1323" s="5" t="s">
        <v>47</v>
      </c>
      <c r="H1323" s="5" t="s">
        <v>48</v>
      </c>
      <c r="I1323" s="5" t="s">
        <v>40</v>
      </c>
      <c r="J1323" s="5" t="s">
        <v>49</v>
      </c>
      <c r="K1323">
        <v>20</v>
      </c>
      <c r="L1323">
        <v>461118</v>
      </c>
      <c r="M1323" s="26">
        <v>9222360</v>
      </c>
      <c r="N1323">
        <v>9829</v>
      </c>
      <c r="O1323" s="26">
        <v>1238594.1299999999</v>
      </c>
      <c r="P1323" s="5" t="s">
        <v>42</v>
      </c>
      <c r="Q1323" s="5" t="s">
        <v>43</v>
      </c>
      <c r="R1323">
        <v>4.5999999999999996</v>
      </c>
      <c r="S1323">
        <v>6</v>
      </c>
      <c r="T1323">
        <f t="shared" si="20"/>
        <v>1</v>
      </c>
    </row>
    <row r="1324" spans="1:20">
      <c r="A1324" s="4">
        <v>44994</v>
      </c>
      <c r="B1324">
        <v>2023</v>
      </c>
      <c r="C1324">
        <v>3</v>
      </c>
      <c r="D1324" s="5" t="s">
        <v>66</v>
      </c>
      <c r="E1324" s="5" t="s">
        <v>67</v>
      </c>
      <c r="F1324" s="5" t="s">
        <v>68</v>
      </c>
      <c r="G1324" s="5" t="s">
        <v>69</v>
      </c>
      <c r="H1324" s="5" t="s">
        <v>63</v>
      </c>
      <c r="I1324" s="5" t="s">
        <v>64</v>
      </c>
      <c r="J1324" s="5" t="s">
        <v>41</v>
      </c>
      <c r="K1324">
        <v>9</v>
      </c>
      <c r="L1324">
        <v>771707</v>
      </c>
      <c r="M1324" s="26">
        <v>6945363</v>
      </c>
      <c r="N1324">
        <v>30862</v>
      </c>
      <c r="O1324" s="26">
        <v>985840.21</v>
      </c>
      <c r="P1324" s="5" t="s">
        <v>42</v>
      </c>
      <c r="Q1324" s="5" t="s">
        <v>43</v>
      </c>
      <c r="R1324">
        <v>3.9</v>
      </c>
      <c r="S1324">
        <v>20</v>
      </c>
      <c r="T1324">
        <f t="shared" si="20"/>
        <v>1</v>
      </c>
    </row>
    <row r="1325" spans="1:20">
      <c r="A1325" s="4">
        <v>44991</v>
      </c>
      <c r="B1325">
        <v>2023</v>
      </c>
      <c r="C1325">
        <v>3</v>
      </c>
      <c r="D1325" s="5" t="s">
        <v>35</v>
      </c>
      <c r="E1325" s="5" t="s">
        <v>76</v>
      </c>
      <c r="F1325" s="5" t="s">
        <v>77</v>
      </c>
      <c r="G1325" s="5" t="s">
        <v>78</v>
      </c>
      <c r="H1325" s="5" t="s">
        <v>52</v>
      </c>
      <c r="I1325" s="5" t="s">
        <v>53</v>
      </c>
      <c r="J1325" s="5" t="s">
        <v>41</v>
      </c>
      <c r="K1325">
        <v>52</v>
      </c>
      <c r="L1325">
        <v>940682</v>
      </c>
      <c r="M1325" s="26">
        <v>48915464</v>
      </c>
      <c r="N1325">
        <v>28405</v>
      </c>
      <c r="O1325" s="26">
        <v>4210237.3600000003</v>
      </c>
      <c r="P1325" s="5" t="s">
        <v>42</v>
      </c>
      <c r="Q1325" s="5" t="s">
        <v>43</v>
      </c>
      <c r="R1325">
        <v>3.5</v>
      </c>
      <c r="S1325">
        <v>12</v>
      </c>
      <c r="T1325">
        <f t="shared" si="20"/>
        <v>1</v>
      </c>
    </row>
    <row r="1326" spans="1:20">
      <c r="A1326" s="4">
        <v>45002</v>
      </c>
      <c r="B1326">
        <v>2023</v>
      </c>
      <c r="C1326">
        <v>3</v>
      </c>
      <c r="D1326" s="5" t="s">
        <v>54</v>
      </c>
      <c r="E1326" s="5" t="s">
        <v>70</v>
      </c>
      <c r="F1326" s="5" t="s">
        <v>71</v>
      </c>
      <c r="G1326" s="5" t="s">
        <v>72</v>
      </c>
      <c r="H1326" s="5" t="s">
        <v>63</v>
      </c>
      <c r="I1326" s="5" t="s">
        <v>64</v>
      </c>
      <c r="J1326" s="5" t="s">
        <v>41</v>
      </c>
      <c r="K1326">
        <v>48</v>
      </c>
      <c r="L1326">
        <v>772306</v>
      </c>
      <c r="M1326" s="26">
        <v>37070688</v>
      </c>
      <c r="N1326">
        <v>29913</v>
      </c>
      <c r="O1326" s="26">
        <v>3234525.68</v>
      </c>
      <c r="P1326" s="5" t="s">
        <v>42</v>
      </c>
      <c r="Q1326" s="5" t="s">
        <v>43</v>
      </c>
      <c r="R1326">
        <v>4.4000000000000004</v>
      </c>
      <c r="S1326">
        <v>20</v>
      </c>
      <c r="T1326">
        <f t="shared" si="20"/>
        <v>1</v>
      </c>
    </row>
    <row r="1327" spans="1:20">
      <c r="A1327" s="4">
        <v>45002</v>
      </c>
      <c r="B1327">
        <v>2023</v>
      </c>
      <c r="C1327">
        <v>3</v>
      </c>
      <c r="D1327" s="5" t="s">
        <v>66</v>
      </c>
      <c r="E1327" s="5" t="s">
        <v>67</v>
      </c>
      <c r="F1327" s="5" t="s">
        <v>68</v>
      </c>
      <c r="G1327" s="5" t="s">
        <v>69</v>
      </c>
      <c r="H1327" s="5" t="s">
        <v>57</v>
      </c>
      <c r="I1327" s="5" t="s">
        <v>58</v>
      </c>
      <c r="J1327" s="5" t="s">
        <v>59</v>
      </c>
      <c r="K1327">
        <v>51</v>
      </c>
      <c r="L1327">
        <v>1412129</v>
      </c>
      <c r="M1327" s="26">
        <v>72018579</v>
      </c>
      <c r="N1327">
        <v>13049</v>
      </c>
      <c r="O1327" s="26">
        <v>10290355.390000001</v>
      </c>
      <c r="P1327" s="5" t="s">
        <v>50</v>
      </c>
      <c r="Q1327" s="5" t="s">
        <v>51</v>
      </c>
      <c r="R1327">
        <v>4.5</v>
      </c>
      <c r="S1327">
        <v>8</v>
      </c>
      <c r="T1327">
        <f t="shared" si="20"/>
        <v>0</v>
      </c>
    </row>
    <row r="1328" spans="1:20">
      <c r="A1328" s="4">
        <v>45007</v>
      </c>
      <c r="B1328">
        <v>2023</v>
      </c>
      <c r="C1328">
        <v>3</v>
      </c>
      <c r="D1328" s="5" t="s">
        <v>35</v>
      </c>
      <c r="E1328" s="5" t="s">
        <v>76</v>
      </c>
      <c r="F1328" s="5" t="s">
        <v>77</v>
      </c>
      <c r="G1328" s="5" t="s">
        <v>78</v>
      </c>
      <c r="H1328" s="5" t="s">
        <v>52</v>
      </c>
      <c r="I1328" s="5" t="s">
        <v>53</v>
      </c>
      <c r="J1328" s="5" t="s">
        <v>41</v>
      </c>
      <c r="K1328">
        <v>60</v>
      </c>
      <c r="L1328">
        <v>924165</v>
      </c>
      <c r="M1328" s="26">
        <v>55449900</v>
      </c>
      <c r="N1328">
        <v>8603</v>
      </c>
      <c r="O1328" s="26">
        <v>8707137.7799999993</v>
      </c>
      <c r="P1328" s="5" t="s">
        <v>42</v>
      </c>
      <c r="Q1328" s="5" t="s">
        <v>75</v>
      </c>
      <c r="R1328">
        <v>3.8</v>
      </c>
      <c r="S1328">
        <v>11</v>
      </c>
      <c r="T1328">
        <f t="shared" si="20"/>
        <v>1</v>
      </c>
    </row>
    <row r="1329" spans="1:20">
      <c r="A1329" s="4">
        <v>44994</v>
      </c>
      <c r="B1329">
        <v>2023</v>
      </c>
      <c r="C1329">
        <v>3</v>
      </c>
      <c r="D1329" s="5" t="s">
        <v>54</v>
      </c>
      <c r="E1329" s="5" t="s">
        <v>55</v>
      </c>
      <c r="F1329" s="5" t="s">
        <v>55</v>
      </c>
      <c r="G1329" s="5" t="s">
        <v>56</v>
      </c>
      <c r="H1329" s="5" t="s">
        <v>80</v>
      </c>
      <c r="I1329" s="5" t="s">
        <v>81</v>
      </c>
      <c r="J1329" s="5" t="s">
        <v>41</v>
      </c>
      <c r="K1329">
        <v>54</v>
      </c>
      <c r="L1329">
        <v>576474</v>
      </c>
      <c r="M1329" s="26">
        <v>31129596</v>
      </c>
      <c r="N1329">
        <v>14875</v>
      </c>
      <c r="O1329" s="26">
        <v>4304288.37</v>
      </c>
      <c r="P1329" s="5" t="s">
        <v>50</v>
      </c>
      <c r="Q1329" s="5" t="s">
        <v>75</v>
      </c>
      <c r="R1329">
        <v>3.5</v>
      </c>
      <c r="S1329">
        <v>11</v>
      </c>
      <c r="T1329">
        <f t="shared" si="20"/>
        <v>0</v>
      </c>
    </row>
    <row r="1330" spans="1:20">
      <c r="A1330" s="4">
        <v>45009</v>
      </c>
      <c r="B1330">
        <v>2023</v>
      </c>
      <c r="C1330">
        <v>3</v>
      </c>
      <c r="D1330" s="5" t="s">
        <v>44</v>
      </c>
      <c r="E1330" s="5" t="s">
        <v>45</v>
      </c>
      <c r="F1330" s="5" t="s">
        <v>46</v>
      </c>
      <c r="G1330" s="5" t="s">
        <v>47</v>
      </c>
      <c r="H1330" s="5" t="s">
        <v>73</v>
      </c>
      <c r="I1330" s="5" t="s">
        <v>40</v>
      </c>
      <c r="J1330" s="5" t="s">
        <v>49</v>
      </c>
      <c r="K1330">
        <v>43</v>
      </c>
      <c r="L1330">
        <v>709992</v>
      </c>
      <c r="M1330" s="26">
        <v>30529656</v>
      </c>
      <c r="N1330">
        <v>19465</v>
      </c>
      <c r="O1330" s="26">
        <v>3567801.07</v>
      </c>
      <c r="P1330" s="5" t="s">
        <v>42</v>
      </c>
      <c r="Q1330" s="5" t="s">
        <v>51</v>
      </c>
      <c r="R1330">
        <v>4.0999999999999996</v>
      </c>
      <c r="S1330">
        <v>5</v>
      </c>
      <c r="T1330">
        <f t="shared" si="20"/>
        <v>1</v>
      </c>
    </row>
    <row r="1331" spans="1:20">
      <c r="A1331" s="4">
        <v>44994</v>
      </c>
      <c r="B1331">
        <v>2023</v>
      </c>
      <c r="C1331">
        <v>3</v>
      </c>
      <c r="D1331" s="5" t="s">
        <v>44</v>
      </c>
      <c r="E1331" s="5" t="s">
        <v>45</v>
      </c>
      <c r="F1331" s="5" t="s">
        <v>46</v>
      </c>
      <c r="G1331" s="5" t="s">
        <v>47</v>
      </c>
      <c r="H1331" s="5" t="s">
        <v>80</v>
      </c>
      <c r="I1331" s="5" t="s">
        <v>81</v>
      </c>
      <c r="J1331" s="5" t="s">
        <v>41</v>
      </c>
      <c r="K1331">
        <v>6</v>
      </c>
      <c r="L1331">
        <v>521239</v>
      </c>
      <c r="M1331" s="26">
        <v>3127434</v>
      </c>
      <c r="N1331">
        <v>39514</v>
      </c>
      <c r="O1331" s="26">
        <v>325391.86</v>
      </c>
      <c r="P1331" s="5" t="s">
        <v>42</v>
      </c>
      <c r="Q1331" s="5" t="s">
        <v>51</v>
      </c>
      <c r="R1331">
        <v>4.9000000000000004</v>
      </c>
      <c r="S1331">
        <v>5</v>
      </c>
      <c r="T1331">
        <f t="shared" si="20"/>
        <v>1</v>
      </c>
    </row>
    <row r="1332" spans="1:20">
      <c r="A1332" s="4">
        <v>44996</v>
      </c>
      <c r="B1332">
        <v>2023</v>
      </c>
      <c r="C1332">
        <v>3</v>
      </c>
      <c r="D1332" s="5" t="s">
        <v>54</v>
      </c>
      <c r="E1332" s="5" t="s">
        <v>70</v>
      </c>
      <c r="F1332" s="5" t="s">
        <v>71</v>
      </c>
      <c r="G1332" s="5" t="s">
        <v>72</v>
      </c>
      <c r="H1332" s="5" t="s">
        <v>39</v>
      </c>
      <c r="I1332" s="5" t="s">
        <v>40</v>
      </c>
      <c r="J1332" s="5" t="s">
        <v>41</v>
      </c>
      <c r="K1332">
        <v>56</v>
      </c>
      <c r="L1332">
        <v>567603</v>
      </c>
      <c r="M1332" s="26">
        <v>31785768</v>
      </c>
      <c r="N1332">
        <v>36635</v>
      </c>
      <c r="O1332" s="26">
        <v>3871658.35</v>
      </c>
      <c r="P1332" s="5" t="s">
        <v>50</v>
      </c>
      <c r="Q1332" s="5" t="s">
        <v>51</v>
      </c>
      <c r="R1332">
        <v>3.6</v>
      </c>
      <c r="S1332">
        <v>9</v>
      </c>
      <c r="T1332">
        <f t="shared" si="20"/>
        <v>0</v>
      </c>
    </row>
    <row r="1333" spans="1:20">
      <c r="A1333" s="4">
        <v>44997</v>
      </c>
      <c r="B1333">
        <v>2023</v>
      </c>
      <c r="C1333">
        <v>3</v>
      </c>
      <c r="D1333" s="5" t="s">
        <v>35</v>
      </c>
      <c r="E1333" s="5" t="s">
        <v>60</v>
      </c>
      <c r="F1333" s="5" t="s">
        <v>61</v>
      </c>
      <c r="G1333" s="5" t="s">
        <v>62</v>
      </c>
      <c r="H1333" s="5" t="s">
        <v>48</v>
      </c>
      <c r="I1333" s="5" t="s">
        <v>40</v>
      </c>
      <c r="J1333" s="5" t="s">
        <v>49</v>
      </c>
      <c r="K1333">
        <v>52</v>
      </c>
      <c r="L1333">
        <v>433859</v>
      </c>
      <c r="M1333" s="26">
        <v>22560668</v>
      </c>
      <c r="N1333">
        <v>30270</v>
      </c>
      <c r="O1333" s="26">
        <v>2836095.69</v>
      </c>
      <c r="P1333" s="5" t="s">
        <v>50</v>
      </c>
      <c r="Q1333" s="5" t="s">
        <v>51</v>
      </c>
      <c r="R1333">
        <v>4.0999999999999996</v>
      </c>
      <c r="S1333">
        <v>19</v>
      </c>
      <c r="T1333">
        <f t="shared" si="20"/>
        <v>0</v>
      </c>
    </row>
    <row r="1334" spans="1:20">
      <c r="A1334" s="4">
        <v>45009</v>
      </c>
      <c r="B1334">
        <v>2023</v>
      </c>
      <c r="C1334">
        <v>3</v>
      </c>
      <c r="D1334" s="5" t="s">
        <v>35</v>
      </c>
      <c r="E1334" s="5" t="s">
        <v>76</v>
      </c>
      <c r="F1334" s="5" t="s">
        <v>77</v>
      </c>
      <c r="G1334" s="5" t="s">
        <v>78</v>
      </c>
      <c r="H1334" s="5" t="s">
        <v>63</v>
      </c>
      <c r="I1334" s="5" t="s">
        <v>64</v>
      </c>
      <c r="J1334" s="5" t="s">
        <v>41</v>
      </c>
      <c r="K1334">
        <v>42</v>
      </c>
      <c r="L1334">
        <v>772147</v>
      </c>
      <c r="M1334" s="26">
        <v>32430174</v>
      </c>
      <c r="N1334">
        <v>16941</v>
      </c>
      <c r="O1334" s="26">
        <v>4198467.8</v>
      </c>
      <c r="P1334" s="5" t="s">
        <v>50</v>
      </c>
      <c r="Q1334" s="5" t="s">
        <v>43</v>
      </c>
      <c r="R1334">
        <v>4.4000000000000004</v>
      </c>
      <c r="S1334">
        <v>10</v>
      </c>
      <c r="T1334">
        <f t="shared" si="20"/>
        <v>0</v>
      </c>
    </row>
    <row r="1335" spans="1:20">
      <c r="A1335" s="4">
        <v>44993</v>
      </c>
      <c r="B1335">
        <v>2023</v>
      </c>
      <c r="C1335">
        <v>3</v>
      </c>
      <c r="D1335" s="5" t="s">
        <v>35</v>
      </c>
      <c r="E1335" s="5" t="s">
        <v>76</v>
      </c>
      <c r="F1335" s="5" t="s">
        <v>77</v>
      </c>
      <c r="G1335" s="5" t="s">
        <v>78</v>
      </c>
      <c r="H1335" s="5" t="s">
        <v>57</v>
      </c>
      <c r="I1335" s="5" t="s">
        <v>58</v>
      </c>
      <c r="J1335" s="5" t="s">
        <v>59</v>
      </c>
      <c r="K1335">
        <v>54</v>
      </c>
      <c r="L1335">
        <v>1377966</v>
      </c>
      <c r="M1335" s="26">
        <v>74410164</v>
      </c>
      <c r="N1335">
        <v>29764</v>
      </c>
      <c r="O1335" s="26">
        <v>8526112.4100000001</v>
      </c>
      <c r="P1335" s="5" t="s">
        <v>42</v>
      </c>
      <c r="Q1335" s="5" t="s">
        <v>75</v>
      </c>
      <c r="R1335">
        <v>4.2</v>
      </c>
      <c r="S1335">
        <v>20</v>
      </c>
      <c r="T1335">
        <f t="shared" si="20"/>
        <v>1</v>
      </c>
    </row>
    <row r="1336" spans="1:20">
      <c r="A1336" s="4">
        <v>45005</v>
      </c>
      <c r="B1336">
        <v>2023</v>
      </c>
      <c r="C1336">
        <v>3</v>
      </c>
      <c r="D1336" s="5" t="s">
        <v>35</v>
      </c>
      <c r="E1336" s="5" t="s">
        <v>36</v>
      </c>
      <c r="F1336" s="5" t="s">
        <v>37</v>
      </c>
      <c r="G1336" s="5" t="s">
        <v>38</v>
      </c>
      <c r="H1336" s="5" t="s">
        <v>39</v>
      </c>
      <c r="I1336" s="5" t="s">
        <v>40</v>
      </c>
      <c r="J1336" s="5" t="s">
        <v>41</v>
      </c>
      <c r="K1336">
        <v>40</v>
      </c>
      <c r="L1336">
        <v>592966</v>
      </c>
      <c r="M1336" s="26">
        <v>23718640</v>
      </c>
      <c r="N1336">
        <v>47788</v>
      </c>
      <c r="O1336" s="26">
        <v>3571803.71</v>
      </c>
      <c r="P1336" s="5" t="s">
        <v>42</v>
      </c>
      <c r="Q1336" s="5" t="s">
        <v>43</v>
      </c>
      <c r="R1336">
        <v>4.2</v>
      </c>
      <c r="S1336">
        <v>2</v>
      </c>
      <c r="T1336">
        <f t="shared" si="20"/>
        <v>1</v>
      </c>
    </row>
    <row r="1337" spans="1:20">
      <c r="A1337" s="4">
        <v>45010</v>
      </c>
      <c r="B1337">
        <v>2023</v>
      </c>
      <c r="C1337">
        <v>3</v>
      </c>
      <c r="D1337" s="5" t="s">
        <v>66</v>
      </c>
      <c r="E1337" s="5" t="s">
        <v>67</v>
      </c>
      <c r="F1337" s="5" t="s">
        <v>68</v>
      </c>
      <c r="G1337" s="5" t="s">
        <v>69</v>
      </c>
      <c r="H1337" s="5" t="s">
        <v>73</v>
      </c>
      <c r="I1337" s="5" t="s">
        <v>40</v>
      </c>
      <c r="J1337" s="5" t="s">
        <v>49</v>
      </c>
      <c r="K1337">
        <v>37</v>
      </c>
      <c r="L1337">
        <v>696109</v>
      </c>
      <c r="M1337" s="26">
        <v>25756033</v>
      </c>
      <c r="N1337">
        <v>33520</v>
      </c>
      <c r="O1337" s="26">
        <v>2775692.52</v>
      </c>
      <c r="P1337" s="5" t="s">
        <v>50</v>
      </c>
      <c r="Q1337" s="5" t="s">
        <v>43</v>
      </c>
      <c r="R1337">
        <v>4.7</v>
      </c>
      <c r="S1337">
        <v>18</v>
      </c>
      <c r="T1337">
        <f t="shared" si="20"/>
        <v>0</v>
      </c>
    </row>
    <row r="1338" spans="1:20">
      <c r="A1338" s="4">
        <v>45003</v>
      </c>
      <c r="B1338">
        <v>2023</v>
      </c>
      <c r="C1338">
        <v>3</v>
      </c>
      <c r="D1338" s="5" t="s">
        <v>35</v>
      </c>
      <c r="E1338" s="5" t="s">
        <v>36</v>
      </c>
      <c r="F1338" s="5" t="s">
        <v>37</v>
      </c>
      <c r="G1338" s="5" t="s">
        <v>38</v>
      </c>
      <c r="H1338" s="5" t="s">
        <v>85</v>
      </c>
      <c r="I1338" s="5" t="s">
        <v>58</v>
      </c>
      <c r="J1338" s="5" t="s">
        <v>49</v>
      </c>
      <c r="K1338">
        <v>44</v>
      </c>
      <c r="L1338">
        <v>985549</v>
      </c>
      <c r="M1338" s="26">
        <v>43364156</v>
      </c>
      <c r="N1338">
        <v>9659</v>
      </c>
      <c r="O1338" s="26">
        <v>6742389.6799999997</v>
      </c>
      <c r="P1338" s="5" t="s">
        <v>50</v>
      </c>
      <c r="Q1338" s="5" t="s">
        <v>51</v>
      </c>
      <c r="R1338">
        <v>3.5</v>
      </c>
      <c r="S1338">
        <v>20</v>
      </c>
      <c r="T1338">
        <f t="shared" si="20"/>
        <v>0</v>
      </c>
    </row>
    <row r="1339" spans="1:20">
      <c r="A1339" s="4">
        <v>44998</v>
      </c>
      <c r="B1339">
        <v>2023</v>
      </c>
      <c r="C1339">
        <v>3</v>
      </c>
      <c r="D1339" s="5" t="s">
        <v>66</v>
      </c>
      <c r="E1339" s="5" t="s">
        <v>67</v>
      </c>
      <c r="F1339" s="5" t="s">
        <v>68</v>
      </c>
      <c r="G1339" s="5" t="s">
        <v>69</v>
      </c>
      <c r="H1339" s="5" t="s">
        <v>39</v>
      </c>
      <c r="I1339" s="5" t="s">
        <v>40</v>
      </c>
      <c r="J1339" s="5" t="s">
        <v>41</v>
      </c>
      <c r="K1339">
        <v>55</v>
      </c>
      <c r="L1339">
        <v>591597</v>
      </c>
      <c r="M1339" s="26">
        <v>32537835</v>
      </c>
      <c r="N1339">
        <v>40235</v>
      </c>
      <c r="O1339" s="26">
        <v>4791773.09</v>
      </c>
      <c r="P1339" s="5" t="s">
        <v>42</v>
      </c>
      <c r="Q1339" s="5" t="s">
        <v>51</v>
      </c>
      <c r="R1339">
        <v>3.6</v>
      </c>
      <c r="S1339">
        <v>6</v>
      </c>
      <c r="T1339">
        <f t="shared" si="20"/>
        <v>1</v>
      </c>
    </row>
    <row r="1340" spans="1:20">
      <c r="A1340" s="4">
        <v>45011</v>
      </c>
      <c r="B1340">
        <v>2023</v>
      </c>
      <c r="C1340">
        <v>3</v>
      </c>
      <c r="D1340" s="5" t="s">
        <v>54</v>
      </c>
      <c r="E1340" s="5" t="s">
        <v>70</v>
      </c>
      <c r="F1340" s="5" t="s">
        <v>71</v>
      </c>
      <c r="G1340" s="5" t="s">
        <v>72</v>
      </c>
      <c r="H1340" s="5" t="s">
        <v>73</v>
      </c>
      <c r="I1340" s="5" t="s">
        <v>40</v>
      </c>
      <c r="J1340" s="5" t="s">
        <v>49</v>
      </c>
      <c r="K1340">
        <v>48</v>
      </c>
      <c r="L1340">
        <v>712062</v>
      </c>
      <c r="M1340" s="26">
        <v>34178976</v>
      </c>
      <c r="N1340">
        <v>39442</v>
      </c>
      <c r="O1340" s="26">
        <v>3098767.95</v>
      </c>
      <c r="P1340" s="5" t="s">
        <v>50</v>
      </c>
      <c r="Q1340" s="5" t="s">
        <v>51</v>
      </c>
      <c r="R1340">
        <v>4.3</v>
      </c>
      <c r="S1340">
        <v>20</v>
      </c>
      <c r="T1340">
        <f t="shared" si="20"/>
        <v>0</v>
      </c>
    </row>
    <row r="1341" spans="1:20">
      <c r="A1341" s="4">
        <v>45009</v>
      </c>
      <c r="B1341">
        <v>2023</v>
      </c>
      <c r="C1341">
        <v>3</v>
      </c>
      <c r="D1341" s="5" t="s">
        <v>35</v>
      </c>
      <c r="E1341" s="5" t="s">
        <v>36</v>
      </c>
      <c r="F1341" s="5" t="s">
        <v>37</v>
      </c>
      <c r="G1341" s="5" t="s">
        <v>38</v>
      </c>
      <c r="H1341" s="5" t="s">
        <v>80</v>
      </c>
      <c r="I1341" s="5" t="s">
        <v>81</v>
      </c>
      <c r="J1341" s="5" t="s">
        <v>41</v>
      </c>
      <c r="K1341">
        <v>46</v>
      </c>
      <c r="L1341">
        <v>573338</v>
      </c>
      <c r="M1341" s="26">
        <v>26373548</v>
      </c>
      <c r="N1341">
        <v>20228</v>
      </c>
      <c r="O1341" s="26">
        <v>3431870.03</v>
      </c>
      <c r="P1341" s="5" t="s">
        <v>50</v>
      </c>
      <c r="Q1341" s="5" t="s">
        <v>51</v>
      </c>
      <c r="R1341">
        <v>3.9</v>
      </c>
      <c r="S1341">
        <v>15</v>
      </c>
      <c r="T1341">
        <f t="shared" si="20"/>
        <v>0</v>
      </c>
    </row>
    <row r="1342" spans="1:20">
      <c r="A1342" s="4">
        <v>44996</v>
      </c>
      <c r="B1342">
        <v>2023</v>
      </c>
      <c r="C1342">
        <v>3</v>
      </c>
      <c r="D1342" s="5" t="s">
        <v>35</v>
      </c>
      <c r="E1342" s="5" t="s">
        <v>76</v>
      </c>
      <c r="F1342" s="5" t="s">
        <v>77</v>
      </c>
      <c r="G1342" s="5" t="s">
        <v>78</v>
      </c>
      <c r="H1342" s="5" t="s">
        <v>80</v>
      </c>
      <c r="I1342" s="5" t="s">
        <v>81</v>
      </c>
      <c r="J1342" s="5" t="s">
        <v>41</v>
      </c>
      <c r="K1342">
        <v>5</v>
      </c>
      <c r="L1342">
        <v>542586</v>
      </c>
      <c r="M1342" s="26">
        <v>2712930</v>
      </c>
      <c r="N1342">
        <v>40596</v>
      </c>
      <c r="O1342" s="26">
        <v>295560.40000000002</v>
      </c>
      <c r="P1342" s="5" t="s">
        <v>50</v>
      </c>
      <c r="Q1342" s="5" t="s">
        <v>75</v>
      </c>
      <c r="R1342">
        <v>4.9000000000000004</v>
      </c>
      <c r="S1342">
        <v>16</v>
      </c>
      <c r="T1342">
        <f t="shared" si="20"/>
        <v>0</v>
      </c>
    </row>
    <row r="1343" spans="1:20">
      <c r="A1343" s="4">
        <v>44999</v>
      </c>
      <c r="B1343">
        <v>2023</v>
      </c>
      <c r="C1343">
        <v>3</v>
      </c>
      <c r="D1343" s="5" t="s">
        <v>66</v>
      </c>
      <c r="E1343" s="5" t="s">
        <v>67</v>
      </c>
      <c r="F1343" s="5" t="s">
        <v>68</v>
      </c>
      <c r="G1343" s="5" t="s">
        <v>69</v>
      </c>
      <c r="H1343" s="5" t="s">
        <v>48</v>
      </c>
      <c r="I1343" s="5" t="s">
        <v>40</v>
      </c>
      <c r="J1343" s="5" t="s">
        <v>49</v>
      </c>
      <c r="K1343">
        <v>60</v>
      </c>
      <c r="L1343">
        <v>434100</v>
      </c>
      <c r="M1343" s="26">
        <v>26046000</v>
      </c>
      <c r="N1343">
        <v>32860</v>
      </c>
      <c r="O1343" s="26">
        <v>2952788.67</v>
      </c>
      <c r="P1343" s="5" t="s">
        <v>42</v>
      </c>
      <c r="Q1343" s="5" t="s">
        <v>75</v>
      </c>
      <c r="R1343">
        <v>4</v>
      </c>
      <c r="S1343">
        <v>9</v>
      </c>
      <c r="T1343">
        <f t="shared" si="20"/>
        <v>1</v>
      </c>
    </row>
    <row r="1344" spans="1:20">
      <c r="A1344" s="4">
        <v>45010</v>
      </c>
      <c r="B1344">
        <v>2023</v>
      </c>
      <c r="C1344">
        <v>3</v>
      </c>
      <c r="D1344" s="5" t="s">
        <v>44</v>
      </c>
      <c r="E1344" s="5" t="s">
        <v>45</v>
      </c>
      <c r="F1344" s="5" t="s">
        <v>46</v>
      </c>
      <c r="G1344" s="5" t="s">
        <v>47</v>
      </c>
      <c r="H1344" s="5" t="s">
        <v>74</v>
      </c>
      <c r="I1344" s="5" t="s">
        <v>40</v>
      </c>
      <c r="J1344" s="5" t="s">
        <v>49</v>
      </c>
      <c r="K1344">
        <v>60</v>
      </c>
      <c r="L1344">
        <v>678220</v>
      </c>
      <c r="M1344" s="26">
        <v>40693200</v>
      </c>
      <c r="N1344">
        <v>36641</v>
      </c>
      <c r="O1344" s="26">
        <v>4139627.7</v>
      </c>
      <c r="P1344" s="5" t="s">
        <v>42</v>
      </c>
      <c r="Q1344" s="5" t="s">
        <v>51</v>
      </c>
      <c r="R1344">
        <v>3.8</v>
      </c>
      <c r="S1344">
        <v>7</v>
      </c>
      <c r="T1344">
        <f t="shared" si="20"/>
        <v>1</v>
      </c>
    </row>
    <row r="1345" spans="1:20">
      <c r="A1345" s="4">
        <v>45002</v>
      </c>
      <c r="B1345">
        <v>2023</v>
      </c>
      <c r="C1345">
        <v>3</v>
      </c>
      <c r="D1345" s="5" t="s">
        <v>35</v>
      </c>
      <c r="E1345" s="5" t="s">
        <v>76</v>
      </c>
      <c r="F1345" s="5" t="s">
        <v>77</v>
      </c>
      <c r="G1345" s="5" t="s">
        <v>78</v>
      </c>
      <c r="H1345" s="5" t="s">
        <v>80</v>
      </c>
      <c r="I1345" s="5" t="s">
        <v>81</v>
      </c>
      <c r="J1345" s="5" t="s">
        <v>41</v>
      </c>
      <c r="K1345">
        <v>16</v>
      </c>
      <c r="L1345">
        <v>550873</v>
      </c>
      <c r="M1345" s="26">
        <v>8813968</v>
      </c>
      <c r="N1345">
        <v>49457</v>
      </c>
      <c r="O1345" s="26">
        <v>1255078.17</v>
      </c>
      <c r="P1345" s="5" t="s">
        <v>42</v>
      </c>
      <c r="Q1345" s="5" t="s">
        <v>51</v>
      </c>
      <c r="R1345">
        <v>3.8</v>
      </c>
      <c r="S1345">
        <v>14</v>
      </c>
      <c r="T1345">
        <f t="shared" si="20"/>
        <v>1</v>
      </c>
    </row>
    <row r="1346" spans="1:20">
      <c r="A1346" s="4">
        <v>44994</v>
      </c>
      <c r="B1346">
        <v>2023</v>
      </c>
      <c r="C1346">
        <v>3</v>
      </c>
      <c r="D1346" s="5" t="s">
        <v>44</v>
      </c>
      <c r="E1346" s="5" t="s">
        <v>82</v>
      </c>
      <c r="F1346" s="5" t="s">
        <v>83</v>
      </c>
      <c r="G1346" s="5" t="s">
        <v>84</v>
      </c>
      <c r="H1346" s="5" t="s">
        <v>57</v>
      </c>
      <c r="I1346" s="5" t="s">
        <v>58</v>
      </c>
      <c r="J1346" s="5" t="s">
        <v>59</v>
      </c>
      <c r="K1346">
        <v>12</v>
      </c>
      <c r="L1346">
        <v>1397684</v>
      </c>
      <c r="M1346" s="26">
        <v>16772208</v>
      </c>
      <c r="N1346">
        <v>49495</v>
      </c>
      <c r="O1346" s="26">
        <v>1951566.69</v>
      </c>
      <c r="P1346" s="5" t="s">
        <v>42</v>
      </c>
      <c r="Q1346" s="5" t="s">
        <v>75</v>
      </c>
      <c r="R1346">
        <v>4.0999999999999996</v>
      </c>
      <c r="S1346">
        <v>6</v>
      </c>
      <c r="T1346">
        <f t="shared" ref="T1346:T1409" si="21">IF(AND(OR($B1346=Sel_Year,Sel_Year="All"),OR($C1346=Sel_Month,Sel_Month="All"),OR($D1346=Sel_Region,Sel_Region="All"),OR($E1346=Sel_State,Sel_State="All"),OR($F1346=Sel_City,Sel_City="All"),OR($G1346=Sel_Dealer,Sel_Dealer="All"),OR($H1346=Sel_Model,Sel_Model="All"),OR($I1346=Sel_Segment,Sel_Segment="All"),OR($J1346=Sel_Fuel,Sel_Fuel="All"),OR($P1346=Sel_CustType,Sel_CustType="All"),OR($Q1346=Sel_Payment,Sel_Payment="All")),1,0)</f>
        <v>1</v>
      </c>
    </row>
    <row r="1347" spans="1:20">
      <c r="A1347" s="4">
        <v>44999</v>
      </c>
      <c r="B1347">
        <v>2023</v>
      </c>
      <c r="C1347">
        <v>3</v>
      </c>
      <c r="D1347" s="5" t="s">
        <v>35</v>
      </c>
      <c r="E1347" s="5" t="s">
        <v>60</v>
      </c>
      <c r="F1347" s="5" t="s">
        <v>61</v>
      </c>
      <c r="G1347" s="5" t="s">
        <v>62</v>
      </c>
      <c r="H1347" s="5" t="s">
        <v>39</v>
      </c>
      <c r="I1347" s="5" t="s">
        <v>40</v>
      </c>
      <c r="J1347" s="5" t="s">
        <v>41</v>
      </c>
      <c r="K1347">
        <v>57</v>
      </c>
      <c r="L1347">
        <v>554056</v>
      </c>
      <c r="M1347" s="26">
        <v>31581192</v>
      </c>
      <c r="N1347">
        <v>26603</v>
      </c>
      <c r="O1347" s="26">
        <v>4577738.88</v>
      </c>
      <c r="P1347" s="5" t="s">
        <v>42</v>
      </c>
      <c r="Q1347" s="5" t="s">
        <v>43</v>
      </c>
      <c r="R1347">
        <v>4.8</v>
      </c>
      <c r="S1347">
        <v>7</v>
      </c>
      <c r="T1347">
        <f t="shared" si="21"/>
        <v>1</v>
      </c>
    </row>
    <row r="1348" spans="1:20">
      <c r="A1348" s="4">
        <v>44995</v>
      </c>
      <c r="B1348">
        <v>2023</v>
      </c>
      <c r="C1348">
        <v>3</v>
      </c>
      <c r="D1348" s="5" t="s">
        <v>44</v>
      </c>
      <c r="E1348" s="5" t="s">
        <v>45</v>
      </c>
      <c r="F1348" s="5" t="s">
        <v>46</v>
      </c>
      <c r="G1348" s="5" t="s">
        <v>47</v>
      </c>
      <c r="H1348" s="5" t="s">
        <v>52</v>
      </c>
      <c r="I1348" s="5" t="s">
        <v>53</v>
      </c>
      <c r="J1348" s="5" t="s">
        <v>41</v>
      </c>
      <c r="K1348">
        <v>53</v>
      </c>
      <c r="L1348">
        <v>925295</v>
      </c>
      <c r="M1348" s="26">
        <v>49040635</v>
      </c>
      <c r="N1348">
        <v>8679</v>
      </c>
      <c r="O1348" s="26">
        <v>4067770.06</v>
      </c>
      <c r="P1348" s="5" t="s">
        <v>50</v>
      </c>
      <c r="Q1348" s="5" t="s">
        <v>51</v>
      </c>
      <c r="R1348">
        <v>3.8</v>
      </c>
      <c r="S1348">
        <v>6</v>
      </c>
      <c r="T1348">
        <f t="shared" si="21"/>
        <v>0</v>
      </c>
    </row>
    <row r="1349" spans="1:20">
      <c r="A1349" s="4">
        <v>45004</v>
      </c>
      <c r="B1349">
        <v>2023</v>
      </c>
      <c r="C1349">
        <v>3</v>
      </c>
      <c r="D1349" s="5" t="s">
        <v>66</v>
      </c>
      <c r="E1349" s="5" t="s">
        <v>67</v>
      </c>
      <c r="F1349" s="5" t="s">
        <v>68</v>
      </c>
      <c r="G1349" s="5" t="s">
        <v>69</v>
      </c>
      <c r="H1349" s="5" t="s">
        <v>79</v>
      </c>
      <c r="I1349" s="5" t="s">
        <v>58</v>
      </c>
      <c r="J1349" s="5" t="s">
        <v>49</v>
      </c>
      <c r="K1349">
        <v>26</v>
      </c>
      <c r="L1349">
        <v>913977</v>
      </c>
      <c r="M1349" s="26">
        <v>23763402</v>
      </c>
      <c r="N1349">
        <v>39711</v>
      </c>
      <c r="O1349" s="26">
        <v>2725586.01</v>
      </c>
      <c r="P1349" s="5" t="s">
        <v>42</v>
      </c>
      <c r="Q1349" s="5" t="s">
        <v>43</v>
      </c>
      <c r="R1349">
        <v>3.7</v>
      </c>
      <c r="S1349">
        <v>5</v>
      </c>
      <c r="T1349">
        <f t="shared" si="21"/>
        <v>1</v>
      </c>
    </row>
    <row r="1350" spans="1:20">
      <c r="A1350" s="4">
        <v>45010</v>
      </c>
      <c r="B1350">
        <v>2023</v>
      </c>
      <c r="C1350">
        <v>3</v>
      </c>
      <c r="D1350" s="5" t="s">
        <v>35</v>
      </c>
      <c r="E1350" s="5" t="s">
        <v>76</v>
      </c>
      <c r="F1350" s="5" t="s">
        <v>77</v>
      </c>
      <c r="G1350" s="5" t="s">
        <v>78</v>
      </c>
      <c r="H1350" s="5" t="s">
        <v>52</v>
      </c>
      <c r="I1350" s="5" t="s">
        <v>53</v>
      </c>
      <c r="J1350" s="5" t="s">
        <v>41</v>
      </c>
      <c r="K1350">
        <v>45</v>
      </c>
      <c r="L1350">
        <v>949866</v>
      </c>
      <c r="M1350" s="26">
        <v>42743970</v>
      </c>
      <c r="N1350">
        <v>39031</v>
      </c>
      <c r="O1350" s="26">
        <v>4727340.72</v>
      </c>
      <c r="P1350" s="5" t="s">
        <v>50</v>
      </c>
      <c r="Q1350" s="5" t="s">
        <v>51</v>
      </c>
      <c r="R1350">
        <v>3.7</v>
      </c>
      <c r="S1350">
        <v>7</v>
      </c>
      <c r="T1350">
        <f t="shared" si="21"/>
        <v>0</v>
      </c>
    </row>
    <row r="1351" spans="1:20">
      <c r="A1351" s="4">
        <v>45010</v>
      </c>
      <c r="B1351">
        <v>2023</v>
      </c>
      <c r="C1351">
        <v>3</v>
      </c>
      <c r="D1351" s="5" t="s">
        <v>44</v>
      </c>
      <c r="E1351" s="5" t="s">
        <v>82</v>
      </c>
      <c r="F1351" s="5" t="s">
        <v>83</v>
      </c>
      <c r="G1351" s="5" t="s">
        <v>84</v>
      </c>
      <c r="H1351" s="5" t="s">
        <v>63</v>
      </c>
      <c r="I1351" s="5" t="s">
        <v>64</v>
      </c>
      <c r="J1351" s="5" t="s">
        <v>41</v>
      </c>
      <c r="K1351">
        <v>20</v>
      </c>
      <c r="L1351">
        <v>744909</v>
      </c>
      <c r="M1351" s="26">
        <v>14898180</v>
      </c>
      <c r="N1351">
        <v>36177</v>
      </c>
      <c r="O1351" s="26">
        <v>1376977.3</v>
      </c>
      <c r="P1351" s="5" t="s">
        <v>50</v>
      </c>
      <c r="Q1351" s="5" t="s">
        <v>43</v>
      </c>
      <c r="R1351">
        <v>3.7</v>
      </c>
      <c r="S1351">
        <v>20</v>
      </c>
      <c r="T1351">
        <f t="shared" si="21"/>
        <v>0</v>
      </c>
    </row>
    <row r="1352" spans="1:20">
      <c r="A1352" s="4">
        <v>45025</v>
      </c>
      <c r="B1352">
        <v>2023</v>
      </c>
      <c r="C1352">
        <v>4</v>
      </c>
      <c r="D1352" s="5" t="s">
        <v>44</v>
      </c>
      <c r="E1352" s="5" t="s">
        <v>82</v>
      </c>
      <c r="F1352" s="5" t="s">
        <v>83</v>
      </c>
      <c r="G1352" s="5" t="s">
        <v>84</v>
      </c>
      <c r="H1352" s="5" t="s">
        <v>39</v>
      </c>
      <c r="I1352" s="5" t="s">
        <v>40</v>
      </c>
      <c r="J1352" s="5" t="s">
        <v>41</v>
      </c>
      <c r="K1352">
        <v>34</v>
      </c>
      <c r="L1352">
        <v>568790</v>
      </c>
      <c r="M1352" s="26">
        <v>19338860</v>
      </c>
      <c r="N1352">
        <v>15059</v>
      </c>
      <c r="O1352" s="26">
        <v>1628005.08</v>
      </c>
      <c r="P1352" s="5" t="s">
        <v>42</v>
      </c>
      <c r="Q1352" s="5" t="s">
        <v>43</v>
      </c>
      <c r="R1352">
        <v>4.7</v>
      </c>
      <c r="S1352">
        <v>5</v>
      </c>
      <c r="T1352">
        <f t="shared" si="21"/>
        <v>1</v>
      </c>
    </row>
    <row r="1353" spans="1:20">
      <c r="A1353" s="4">
        <v>45044</v>
      </c>
      <c r="B1353">
        <v>2023</v>
      </c>
      <c r="C1353">
        <v>4</v>
      </c>
      <c r="D1353" s="5" t="s">
        <v>54</v>
      </c>
      <c r="E1353" s="5" t="s">
        <v>70</v>
      </c>
      <c r="F1353" s="5" t="s">
        <v>71</v>
      </c>
      <c r="G1353" s="5" t="s">
        <v>72</v>
      </c>
      <c r="H1353" s="5" t="s">
        <v>80</v>
      </c>
      <c r="I1353" s="5" t="s">
        <v>81</v>
      </c>
      <c r="J1353" s="5" t="s">
        <v>41</v>
      </c>
      <c r="K1353">
        <v>52</v>
      </c>
      <c r="L1353">
        <v>529843</v>
      </c>
      <c r="M1353" s="26">
        <v>27551836</v>
      </c>
      <c r="N1353">
        <v>10384</v>
      </c>
      <c r="O1353" s="26">
        <v>3597440.23</v>
      </c>
      <c r="P1353" s="5" t="s">
        <v>42</v>
      </c>
      <c r="Q1353" s="5" t="s">
        <v>51</v>
      </c>
      <c r="R1353">
        <v>4.7</v>
      </c>
      <c r="S1353">
        <v>11</v>
      </c>
      <c r="T1353">
        <f t="shared" si="21"/>
        <v>1</v>
      </c>
    </row>
    <row r="1354" spans="1:20">
      <c r="A1354" s="4">
        <v>45017</v>
      </c>
      <c r="B1354">
        <v>2023</v>
      </c>
      <c r="C1354">
        <v>4</v>
      </c>
      <c r="D1354" s="5" t="s">
        <v>44</v>
      </c>
      <c r="E1354" s="5" t="s">
        <v>82</v>
      </c>
      <c r="F1354" s="5" t="s">
        <v>83</v>
      </c>
      <c r="G1354" s="5" t="s">
        <v>84</v>
      </c>
      <c r="H1354" s="5" t="s">
        <v>65</v>
      </c>
      <c r="I1354" s="5" t="s">
        <v>53</v>
      </c>
      <c r="J1354" s="5" t="s">
        <v>49</v>
      </c>
      <c r="K1354">
        <v>36</v>
      </c>
      <c r="L1354">
        <v>1241665</v>
      </c>
      <c r="M1354" s="26">
        <v>44699940</v>
      </c>
      <c r="N1354">
        <v>27000</v>
      </c>
      <c r="O1354" s="26">
        <v>5076933.8499999996</v>
      </c>
      <c r="P1354" s="5" t="s">
        <v>50</v>
      </c>
      <c r="Q1354" s="5" t="s">
        <v>51</v>
      </c>
      <c r="R1354">
        <v>4.5999999999999996</v>
      </c>
      <c r="S1354">
        <v>3</v>
      </c>
      <c r="T1354">
        <f t="shared" si="21"/>
        <v>0</v>
      </c>
    </row>
    <row r="1355" spans="1:20">
      <c r="A1355" s="4">
        <v>45020</v>
      </c>
      <c r="B1355">
        <v>2023</v>
      </c>
      <c r="C1355">
        <v>4</v>
      </c>
      <c r="D1355" s="5" t="s">
        <v>66</v>
      </c>
      <c r="E1355" s="5" t="s">
        <v>67</v>
      </c>
      <c r="F1355" s="5" t="s">
        <v>68</v>
      </c>
      <c r="G1355" s="5" t="s">
        <v>69</v>
      </c>
      <c r="H1355" s="5" t="s">
        <v>80</v>
      </c>
      <c r="I1355" s="5" t="s">
        <v>81</v>
      </c>
      <c r="J1355" s="5" t="s">
        <v>41</v>
      </c>
      <c r="K1355">
        <v>32</v>
      </c>
      <c r="L1355">
        <v>528981</v>
      </c>
      <c r="M1355" s="26">
        <v>16927392</v>
      </c>
      <c r="N1355">
        <v>39566</v>
      </c>
      <c r="O1355" s="26">
        <v>1752212.15</v>
      </c>
      <c r="P1355" s="5" t="s">
        <v>42</v>
      </c>
      <c r="Q1355" s="5" t="s">
        <v>43</v>
      </c>
      <c r="R1355">
        <v>4.5</v>
      </c>
      <c r="S1355">
        <v>5</v>
      </c>
      <c r="T1355">
        <f t="shared" si="21"/>
        <v>1</v>
      </c>
    </row>
    <row r="1356" spans="1:20">
      <c r="A1356" s="4">
        <v>45030</v>
      </c>
      <c r="B1356">
        <v>2023</v>
      </c>
      <c r="C1356">
        <v>4</v>
      </c>
      <c r="D1356" s="5" t="s">
        <v>35</v>
      </c>
      <c r="E1356" s="5" t="s">
        <v>60</v>
      </c>
      <c r="F1356" s="5" t="s">
        <v>61</v>
      </c>
      <c r="G1356" s="5" t="s">
        <v>62</v>
      </c>
      <c r="H1356" s="5" t="s">
        <v>73</v>
      </c>
      <c r="I1356" s="5" t="s">
        <v>40</v>
      </c>
      <c r="J1356" s="5" t="s">
        <v>49</v>
      </c>
      <c r="K1356">
        <v>53</v>
      </c>
      <c r="L1356">
        <v>746546</v>
      </c>
      <c r="M1356" s="26">
        <v>39566938</v>
      </c>
      <c r="N1356">
        <v>49876</v>
      </c>
      <c r="O1356" s="26">
        <v>3375828.81</v>
      </c>
      <c r="P1356" s="5" t="s">
        <v>42</v>
      </c>
      <c r="Q1356" s="5" t="s">
        <v>43</v>
      </c>
      <c r="R1356">
        <v>4.9000000000000004</v>
      </c>
      <c r="S1356">
        <v>9</v>
      </c>
      <c r="T1356">
        <f t="shared" si="21"/>
        <v>1</v>
      </c>
    </row>
    <row r="1357" spans="1:20">
      <c r="A1357" s="4">
        <v>45041</v>
      </c>
      <c r="B1357">
        <v>2023</v>
      </c>
      <c r="C1357">
        <v>4</v>
      </c>
      <c r="D1357" s="5" t="s">
        <v>44</v>
      </c>
      <c r="E1357" s="5" t="s">
        <v>82</v>
      </c>
      <c r="F1357" s="5" t="s">
        <v>83</v>
      </c>
      <c r="G1357" s="5" t="s">
        <v>84</v>
      </c>
      <c r="H1357" s="5" t="s">
        <v>65</v>
      </c>
      <c r="I1357" s="5" t="s">
        <v>53</v>
      </c>
      <c r="J1357" s="5" t="s">
        <v>49</v>
      </c>
      <c r="K1357">
        <v>6</v>
      </c>
      <c r="L1357">
        <v>1237897</v>
      </c>
      <c r="M1357" s="26">
        <v>7427382</v>
      </c>
      <c r="N1357">
        <v>13763</v>
      </c>
      <c r="O1357" s="26">
        <v>767634.64</v>
      </c>
      <c r="P1357" s="5" t="s">
        <v>42</v>
      </c>
      <c r="Q1357" s="5" t="s">
        <v>75</v>
      </c>
      <c r="R1357">
        <v>4.5</v>
      </c>
      <c r="S1357">
        <v>16</v>
      </c>
      <c r="T1357">
        <f t="shared" si="21"/>
        <v>1</v>
      </c>
    </row>
    <row r="1358" spans="1:20">
      <c r="A1358" s="4">
        <v>45025</v>
      </c>
      <c r="B1358">
        <v>2023</v>
      </c>
      <c r="C1358">
        <v>4</v>
      </c>
      <c r="D1358" s="5" t="s">
        <v>35</v>
      </c>
      <c r="E1358" s="5" t="s">
        <v>36</v>
      </c>
      <c r="F1358" s="5" t="s">
        <v>37</v>
      </c>
      <c r="G1358" s="5" t="s">
        <v>38</v>
      </c>
      <c r="H1358" s="5" t="s">
        <v>79</v>
      </c>
      <c r="I1358" s="5" t="s">
        <v>58</v>
      </c>
      <c r="J1358" s="5" t="s">
        <v>49</v>
      </c>
      <c r="K1358">
        <v>24</v>
      </c>
      <c r="L1358">
        <v>916964</v>
      </c>
      <c r="M1358" s="26">
        <v>22007136</v>
      </c>
      <c r="N1358">
        <v>48709</v>
      </c>
      <c r="O1358" s="26">
        <v>3362815.26</v>
      </c>
      <c r="P1358" s="5" t="s">
        <v>50</v>
      </c>
      <c r="Q1358" s="5" t="s">
        <v>75</v>
      </c>
      <c r="R1358">
        <v>4.5</v>
      </c>
      <c r="S1358">
        <v>5</v>
      </c>
      <c r="T1358">
        <f t="shared" si="21"/>
        <v>0</v>
      </c>
    </row>
    <row r="1359" spans="1:20">
      <c r="A1359" s="4">
        <v>45026</v>
      </c>
      <c r="B1359">
        <v>2023</v>
      </c>
      <c r="C1359">
        <v>4</v>
      </c>
      <c r="D1359" s="5" t="s">
        <v>66</v>
      </c>
      <c r="E1359" s="5" t="s">
        <v>67</v>
      </c>
      <c r="F1359" s="5" t="s">
        <v>68</v>
      </c>
      <c r="G1359" s="5" t="s">
        <v>69</v>
      </c>
      <c r="H1359" s="5" t="s">
        <v>74</v>
      </c>
      <c r="I1359" s="5" t="s">
        <v>40</v>
      </c>
      <c r="J1359" s="5" t="s">
        <v>49</v>
      </c>
      <c r="K1359">
        <v>36</v>
      </c>
      <c r="L1359">
        <v>657844</v>
      </c>
      <c r="M1359" s="26">
        <v>23682384</v>
      </c>
      <c r="N1359">
        <v>14858</v>
      </c>
      <c r="O1359" s="26">
        <v>3126617.85</v>
      </c>
      <c r="P1359" s="5" t="s">
        <v>50</v>
      </c>
      <c r="Q1359" s="5" t="s">
        <v>43</v>
      </c>
      <c r="R1359">
        <v>3.7</v>
      </c>
      <c r="S1359">
        <v>7</v>
      </c>
      <c r="T1359">
        <f t="shared" si="21"/>
        <v>0</v>
      </c>
    </row>
    <row r="1360" spans="1:20">
      <c r="A1360" s="4">
        <v>45026</v>
      </c>
      <c r="B1360">
        <v>2023</v>
      </c>
      <c r="C1360">
        <v>4</v>
      </c>
      <c r="D1360" s="5" t="s">
        <v>66</v>
      </c>
      <c r="E1360" s="5" t="s">
        <v>67</v>
      </c>
      <c r="F1360" s="5" t="s">
        <v>68</v>
      </c>
      <c r="G1360" s="5" t="s">
        <v>69</v>
      </c>
      <c r="H1360" s="5" t="s">
        <v>48</v>
      </c>
      <c r="I1360" s="5" t="s">
        <v>40</v>
      </c>
      <c r="J1360" s="5" t="s">
        <v>49</v>
      </c>
      <c r="K1360">
        <v>28</v>
      </c>
      <c r="L1360">
        <v>428310</v>
      </c>
      <c r="M1360" s="26">
        <v>11992680</v>
      </c>
      <c r="N1360">
        <v>40550</v>
      </c>
      <c r="O1360" s="26">
        <v>1419693.66</v>
      </c>
      <c r="P1360" s="5" t="s">
        <v>42</v>
      </c>
      <c r="Q1360" s="5" t="s">
        <v>43</v>
      </c>
      <c r="R1360">
        <v>4.4000000000000004</v>
      </c>
      <c r="S1360">
        <v>19</v>
      </c>
      <c r="T1360">
        <f t="shared" si="21"/>
        <v>1</v>
      </c>
    </row>
    <row r="1361" spans="1:20">
      <c r="A1361" s="4">
        <v>45017</v>
      </c>
      <c r="B1361">
        <v>2023</v>
      </c>
      <c r="C1361">
        <v>4</v>
      </c>
      <c r="D1361" s="5" t="s">
        <v>35</v>
      </c>
      <c r="E1361" s="5" t="s">
        <v>60</v>
      </c>
      <c r="F1361" s="5" t="s">
        <v>61</v>
      </c>
      <c r="G1361" s="5" t="s">
        <v>62</v>
      </c>
      <c r="H1361" s="5" t="s">
        <v>79</v>
      </c>
      <c r="I1361" s="5" t="s">
        <v>58</v>
      </c>
      <c r="J1361" s="5" t="s">
        <v>49</v>
      </c>
      <c r="K1361">
        <v>26</v>
      </c>
      <c r="L1361">
        <v>879333</v>
      </c>
      <c r="M1361" s="26">
        <v>22862658</v>
      </c>
      <c r="N1361">
        <v>44701</v>
      </c>
      <c r="O1361" s="26">
        <v>2507479.7599999998</v>
      </c>
      <c r="P1361" s="5" t="s">
        <v>42</v>
      </c>
      <c r="Q1361" s="5" t="s">
        <v>75</v>
      </c>
      <c r="R1361">
        <v>4</v>
      </c>
      <c r="S1361">
        <v>14</v>
      </c>
      <c r="T1361">
        <f t="shared" si="21"/>
        <v>1</v>
      </c>
    </row>
    <row r="1362" spans="1:20">
      <c r="A1362" s="4">
        <v>45027</v>
      </c>
      <c r="B1362">
        <v>2023</v>
      </c>
      <c r="C1362">
        <v>4</v>
      </c>
      <c r="D1362" s="5" t="s">
        <v>54</v>
      </c>
      <c r="E1362" s="5" t="s">
        <v>55</v>
      </c>
      <c r="F1362" s="5" t="s">
        <v>55</v>
      </c>
      <c r="G1362" s="5" t="s">
        <v>56</v>
      </c>
      <c r="H1362" s="5" t="s">
        <v>85</v>
      </c>
      <c r="I1362" s="5" t="s">
        <v>58</v>
      </c>
      <c r="J1362" s="5" t="s">
        <v>49</v>
      </c>
      <c r="K1362">
        <v>55</v>
      </c>
      <c r="L1362">
        <v>969475</v>
      </c>
      <c r="M1362" s="26">
        <v>53321125</v>
      </c>
      <c r="N1362">
        <v>44477</v>
      </c>
      <c r="O1362" s="26">
        <v>8235009.6399999997</v>
      </c>
      <c r="P1362" s="5" t="s">
        <v>50</v>
      </c>
      <c r="Q1362" s="5" t="s">
        <v>43</v>
      </c>
      <c r="R1362">
        <v>4.7</v>
      </c>
      <c r="S1362">
        <v>17</v>
      </c>
      <c r="T1362">
        <f t="shared" si="21"/>
        <v>0</v>
      </c>
    </row>
    <row r="1363" spans="1:20">
      <c r="A1363" s="4">
        <v>45037</v>
      </c>
      <c r="B1363">
        <v>2023</v>
      </c>
      <c r="C1363">
        <v>4</v>
      </c>
      <c r="D1363" s="5" t="s">
        <v>35</v>
      </c>
      <c r="E1363" s="5" t="s">
        <v>36</v>
      </c>
      <c r="F1363" s="5" t="s">
        <v>37</v>
      </c>
      <c r="G1363" s="5" t="s">
        <v>38</v>
      </c>
      <c r="H1363" s="5" t="s">
        <v>73</v>
      </c>
      <c r="I1363" s="5" t="s">
        <v>40</v>
      </c>
      <c r="J1363" s="5" t="s">
        <v>49</v>
      </c>
      <c r="K1363">
        <v>49</v>
      </c>
      <c r="L1363">
        <v>719436</v>
      </c>
      <c r="M1363" s="26">
        <v>35252364</v>
      </c>
      <c r="N1363">
        <v>17629</v>
      </c>
      <c r="O1363" s="26">
        <v>5364111.09</v>
      </c>
      <c r="P1363" s="5" t="s">
        <v>42</v>
      </c>
      <c r="Q1363" s="5" t="s">
        <v>75</v>
      </c>
      <c r="R1363">
        <v>3.6</v>
      </c>
      <c r="S1363">
        <v>21</v>
      </c>
      <c r="T1363">
        <f t="shared" si="21"/>
        <v>1</v>
      </c>
    </row>
    <row r="1364" spans="1:20">
      <c r="A1364" s="4">
        <v>45044</v>
      </c>
      <c r="B1364">
        <v>2023</v>
      </c>
      <c r="C1364">
        <v>4</v>
      </c>
      <c r="D1364" s="5" t="s">
        <v>54</v>
      </c>
      <c r="E1364" s="5" t="s">
        <v>70</v>
      </c>
      <c r="F1364" s="5" t="s">
        <v>71</v>
      </c>
      <c r="G1364" s="5" t="s">
        <v>72</v>
      </c>
      <c r="H1364" s="5" t="s">
        <v>65</v>
      </c>
      <c r="I1364" s="5" t="s">
        <v>53</v>
      </c>
      <c r="J1364" s="5" t="s">
        <v>49</v>
      </c>
      <c r="K1364">
        <v>35</v>
      </c>
      <c r="L1364">
        <v>1257380</v>
      </c>
      <c r="M1364" s="26">
        <v>44008300</v>
      </c>
      <c r="N1364">
        <v>25602</v>
      </c>
      <c r="O1364" s="26">
        <v>5453136.0199999996</v>
      </c>
      <c r="P1364" s="5" t="s">
        <v>42</v>
      </c>
      <c r="Q1364" s="5" t="s">
        <v>43</v>
      </c>
      <c r="R1364">
        <v>3.8</v>
      </c>
      <c r="S1364">
        <v>14</v>
      </c>
      <c r="T1364">
        <f t="shared" si="21"/>
        <v>1</v>
      </c>
    </row>
    <row r="1365" spans="1:20">
      <c r="A1365" s="4">
        <v>45034</v>
      </c>
      <c r="B1365">
        <v>2023</v>
      </c>
      <c r="C1365">
        <v>4</v>
      </c>
      <c r="D1365" s="5" t="s">
        <v>35</v>
      </c>
      <c r="E1365" s="5" t="s">
        <v>60</v>
      </c>
      <c r="F1365" s="5" t="s">
        <v>61</v>
      </c>
      <c r="G1365" s="5" t="s">
        <v>62</v>
      </c>
      <c r="H1365" s="5" t="s">
        <v>73</v>
      </c>
      <c r="I1365" s="5" t="s">
        <v>40</v>
      </c>
      <c r="J1365" s="5" t="s">
        <v>49</v>
      </c>
      <c r="K1365">
        <v>57</v>
      </c>
      <c r="L1365">
        <v>725253</v>
      </c>
      <c r="M1365" s="26">
        <v>41339421</v>
      </c>
      <c r="N1365">
        <v>37630</v>
      </c>
      <c r="O1365" s="26">
        <v>6185334.1399999997</v>
      </c>
      <c r="P1365" s="5" t="s">
        <v>50</v>
      </c>
      <c r="Q1365" s="5" t="s">
        <v>43</v>
      </c>
      <c r="R1365">
        <v>4.5</v>
      </c>
      <c r="S1365">
        <v>4</v>
      </c>
      <c r="T1365">
        <f t="shared" si="21"/>
        <v>0</v>
      </c>
    </row>
    <row r="1366" spans="1:20">
      <c r="A1366" s="4">
        <v>45025</v>
      </c>
      <c r="B1366">
        <v>2023</v>
      </c>
      <c r="C1366">
        <v>4</v>
      </c>
      <c r="D1366" s="5" t="s">
        <v>54</v>
      </c>
      <c r="E1366" s="5" t="s">
        <v>70</v>
      </c>
      <c r="F1366" s="5" t="s">
        <v>71</v>
      </c>
      <c r="G1366" s="5" t="s">
        <v>72</v>
      </c>
      <c r="H1366" s="5" t="s">
        <v>80</v>
      </c>
      <c r="I1366" s="5" t="s">
        <v>81</v>
      </c>
      <c r="J1366" s="5" t="s">
        <v>41</v>
      </c>
      <c r="K1366">
        <v>28</v>
      </c>
      <c r="L1366">
        <v>565451</v>
      </c>
      <c r="M1366" s="26">
        <v>15832628</v>
      </c>
      <c r="N1366">
        <v>13200</v>
      </c>
      <c r="O1366" s="26">
        <v>2437528.87</v>
      </c>
      <c r="P1366" s="5" t="s">
        <v>50</v>
      </c>
      <c r="Q1366" s="5" t="s">
        <v>43</v>
      </c>
      <c r="R1366">
        <v>3.7</v>
      </c>
      <c r="S1366">
        <v>11</v>
      </c>
      <c r="T1366">
        <f t="shared" si="21"/>
        <v>0</v>
      </c>
    </row>
    <row r="1367" spans="1:20">
      <c r="A1367" s="4">
        <v>45023</v>
      </c>
      <c r="B1367">
        <v>2023</v>
      </c>
      <c r="C1367">
        <v>4</v>
      </c>
      <c r="D1367" s="5" t="s">
        <v>54</v>
      </c>
      <c r="E1367" s="5" t="s">
        <v>70</v>
      </c>
      <c r="F1367" s="5" t="s">
        <v>71</v>
      </c>
      <c r="G1367" s="5" t="s">
        <v>72</v>
      </c>
      <c r="H1367" s="5" t="s">
        <v>57</v>
      </c>
      <c r="I1367" s="5" t="s">
        <v>58</v>
      </c>
      <c r="J1367" s="5" t="s">
        <v>59</v>
      </c>
      <c r="K1367">
        <v>41</v>
      </c>
      <c r="L1367">
        <v>1420256</v>
      </c>
      <c r="M1367" s="26">
        <v>58230496</v>
      </c>
      <c r="N1367">
        <v>14081</v>
      </c>
      <c r="O1367" s="26">
        <v>7421393.9400000004</v>
      </c>
      <c r="P1367" s="5" t="s">
        <v>42</v>
      </c>
      <c r="Q1367" s="5" t="s">
        <v>43</v>
      </c>
      <c r="R1367">
        <v>4.5999999999999996</v>
      </c>
      <c r="S1367">
        <v>5</v>
      </c>
      <c r="T1367">
        <f t="shared" si="21"/>
        <v>1</v>
      </c>
    </row>
    <row r="1368" spans="1:20">
      <c r="A1368" s="4">
        <v>45033</v>
      </c>
      <c r="B1368">
        <v>2023</v>
      </c>
      <c r="C1368">
        <v>4</v>
      </c>
      <c r="D1368" s="5" t="s">
        <v>54</v>
      </c>
      <c r="E1368" s="5" t="s">
        <v>55</v>
      </c>
      <c r="F1368" s="5" t="s">
        <v>55</v>
      </c>
      <c r="G1368" s="5" t="s">
        <v>56</v>
      </c>
      <c r="H1368" s="5" t="s">
        <v>39</v>
      </c>
      <c r="I1368" s="5" t="s">
        <v>40</v>
      </c>
      <c r="J1368" s="5" t="s">
        <v>41</v>
      </c>
      <c r="K1368">
        <v>8</v>
      </c>
      <c r="L1368">
        <v>593724</v>
      </c>
      <c r="M1368" s="26">
        <v>4749792</v>
      </c>
      <c r="N1368">
        <v>29829</v>
      </c>
      <c r="O1368" s="26">
        <v>445961.84</v>
      </c>
      <c r="P1368" s="5" t="s">
        <v>42</v>
      </c>
      <c r="Q1368" s="5" t="s">
        <v>51</v>
      </c>
      <c r="R1368">
        <v>4.8</v>
      </c>
      <c r="S1368">
        <v>20</v>
      </c>
      <c r="T1368">
        <f t="shared" si="21"/>
        <v>1</v>
      </c>
    </row>
    <row r="1369" spans="1:20">
      <c r="A1369" s="4">
        <v>45042</v>
      </c>
      <c r="B1369">
        <v>2023</v>
      </c>
      <c r="C1369">
        <v>4</v>
      </c>
      <c r="D1369" s="5" t="s">
        <v>35</v>
      </c>
      <c r="E1369" s="5" t="s">
        <v>36</v>
      </c>
      <c r="F1369" s="5" t="s">
        <v>37</v>
      </c>
      <c r="G1369" s="5" t="s">
        <v>38</v>
      </c>
      <c r="H1369" s="5" t="s">
        <v>79</v>
      </c>
      <c r="I1369" s="5" t="s">
        <v>58</v>
      </c>
      <c r="J1369" s="5" t="s">
        <v>49</v>
      </c>
      <c r="K1369">
        <v>46</v>
      </c>
      <c r="L1369">
        <v>924834</v>
      </c>
      <c r="M1369" s="26">
        <v>42542364</v>
      </c>
      <c r="N1369">
        <v>40415</v>
      </c>
      <c r="O1369" s="26">
        <v>6565444.5800000001</v>
      </c>
      <c r="P1369" s="5" t="s">
        <v>50</v>
      </c>
      <c r="Q1369" s="5" t="s">
        <v>43</v>
      </c>
      <c r="R1369">
        <v>3.7</v>
      </c>
      <c r="S1369">
        <v>3</v>
      </c>
      <c r="T1369">
        <f t="shared" si="21"/>
        <v>0</v>
      </c>
    </row>
    <row r="1370" spans="1:20">
      <c r="A1370" s="4">
        <v>45019</v>
      </c>
      <c r="B1370">
        <v>2023</v>
      </c>
      <c r="C1370">
        <v>4</v>
      </c>
      <c r="D1370" s="5" t="s">
        <v>44</v>
      </c>
      <c r="E1370" s="5" t="s">
        <v>45</v>
      </c>
      <c r="F1370" s="5" t="s">
        <v>46</v>
      </c>
      <c r="G1370" s="5" t="s">
        <v>47</v>
      </c>
      <c r="H1370" s="5" t="s">
        <v>65</v>
      </c>
      <c r="I1370" s="5" t="s">
        <v>53</v>
      </c>
      <c r="J1370" s="5" t="s">
        <v>49</v>
      </c>
      <c r="K1370">
        <v>34</v>
      </c>
      <c r="L1370">
        <v>1229136</v>
      </c>
      <c r="M1370" s="26">
        <v>41790624</v>
      </c>
      <c r="N1370">
        <v>19132</v>
      </c>
      <c r="O1370" s="26">
        <v>5158583.8099999996</v>
      </c>
      <c r="P1370" s="5" t="s">
        <v>50</v>
      </c>
      <c r="Q1370" s="5" t="s">
        <v>43</v>
      </c>
      <c r="R1370">
        <v>3.9</v>
      </c>
      <c r="S1370">
        <v>16</v>
      </c>
      <c r="T1370">
        <f t="shared" si="21"/>
        <v>0</v>
      </c>
    </row>
    <row r="1371" spans="1:20">
      <c r="A1371" s="4">
        <v>45026</v>
      </c>
      <c r="B1371">
        <v>2023</v>
      </c>
      <c r="C1371">
        <v>4</v>
      </c>
      <c r="D1371" s="5" t="s">
        <v>35</v>
      </c>
      <c r="E1371" s="5" t="s">
        <v>60</v>
      </c>
      <c r="F1371" s="5" t="s">
        <v>61</v>
      </c>
      <c r="G1371" s="5" t="s">
        <v>62</v>
      </c>
      <c r="H1371" s="5" t="s">
        <v>39</v>
      </c>
      <c r="I1371" s="5" t="s">
        <v>40</v>
      </c>
      <c r="J1371" s="5" t="s">
        <v>41</v>
      </c>
      <c r="K1371">
        <v>36</v>
      </c>
      <c r="L1371">
        <v>590763</v>
      </c>
      <c r="M1371" s="26">
        <v>21267468</v>
      </c>
      <c r="N1371">
        <v>8515</v>
      </c>
      <c r="O1371" s="26">
        <v>2743548.31</v>
      </c>
      <c r="P1371" s="5" t="s">
        <v>42</v>
      </c>
      <c r="Q1371" s="5" t="s">
        <v>75</v>
      </c>
      <c r="R1371">
        <v>4.4000000000000004</v>
      </c>
      <c r="S1371">
        <v>10</v>
      </c>
      <c r="T1371">
        <f t="shared" si="21"/>
        <v>1</v>
      </c>
    </row>
    <row r="1372" spans="1:20">
      <c r="A1372" s="4">
        <v>45026</v>
      </c>
      <c r="B1372">
        <v>2023</v>
      </c>
      <c r="C1372">
        <v>4</v>
      </c>
      <c r="D1372" s="5" t="s">
        <v>35</v>
      </c>
      <c r="E1372" s="5" t="s">
        <v>76</v>
      </c>
      <c r="F1372" s="5" t="s">
        <v>77</v>
      </c>
      <c r="G1372" s="5" t="s">
        <v>78</v>
      </c>
      <c r="H1372" s="5" t="s">
        <v>48</v>
      </c>
      <c r="I1372" s="5" t="s">
        <v>40</v>
      </c>
      <c r="J1372" s="5" t="s">
        <v>49</v>
      </c>
      <c r="K1372">
        <v>51</v>
      </c>
      <c r="L1372">
        <v>442678</v>
      </c>
      <c r="M1372" s="26">
        <v>22576578</v>
      </c>
      <c r="N1372">
        <v>7774</v>
      </c>
      <c r="O1372" s="26">
        <v>2983014.34</v>
      </c>
      <c r="P1372" s="5" t="s">
        <v>42</v>
      </c>
      <c r="Q1372" s="5" t="s">
        <v>51</v>
      </c>
      <c r="R1372">
        <v>4.0999999999999996</v>
      </c>
      <c r="S1372">
        <v>12</v>
      </c>
      <c r="T1372">
        <f t="shared" si="21"/>
        <v>1</v>
      </c>
    </row>
    <row r="1373" spans="1:20">
      <c r="A1373" s="4">
        <v>45040</v>
      </c>
      <c r="B1373">
        <v>2023</v>
      </c>
      <c r="C1373">
        <v>4</v>
      </c>
      <c r="D1373" s="5" t="s">
        <v>35</v>
      </c>
      <c r="E1373" s="5" t="s">
        <v>60</v>
      </c>
      <c r="F1373" s="5" t="s">
        <v>61</v>
      </c>
      <c r="G1373" s="5" t="s">
        <v>62</v>
      </c>
      <c r="H1373" s="5" t="s">
        <v>85</v>
      </c>
      <c r="I1373" s="5" t="s">
        <v>58</v>
      </c>
      <c r="J1373" s="5" t="s">
        <v>49</v>
      </c>
      <c r="K1373">
        <v>33</v>
      </c>
      <c r="L1373">
        <v>963977</v>
      </c>
      <c r="M1373" s="26">
        <v>31811241</v>
      </c>
      <c r="N1373">
        <v>21999</v>
      </c>
      <c r="O1373" s="26">
        <v>4432370.22</v>
      </c>
      <c r="P1373" s="5" t="s">
        <v>50</v>
      </c>
      <c r="Q1373" s="5" t="s">
        <v>75</v>
      </c>
      <c r="R1373">
        <v>3.8</v>
      </c>
      <c r="S1373">
        <v>20</v>
      </c>
      <c r="T1373">
        <f t="shared" si="21"/>
        <v>0</v>
      </c>
    </row>
    <row r="1374" spans="1:20">
      <c r="A1374" s="4">
        <v>45034</v>
      </c>
      <c r="B1374">
        <v>2023</v>
      </c>
      <c r="C1374">
        <v>4</v>
      </c>
      <c r="D1374" s="5" t="s">
        <v>35</v>
      </c>
      <c r="E1374" s="5" t="s">
        <v>36</v>
      </c>
      <c r="F1374" s="5" t="s">
        <v>37</v>
      </c>
      <c r="G1374" s="5" t="s">
        <v>38</v>
      </c>
      <c r="H1374" s="5" t="s">
        <v>48</v>
      </c>
      <c r="I1374" s="5" t="s">
        <v>40</v>
      </c>
      <c r="J1374" s="5" t="s">
        <v>49</v>
      </c>
      <c r="K1374">
        <v>13</v>
      </c>
      <c r="L1374">
        <v>473392</v>
      </c>
      <c r="M1374" s="26">
        <v>6154096</v>
      </c>
      <c r="N1374">
        <v>23567</v>
      </c>
      <c r="O1374" s="26">
        <v>848926.79</v>
      </c>
      <c r="P1374" s="5" t="s">
        <v>50</v>
      </c>
      <c r="Q1374" s="5" t="s">
        <v>51</v>
      </c>
      <c r="R1374">
        <v>4</v>
      </c>
      <c r="S1374">
        <v>20</v>
      </c>
      <c r="T1374">
        <f t="shared" si="21"/>
        <v>0</v>
      </c>
    </row>
    <row r="1375" spans="1:20">
      <c r="A1375" s="4">
        <v>45043</v>
      </c>
      <c r="B1375">
        <v>2023</v>
      </c>
      <c r="C1375">
        <v>4</v>
      </c>
      <c r="D1375" s="5" t="s">
        <v>35</v>
      </c>
      <c r="E1375" s="5" t="s">
        <v>36</v>
      </c>
      <c r="F1375" s="5" t="s">
        <v>37</v>
      </c>
      <c r="G1375" s="5" t="s">
        <v>38</v>
      </c>
      <c r="H1375" s="5" t="s">
        <v>63</v>
      </c>
      <c r="I1375" s="5" t="s">
        <v>64</v>
      </c>
      <c r="J1375" s="5" t="s">
        <v>41</v>
      </c>
      <c r="K1375">
        <v>58</v>
      </c>
      <c r="L1375">
        <v>763524</v>
      </c>
      <c r="M1375" s="26">
        <v>44284392</v>
      </c>
      <c r="N1375">
        <v>46526</v>
      </c>
      <c r="O1375" s="26">
        <v>5925389.4500000002</v>
      </c>
      <c r="P1375" s="5" t="s">
        <v>42</v>
      </c>
      <c r="Q1375" s="5" t="s">
        <v>75</v>
      </c>
      <c r="R1375">
        <v>4.0999999999999996</v>
      </c>
      <c r="S1375">
        <v>12</v>
      </c>
      <c r="T1375">
        <f t="shared" si="21"/>
        <v>1</v>
      </c>
    </row>
    <row r="1376" spans="1:20">
      <c r="A1376" s="4">
        <v>45033</v>
      </c>
      <c r="B1376">
        <v>2023</v>
      </c>
      <c r="C1376">
        <v>4</v>
      </c>
      <c r="D1376" s="5" t="s">
        <v>54</v>
      </c>
      <c r="E1376" s="5" t="s">
        <v>70</v>
      </c>
      <c r="F1376" s="5" t="s">
        <v>71</v>
      </c>
      <c r="G1376" s="5" t="s">
        <v>72</v>
      </c>
      <c r="H1376" s="5" t="s">
        <v>48</v>
      </c>
      <c r="I1376" s="5" t="s">
        <v>40</v>
      </c>
      <c r="J1376" s="5" t="s">
        <v>49</v>
      </c>
      <c r="K1376">
        <v>23</v>
      </c>
      <c r="L1376">
        <v>465136</v>
      </c>
      <c r="M1376" s="26">
        <v>10698128</v>
      </c>
      <c r="N1376">
        <v>23426</v>
      </c>
      <c r="O1376" s="26">
        <v>1100872.24</v>
      </c>
      <c r="P1376" s="5" t="s">
        <v>42</v>
      </c>
      <c r="Q1376" s="5" t="s">
        <v>51</v>
      </c>
      <c r="R1376">
        <v>3.6</v>
      </c>
      <c r="S1376">
        <v>21</v>
      </c>
      <c r="T1376">
        <f t="shared" si="21"/>
        <v>1</v>
      </c>
    </row>
    <row r="1377" spans="1:20">
      <c r="A1377" s="4">
        <v>45028</v>
      </c>
      <c r="B1377">
        <v>2023</v>
      </c>
      <c r="C1377">
        <v>4</v>
      </c>
      <c r="D1377" s="5" t="s">
        <v>44</v>
      </c>
      <c r="E1377" s="5" t="s">
        <v>45</v>
      </c>
      <c r="F1377" s="5" t="s">
        <v>46</v>
      </c>
      <c r="G1377" s="5" t="s">
        <v>47</v>
      </c>
      <c r="H1377" s="5" t="s">
        <v>48</v>
      </c>
      <c r="I1377" s="5" t="s">
        <v>40</v>
      </c>
      <c r="J1377" s="5" t="s">
        <v>49</v>
      </c>
      <c r="K1377">
        <v>9</v>
      </c>
      <c r="L1377">
        <v>442149</v>
      </c>
      <c r="M1377" s="26">
        <v>3979341</v>
      </c>
      <c r="N1377">
        <v>37404</v>
      </c>
      <c r="O1377" s="26">
        <v>479243.98</v>
      </c>
      <c r="P1377" s="5" t="s">
        <v>50</v>
      </c>
      <c r="Q1377" s="5" t="s">
        <v>51</v>
      </c>
      <c r="R1377">
        <v>4.2</v>
      </c>
      <c r="S1377">
        <v>18</v>
      </c>
      <c r="T1377">
        <f t="shared" si="21"/>
        <v>0</v>
      </c>
    </row>
    <row r="1378" spans="1:20">
      <c r="A1378" s="4">
        <v>45038</v>
      </c>
      <c r="B1378">
        <v>2023</v>
      </c>
      <c r="C1378">
        <v>4</v>
      </c>
      <c r="D1378" s="5" t="s">
        <v>35</v>
      </c>
      <c r="E1378" s="5" t="s">
        <v>36</v>
      </c>
      <c r="F1378" s="5" t="s">
        <v>37</v>
      </c>
      <c r="G1378" s="5" t="s">
        <v>38</v>
      </c>
      <c r="H1378" s="5" t="s">
        <v>73</v>
      </c>
      <c r="I1378" s="5" t="s">
        <v>40</v>
      </c>
      <c r="J1378" s="5" t="s">
        <v>49</v>
      </c>
      <c r="K1378">
        <v>46</v>
      </c>
      <c r="L1378">
        <v>707256</v>
      </c>
      <c r="M1378" s="26">
        <v>32533776</v>
      </c>
      <c r="N1378">
        <v>13732</v>
      </c>
      <c r="O1378" s="26">
        <v>4978224.26</v>
      </c>
      <c r="P1378" s="5" t="s">
        <v>50</v>
      </c>
      <c r="Q1378" s="5" t="s">
        <v>75</v>
      </c>
      <c r="R1378">
        <v>4.8</v>
      </c>
      <c r="S1378">
        <v>7</v>
      </c>
      <c r="T1378">
        <f t="shared" si="21"/>
        <v>0</v>
      </c>
    </row>
    <row r="1379" spans="1:20">
      <c r="A1379" s="4">
        <v>45034</v>
      </c>
      <c r="B1379">
        <v>2023</v>
      </c>
      <c r="C1379">
        <v>4</v>
      </c>
      <c r="D1379" s="5" t="s">
        <v>44</v>
      </c>
      <c r="E1379" s="5" t="s">
        <v>82</v>
      </c>
      <c r="F1379" s="5" t="s">
        <v>83</v>
      </c>
      <c r="G1379" s="5" t="s">
        <v>84</v>
      </c>
      <c r="H1379" s="5" t="s">
        <v>74</v>
      </c>
      <c r="I1379" s="5" t="s">
        <v>40</v>
      </c>
      <c r="J1379" s="5" t="s">
        <v>49</v>
      </c>
      <c r="K1379">
        <v>13</v>
      </c>
      <c r="L1379">
        <v>658106</v>
      </c>
      <c r="M1379" s="26">
        <v>8555378</v>
      </c>
      <c r="N1379">
        <v>44767</v>
      </c>
      <c r="O1379" s="26">
        <v>1257064.3799999999</v>
      </c>
      <c r="P1379" s="5" t="s">
        <v>50</v>
      </c>
      <c r="Q1379" s="5" t="s">
        <v>75</v>
      </c>
      <c r="R1379">
        <v>4.7</v>
      </c>
      <c r="S1379">
        <v>19</v>
      </c>
      <c r="T1379">
        <f t="shared" si="21"/>
        <v>0</v>
      </c>
    </row>
    <row r="1380" spans="1:20">
      <c r="A1380" s="4">
        <v>45038</v>
      </c>
      <c r="B1380">
        <v>2023</v>
      </c>
      <c r="C1380">
        <v>4</v>
      </c>
      <c r="D1380" s="5" t="s">
        <v>35</v>
      </c>
      <c r="E1380" s="5" t="s">
        <v>76</v>
      </c>
      <c r="F1380" s="5" t="s">
        <v>77</v>
      </c>
      <c r="G1380" s="5" t="s">
        <v>78</v>
      </c>
      <c r="H1380" s="5" t="s">
        <v>80</v>
      </c>
      <c r="I1380" s="5" t="s">
        <v>81</v>
      </c>
      <c r="J1380" s="5" t="s">
        <v>41</v>
      </c>
      <c r="K1380">
        <v>22</v>
      </c>
      <c r="L1380">
        <v>544730</v>
      </c>
      <c r="M1380" s="26">
        <v>11984060</v>
      </c>
      <c r="N1380">
        <v>14586</v>
      </c>
      <c r="O1380" s="26">
        <v>1279487.99</v>
      </c>
      <c r="P1380" s="5" t="s">
        <v>42</v>
      </c>
      <c r="Q1380" s="5" t="s">
        <v>51</v>
      </c>
      <c r="R1380">
        <v>4.2</v>
      </c>
      <c r="S1380">
        <v>20</v>
      </c>
      <c r="T1380">
        <f t="shared" si="21"/>
        <v>1</v>
      </c>
    </row>
    <row r="1381" spans="1:20">
      <c r="A1381" s="4">
        <v>45039</v>
      </c>
      <c r="B1381">
        <v>2023</v>
      </c>
      <c r="C1381">
        <v>4</v>
      </c>
      <c r="D1381" s="5" t="s">
        <v>54</v>
      </c>
      <c r="E1381" s="5" t="s">
        <v>55</v>
      </c>
      <c r="F1381" s="5" t="s">
        <v>55</v>
      </c>
      <c r="G1381" s="5" t="s">
        <v>56</v>
      </c>
      <c r="H1381" s="5" t="s">
        <v>48</v>
      </c>
      <c r="I1381" s="5" t="s">
        <v>40</v>
      </c>
      <c r="J1381" s="5" t="s">
        <v>49</v>
      </c>
      <c r="K1381">
        <v>24</v>
      </c>
      <c r="L1381">
        <v>433731</v>
      </c>
      <c r="M1381" s="26">
        <v>10409544</v>
      </c>
      <c r="N1381">
        <v>11449</v>
      </c>
      <c r="O1381" s="26">
        <v>969722.81</v>
      </c>
      <c r="P1381" s="5" t="s">
        <v>50</v>
      </c>
      <c r="Q1381" s="5" t="s">
        <v>51</v>
      </c>
      <c r="R1381">
        <v>3.6</v>
      </c>
      <c r="S1381">
        <v>12</v>
      </c>
      <c r="T1381">
        <f t="shared" si="21"/>
        <v>0</v>
      </c>
    </row>
    <row r="1382" spans="1:20">
      <c r="A1382" s="4">
        <v>45043</v>
      </c>
      <c r="B1382">
        <v>2023</v>
      </c>
      <c r="C1382">
        <v>4</v>
      </c>
      <c r="D1382" s="5" t="s">
        <v>54</v>
      </c>
      <c r="E1382" s="5" t="s">
        <v>70</v>
      </c>
      <c r="F1382" s="5" t="s">
        <v>71</v>
      </c>
      <c r="G1382" s="5" t="s">
        <v>72</v>
      </c>
      <c r="H1382" s="5" t="s">
        <v>73</v>
      </c>
      <c r="I1382" s="5" t="s">
        <v>40</v>
      </c>
      <c r="J1382" s="5" t="s">
        <v>49</v>
      </c>
      <c r="K1382">
        <v>53</v>
      </c>
      <c r="L1382">
        <v>732678</v>
      </c>
      <c r="M1382" s="26">
        <v>38831934</v>
      </c>
      <c r="N1382">
        <v>13318</v>
      </c>
      <c r="O1382" s="26">
        <v>3645559.49</v>
      </c>
      <c r="P1382" s="5" t="s">
        <v>50</v>
      </c>
      <c r="Q1382" s="5" t="s">
        <v>43</v>
      </c>
      <c r="R1382">
        <v>3.5</v>
      </c>
      <c r="S1382">
        <v>7</v>
      </c>
      <c r="T1382">
        <f t="shared" si="21"/>
        <v>0</v>
      </c>
    </row>
    <row r="1383" spans="1:20">
      <c r="A1383" s="4">
        <v>45030</v>
      </c>
      <c r="B1383">
        <v>2023</v>
      </c>
      <c r="C1383">
        <v>4</v>
      </c>
      <c r="D1383" s="5" t="s">
        <v>44</v>
      </c>
      <c r="E1383" s="5" t="s">
        <v>82</v>
      </c>
      <c r="F1383" s="5" t="s">
        <v>83</v>
      </c>
      <c r="G1383" s="5" t="s">
        <v>84</v>
      </c>
      <c r="H1383" s="5" t="s">
        <v>73</v>
      </c>
      <c r="I1383" s="5" t="s">
        <v>40</v>
      </c>
      <c r="J1383" s="5" t="s">
        <v>49</v>
      </c>
      <c r="K1383">
        <v>58</v>
      </c>
      <c r="L1383">
        <v>731555</v>
      </c>
      <c r="M1383" s="26">
        <v>42430190</v>
      </c>
      <c r="N1383">
        <v>40689</v>
      </c>
      <c r="O1383" s="26">
        <v>6217849</v>
      </c>
      <c r="P1383" s="5" t="s">
        <v>50</v>
      </c>
      <c r="Q1383" s="5" t="s">
        <v>51</v>
      </c>
      <c r="R1383">
        <v>3.8</v>
      </c>
      <c r="S1383">
        <v>17</v>
      </c>
      <c r="T1383">
        <f t="shared" si="21"/>
        <v>0</v>
      </c>
    </row>
    <row r="1384" spans="1:20">
      <c r="A1384" s="4">
        <v>45020</v>
      </c>
      <c r="B1384">
        <v>2023</v>
      </c>
      <c r="C1384">
        <v>4</v>
      </c>
      <c r="D1384" s="5" t="s">
        <v>44</v>
      </c>
      <c r="E1384" s="5" t="s">
        <v>45</v>
      </c>
      <c r="F1384" s="5" t="s">
        <v>46</v>
      </c>
      <c r="G1384" s="5" t="s">
        <v>47</v>
      </c>
      <c r="H1384" s="5" t="s">
        <v>48</v>
      </c>
      <c r="I1384" s="5" t="s">
        <v>40</v>
      </c>
      <c r="J1384" s="5" t="s">
        <v>49</v>
      </c>
      <c r="K1384">
        <v>20</v>
      </c>
      <c r="L1384">
        <v>432201</v>
      </c>
      <c r="M1384" s="26">
        <v>8644020</v>
      </c>
      <c r="N1384">
        <v>30945</v>
      </c>
      <c r="O1384" s="26">
        <v>951506.99</v>
      </c>
      <c r="P1384" s="5" t="s">
        <v>50</v>
      </c>
      <c r="Q1384" s="5" t="s">
        <v>43</v>
      </c>
      <c r="R1384">
        <v>4.5</v>
      </c>
      <c r="S1384">
        <v>19</v>
      </c>
      <c r="T1384">
        <f t="shared" si="21"/>
        <v>0</v>
      </c>
    </row>
    <row r="1385" spans="1:20">
      <c r="A1385" s="4">
        <v>45021</v>
      </c>
      <c r="B1385">
        <v>2023</v>
      </c>
      <c r="C1385">
        <v>4</v>
      </c>
      <c r="D1385" s="5" t="s">
        <v>54</v>
      </c>
      <c r="E1385" s="5" t="s">
        <v>55</v>
      </c>
      <c r="F1385" s="5" t="s">
        <v>55</v>
      </c>
      <c r="G1385" s="5" t="s">
        <v>56</v>
      </c>
      <c r="H1385" s="5" t="s">
        <v>80</v>
      </c>
      <c r="I1385" s="5" t="s">
        <v>81</v>
      </c>
      <c r="J1385" s="5" t="s">
        <v>41</v>
      </c>
      <c r="K1385">
        <v>17</v>
      </c>
      <c r="L1385">
        <v>561185</v>
      </c>
      <c r="M1385" s="26">
        <v>9540145</v>
      </c>
      <c r="N1385">
        <v>11192</v>
      </c>
      <c r="O1385" s="26">
        <v>1185324.32</v>
      </c>
      <c r="P1385" s="5" t="s">
        <v>50</v>
      </c>
      <c r="Q1385" s="5" t="s">
        <v>51</v>
      </c>
      <c r="R1385">
        <v>4.5999999999999996</v>
      </c>
      <c r="S1385">
        <v>18</v>
      </c>
      <c r="T1385">
        <f t="shared" si="21"/>
        <v>0</v>
      </c>
    </row>
    <row r="1386" spans="1:20">
      <c r="A1386" s="4">
        <v>45018</v>
      </c>
      <c r="B1386">
        <v>2023</v>
      </c>
      <c r="C1386">
        <v>4</v>
      </c>
      <c r="D1386" s="5" t="s">
        <v>66</v>
      </c>
      <c r="E1386" s="5" t="s">
        <v>67</v>
      </c>
      <c r="F1386" s="5" t="s">
        <v>68</v>
      </c>
      <c r="G1386" s="5" t="s">
        <v>69</v>
      </c>
      <c r="H1386" s="5" t="s">
        <v>65</v>
      </c>
      <c r="I1386" s="5" t="s">
        <v>53</v>
      </c>
      <c r="J1386" s="5" t="s">
        <v>49</v>
      </c>
      <c r="K1386">
        <v>58</v>
      </c>
      <c r="L1386">
        <v>1269039</v>
      </c>
      <c r="M1386" s="26">
        <v>73604262</v>
      </c>
      <c r="N1386">
        <v>34213</v>
      </c>
      <c r="O1386" s="26">
        <v>11775074.41</v>
      </c>
      <c r="P1386" s="5" t="s">
        <v>42</v>
      </c>
      <c r="Q1386" s="5" t="s">
        <v>43</v>
      </c>
      <c r="R1386">
        <v>4.0999999999999996</v>
      </c>
      <c r="S1386">
        <v>16</v>
      </c>
      <c r="T1386">
        <f t="shared" si="21"/>
        <v>1</v>
      </c>
    </row>
    <row r="1387" spans="1:20">
      <c r="A1387" s="4">
        <v>45038</v>
      </c>
      <c r="B1387">
        <v>2023</v>
      </c>
      <c r="C1387">
        <v>4</v>
      </c>
      <c r="D1387" s="5" t="s">
        <v>35</v>
      </c>
      <c r="E1387" s="5" t="s">
        <v>36</v>
      </c>
      <c r="F1387" s="5" t="s">
        <v>37</v>
      </c>
      <c r="G1387" s="5" t="s">
        <v>38</v>
      </c>
      <c r="H1387" s="5" t="s">
        <v>57</v>
      </c>
      <c r="I1387" s="5" t="s">
        <v>58</v>
      </c>
      <c r="J1387" s="5" t="s">
        <v>59</v>
      </c>
      <c r="K1387">
        <v>18</v>
      </c>
      <c r="L1387">
        <v>1427408</v>
      </c>
      <c r="M1387" s="26">
        <v>25693344</v>
      </c>
      <c r="N1387">
        <v>22343</v>
      </c>
      <c r="O1387" s="26">
        <v>2722675.57</v>
      </c>
      <c r="P1387" s="5" t="s">
        <v>50</v>
      </c>
      <c r="Q1387" s="5" t="s">
        <v>43</v>
      </c>
      <c r="R1387">
        <v>4.5999999999999996</v>
      </c>
      <c r="S1387">
        <v>14</v>
      </c>
      <c r="T1387">
        <f t="shared" si="21"/>
        <v>0</v>
      </c>
    </row>
    <row r="1388" spans="1:20">
      <c r="A1388" s="4">
        <v>45023</v>
      </c>
      <c r="B1388">
        <v>2023</v>
      </c>
      <c r="C1388">
        <v>4</v>
      </c>
      <c r="D1388" s="5" t="s">
        <v>54</v>
      </c>
      <c r="E1388" s="5" t="s">
        <v>55</v>
      </c>
      <c r="F1388" s="5" t="s">
        <v>55</v>
      </c>
      <c r="G1388" s="5" t="s">
        <v>56</v>
      </c>
      <c r="H1388" s="5" t="s">
        <v>57</v>
      </c>
      <c r="I1388" s="5" t="s">
        <v>58</v>
      </c>
      <c r="J1388" s="5" t="s">
        <v>59</v>
      </c>
      <c r="K1388">
        <v>41</v>
      </c>
      <c r="L1388">
        <v>1402340</v>
      </c>
      <c r="M1388" s="26">
        <v>57495940</v>
      </c>
      <c r="N1388">
        <v>12060</v>
      </c>
      <c r="O1388" s="26">
        <v>5680261.0199999996</v>
      </c>
      <c r="P1388" s="5" t="s">
        <v>50</v>
      </c>
      <c r="Q1388" s="5" t="s">
        <v>75</v>
      </c>
      <c r="R1388">
        <v>4.5999999999999996</v>
      </c>
      <c r="S1388">
        <v>2</v>
      </c>
      <c r="T1388">
        <f t="shared" si="21"/>
        <v>0</v>
      </c>
    </row>
    <row r="1389" spans="1:20">
      <c r="A1389" s="4">
        <v>45040</v>
      </c>
      <c r="B1389">
        <v>2023</v>
      </c>
      <c r="C1389">
        <v>4</v>
      </c>
      <c r="D1389" s="5" t="s">
        <v>66</v>
      </c>
      <c r="E1389" s="5" t="s">
        <v>67</v>
      </c>
      <c r="F1389" s="5" t="s">
        <v>68</v>
      </c>
      <c r="G1389" s="5" t="s">
        <v>69</v>
      </c>
      <c r="H1389" s="5" t="s">
        <v>39</v>
      </c>
      <c r="I1389" s="5" t="s">
        <v>40</v>
      </c>
      <c r="J1389" s="5" t="s">
        <v>41</v>
      </c>
      <c r="K1389">
        <v>22</v>
      </c>
      <c r="L1389">
        <v>568236</v>
      </c>
      <c r="M1389" s="26">
        <v>12501192</v>
      </c>
      <c r="N1389">
        <v>5116</v>
      </c>
      <c r="O1389" s="26">
        <v>1967478.04</v>
      </c>
      <c r="P1389" s="5" t="s">
        <v>50</v>
      </c>
      <c r="Q1389" s="5" t="s">
        <v>51</v>
      </c>
      <c r="R1389">
        <v>3.6</v>
      </c>
      <c r="S1389">
        <v>20</v>
      </c>
      <c r="T1389">
        <f t="shared" si="21"/>
        <v>0</v>
      </c>
    </row>
    <row r="1390" spans="1:20">
      <c r="A1390" s="4">
        <v>45032</v>
      </c>
      <c r="B1390">
        <v>2023</v>
      </c>
      <c r="C1390">
        <v>4</v>
      </c>
      <c r="D1390" s="5" t="s">
        <v>66</v>
      </c>
      <c r="E1390" s="5" t="s">
        <v>67</v>
      </c>
      <c r="F1390" s="5" t="s">
        <v>68</v>
      </c>
      <c r="G1390" s="5" t="s">
        <v>69</v>
      </c>
      <c r="H1390" s="5" t="s">
        <v>86</v>
      </c>
      <c r="I1390" s="5" t="s">
        <v>40</v>
      </c>
      <c r="J1390" s="5" t="s">
        <v>41</v>
      </c>
      <c r="K1390">
        <v>39</v>
      </c>
      <c r="L1390">
        <v>586628</v>
      </c>
      <c r="M1390" s="26">
        <v>22878492</v>
      </c>
      <c r="N1390">
        <v>49911</v>
      </c>
      <c r="O1390" s="26">
        <v>1873620.55</v>
      </c>
      <c r="P1390" s="5" t="s">
        <v>50</v>
      </c>
      <c r="Q1390" s="5" t="s">
        <v>43</v>
      </c>
      <c r="R1390">
        <v>5</v>
      </c>
      <c r="S1390">
        <v>7</v>
      </c>
      <c r="T1390">
        <f t="shared" si="21"/>
        <v>0</v>
      </c>
    </row>
    <row r="1391" spans="1:20">
      <c r="A1391" s="4">
        <v>45031</v>
      </c>
      <c r="B1391">
        <v>2023</v>
      </c>
      <c r="C1391">
        <v>4</v>
      </c>
      <c r="D1391" s="5" t="s">
        <v>35</v>
      </c>
      <c r="E1391" s="5" t="s">
        <v>60</v>
      </c>
      <c r="F1391" s="5" t="s">
        <v>61</v>
      </c>
      <c r="G1391" s="5" t="s">
        <v>62</v>
      </c>
      <c r="H1391" s="5" t="s">
        <v>52</v>
      </c>
      <c r="I1391" s="5" t="s">
        <v>53</v>
      </c>
      <c r="J1391" s="5" t="s">
        <v>41</v>
      </c>
      <c r="K1391">
        <v>20</v>
      </c>
      <c r="L1391">
        <v>936834</v>
      </c>
      <c r="M1391" s="26">
        <v>18736680</v>
      </c>
      <c r="N1391">
        <v>19838</v>
      </c>
      <c r="O1391" s="26">
        <v>2012728.3200000001</v>
      </c>
      <c r="P1391" s="5" t="s">
        <v>50</v>
      </c>
      <c r="Q1391" s="5" t="s">
        <v>43</v>
      </c>
      <c r="R1391">
        <v>4</v>
      </c>
      <c r="S1391">
        <v>17</v>
      </c>
      <c r="T1391">
        <f t="shared" si="21"/>
        <v>0</v>
      </c>
    </row>
    <row r="1392" spans="1:20">
      <c r="A1392" s="4">
        <v>45017</v>
      </c>
      <c r="B1392">
        <v>2023</v>
      </c>
      <c r="C1392">
        <v>4</v>
      </c>
      <c r="D1392" s="5" t="s">
        <v>35</v>
      </c>
      <c r="E1392" s="5" t="s">
        <v>76</v>
      </c>
      <c r="F1392" s="5" t="s">
        <v>77</v>
      </c>
      <c r="G1392" s="5" t="s">
        <v>78</v>
      </c>
      <c r="H1392" s="5" t="s">
        <v>85</v>
      </c>
      <c r="I1392" s="5" t="s">
        <v>58</v>
      </c>
      <c r="J1392" s="5" t="s">
        <v>49</v>
      </c>
      <c r="K1392">
        <v>32</v>
      </c>
      <c r="L1392">
        <v>961862</v>
      </c>
      <c r="M1392" s="26">
        <v>30779584</v>
      </c>
      <c r="N1392">
        <v>26239</v>
      </c>
      <c r="O1392" s="26">
        <v>4533009.07</v>
      </c>
      <c r="P1392" s="5" t="s">
        <v>42</v>
      </c>
      <c r="Q1392" s="5" t="s">
        <v>51</v>
      </c>
      <c r="R1392">
        <v>4.9000000000000004</v>
      </c>
      <c r="S1392">
        <v>15</v>
      </c>
      <c r="T1392">
        <f t="shared" si="21"/>
        <v>1</v>
      </c>
    </row>
    <row r="1393" spans="1:20">
      <c r="A1393" s="4">
        <v>45026</v>
      </c>
      <c r="B1393">
        <v>2023</v>
      </c>
      <c r="C1393">
        <v>4</v>
      </c>
      <c r="D1393" s="5" t="s">
        <v>44</v>
      </c>
      <c r="E1393" s="5" t="s">
        <v>82</v>
      </c>
      <c r="F1393" s="5" t="s">
        <v>83</v>
      </c>
      <c r="G1393" s="5" t="s">
        <v>84</v>
      </c>
      <c r="H1393" s="5" t="s">
        <v>85</v>
      </c>
      <c r="I1393" s="5" t="s">
        <v>58</v>
      </c>
      <c r="J1393" s="5" t="s">
        <v>49</v>
      </c>
      <c r="K1393">
        <v>40</v>
      </c>
      <c r="L1393">
        <v>972359</v>
      </c>
      <c r="M1393" s="26">
        <v>38894360</v>
      </c>
      <c r="N1393">
        <v>16614</v>
      </c>
      <c r="O1393" s="26">
        <v>4487528.9400000004</v>
      </c>
      <c r="P1393" s="5" t="s">
        <v>50</v>
      </c>
      <c r="Q1393" s="5" t="s">
        <v>51</v>
      </c>
      <c r="R1393">
        <v>4.5</v>
      </c>
      <c r="S1393">
        <v>8</v>
      </c>
      <c r="T1393">
        <f t="shared" si="21"/>
        <v>0</v>
      </c>
    </row>
    <row r="1394" spans="1:20">
      <c r="A1394" s="4">
        <v>45042</v>
      </c>
      <c r="B1394">
        <v>2023</v>
      </c>
      <c r="C1394">
        <v>4</v>
      </c>
      <c r="D1394" s="5" t="s">
        <v>35</v>
      </c>
      <c r="E1394" s="5" t="s">
        <v>76</v>
      </c>
      <c r="F1394" s="5" t="s">
        <v>77</v>
      </c>
      <c r="G1394" s="5" t="s">
        <v>78</v>
      </c>
      <c r="H1394" s="5" t="s">
        <v>74</v>
      </c>
      <c r="I1394" s="5" t="s">
        <v>40</v>
      </c>
      <c r="J1394" s="5" t="s">
        <v>49</v>
      </c>
      <c r="K1394">
        <v>10</v>
      </c>
      <c r="L1394">
        <v>662233</v>
      </c>
      <c r="M1394" s="26">
        <v>6622330</v>
      </c>
      <c r="N1394">
        <v>17917</v>
      </c>
      <c r="O1394" s="26">
        <v>1025521.54</v>
      </c>
      <c r="P1394" s="5" t="s">
        <v>50</v>
      </c>
      <c r="Q1394" s="5" t="s">
        <v>43</v>
      </c>
      <c r="R1394">
        <v>4.0999999999999996</v>
      </c>
      <c r="S1394">
        <v>9</v>
      </c>
      <c r="T1394">
        <f t="shared" si="21"/>
        <v>0</v>
      </c>
    </row>
    <row r="1395" spans="1:20">
      <c r="A1395" s="4">
        <v>45018</v>
      </c>
      <c r="B1395">
        <v>2023</v>
      </c>
      <c r="C1395">
        <v>4</v>
      </c>
      <c r="D1395" s="5" t="s">
        <v>35</v>
      </c>
      <c r="E1395" s="5" t="s">
        <v>76</v>
      </c>
      <c r="F1395" s="5" t="s">
        <v>77</v>
      </c>
      <c r="G1395" s="5" t="s">
        <v>78</v>
      </c>
      <c r="H1395" s="5" t="s">
        <v>74</v>
      </c>
      <c r="I1395" s="5" t="s">
        <v>40</v>
      </c>
      <c r="J1395" s="5" t="s">
        <v>49</v>
      </c>
      <c r="K1395">
        <v>33</v>
      </c>
      <c r="L1395">
        <v>643771</v>
      </c>
      <c r="M1395" s="26">
        <v>21244443</v>
      </c>
      <c r="N1395">
        <v>38444</v>
      </c>
      <c r="O1395" s="26">
        <v>2669724.7200000002</v>
      </c>
      <c r="P1395" s="5" t="s">
        <v>42</v>
      </c>
      <c r="Q1395" s="5" t="s">
        <v>51</v>
      </c>
      <c r="R1395">
        <v>4.4000000000000004</v>
      </c>
      <c r="S1395">
        <v>6</v>
      </c>
      <c r="T1395">
        <f t="shared" si="21"/>
        <v>1</v>
      </c>
    </row>
    <row r="1396" spans="1:20">
      <c r="A1396" s="4">
        <v>45022</v>
      </c>
      <c r="B1396">
        <v>2023</v>
      </c>
      <c r="C1396">
        <v>4</v>
      </c>
      <c r="D1396" s="5" t="s">
        <v>44</v>
      </c>
      <c r="E1396" s="5" t="s">
        <v>45</v>
      </c>
      <c r="F1396" s="5" t="s">
        <v>46</v>
      </c>
      <c r="G1396" s="5" t="s">
        <v>47</v>
      </c>
      <c r="H1396" s="5" t="s">
        <v>85</v>
      </c>
      <c r="I1396" s="5" t="s">
        <v>58</v>
      </c>
      <c r="J1396" s="5" t="s">
        <v>49</v>
      </c>
      <c r="K1396">
        <v>56</v>
      </c>
      <c r="L1396">
        <v>992426</v>
      </c>
      <c r="M1396" s="26">
        <v>55575856</v>
      </c>
      <c r="N1396">
        <v>38568</v>
      </c>
      <c r="O1396" s="26">
        <v>4835324.38</v>
      </c>
      <c r="P1396" s="5" t="s">
        <v>42</v>
      </c>
      <c r="Q1396" s="5" t="s">
        <v>43</v>
      </c>
      <c r="R1396">
        <v>3.6</v>
      </c>
      <c r="S1396">
        <v>12</v>
      </c>
      <c r="T1396">
        <f t="shared" si="21"/>
        <v>1</v>
      </c>
    </row>
    <row r="1397" spans="1:20">
      <c r="A1397" s="4">
        <v>45033</v>
      </c>
      <c r="B1397">
        <v>2023</v>
      </c>
      <c r="C1397">
        <v>4</v>
      </c>
      <c r="D1397" s="5" t="s">
        <v>54</v>
      </c>
      <c r="E1397" s="5" t="s">
        <v>55</v>
      </c>
      <c r="F1397" s="5" t="s">
        <v>55</v>
      </c>
      <c r="G1397" s="5" t="s">
        <v>56</v>
      </c>
      <c r="H1397" s="5" t="s">
        <v>57</v>
      </c>
      <c r="I1397" s="5" t="s">
        <v>58</v>
      </c>
      <c r="J1397" s="5" t="s">
        <v>59</v>
      </c>
      <c r="K1397">
        <v>45</v>
      </c>
      <c r="L1397">
        <v>1390197</v>
      </c>
      <c r="M1397" s="26">
        <v>62558865</v>
      </c>
      <c r="N1397">
        <v>8968</v>
      </c>
      <c r="O1397" s="26">
        <v>7112967.3499999996</v>
      </c>
      <c r="P1397" s="5" t="s">
        <v>42</v>
      </c>
      <c r="Q1397" s="5" t="s">
        <v>51</v>
      </c>
      <c r="R1397">
        <v>4.8</v>
      </c>
      <c r="S1397">
        <v>6</v>
      </c>
      <c r="T1397">
        <f t="shared" si="21"/>
        <v>1</v>
      </c>
    </row>
    <row r="1398" spans="1:20">
      <c r="A1398" s="4">
        <v>45021</v>
      </c>
      <c r="B1398">
        <v>2023</v>
      </c>
      <c r="C1398">
        <v>4</v>
      </c>
      <c r="D1398" s="5" t="s">
        <v>66</v>
      </c>
      <c r="E1398" s="5" t="s">
        <v>67</v>
      </c>
      <c r="F1398" s="5" t="s">
        <v>68</v>
      </c>
      <c r="G1398" s="5" t="s">
        <v>69</v>
      </c>
      <c r="H1398" s="5" t="s">
        <v>80</v>
      </c>
      <c r="I1398" s="5" t="s">
        <v>81</v>
      </c>
      <c r="J1398" s="5" t="s">
        <v>41</v>
      </c>
      <c r="K1398">
        <v>16</v>
      </c>
      <c r="L1398">
        <v>570531</v>
      </c>
      <c r="M1398" s="26">
        <v>9128496</v>
      </c>
      <c r="N1398">
        <v>29322</v>
      </c>
      <c r="O1398" s="26">
        <v>967003.25</v>
      </c>
      <c r="P1398" s="5" t="s">
        <v>42</v>
      </c>
      <c r="Q1398" s="5" t="s">
        <v>51</v>
      </c>
      <c r="R1398">
        <v>4.2</v>
      </c>
      <c r="S1398">
        <v>21</v>
      </c>
      <c r="T1398">
        <f t="shared" si="21"/>
        <v>1</v>
      </c>
    </row>
    <row r="1399" spans="1:20">
      <c r="A1399" s="4">
        <v>45029</v>
      </c>
      <c r="B1399">
        <v>2023</v>
      </c>
      <c r="C1399">
        <v>4</v>
      </c>
      <c r="D1399" s="5" t="s">
        <v>66</v>
      </c>
      <c r="E1399" s="5" t="s">
        <v>67</v>
      </c>
      <c r="F1399" s="5" t="s">
        <v>68</v>
      </c>
      <c r="G1399" s="5" t="s">
        <v>69</v>
      </c>
      <c r="H1399" s="5" t="s">
        <v>79</v>
      </c>
      <c r="I1399" s="5" t="s">
        <v>58</v>
      </c>
      <c r="J1399" s="5" t="s">
        <v>49</v>
      </c>
      <c r="K1399">
        <v>51</v>
      </c>
      <c r="L1399">
        <v>881703</v>
      </c>
      <c r="M1399" s="26">
        <v>44966853</v>
      </c>
      <c r="N1399">
        <v>22923</v>
      </c>
      <c r="O1399" s="26">
        <v>6484634.3499999996</v>
      </c>
      <c r="P1399" s="5" t="s">
        <v>42</v>
      </c>
      <c r="Q1399" s="5" t="s">
        <v>51</v>
      </c>
      <c r="R1399">
        <v>4.5</v>
      </c>
      <c r="S1399">
        <v>6</v>
      </c>
      <c r="T1399">
        <f t="shared" si="21"/>
        <v>1</v>
      </c>
    </row>
    <row r="1400" spans="1:20">
      <c r="A1400" s="4">
        <v>45033</v>
      </c>
      <c r="B1400">
        <v>2023</v>
      </c>
      <c r="C1400">
        <v>4</v>
      </c>
      <c r="D1400" s="5" t="s">
        <v>54</v>
      </c>
      <c r="E1400" s="5" t="s">
        <v>70</v>
      </c>
      <c r="F1400" s="5" t="s">
        <v>71</v>
      </c>
      <c r="G1400" s="5" t="s">
        <v>72</v>
      </c>
      <c r="H1400" s="5" t="s">
        <v>73</v>
      </c>
      <c r="I1400" s="5" t="s">
        <v>40</v>
      </c>
      <c r="J1400" s="5" t="s">
        <v>49</v>
      </c>
      <c r="K1400">
        <v>43</v>
      </c>
      <c r="L1400">
        <v>699315</v>
      </c>
      <c r="M1400" s="26">
        <v>30070545</v>
      </c>
      <c r="N1400">
        <v>6468</v>
      </c>
      <c r="O1400" s="26">
        <v>2668450.79</v>
      </c>
      <c r="P1400" s="5" t="s">
        <v>50</v>
      </c>
      <c r="Q1400" s="5" t="s">
        <v>43</v>
      </c>
      <c r="R1400">
        <v>4.5</v>
      </c>
      <c r="S1400">
        <v>11</v>
      </c>
      <c r="T1400">
        <f t="shared" si="21"/>
        <v>0</v>
      </c>
    </row>
    <row r="1401" spans="1:20">
      <c r="A1401" s="4">
        <v>45029</v>
      </c>
      <c r="B1401">
        <v>2023</v>
      </c>
      <c r="C1401">
        <v>4</v>
      </c>
      <c r="D1401" s="5" t="s">
        <v>35</v>
      </c>
      <c r="E1401" s="5" t="s">
        <v>76</v>
      </c>
      <c r="F1401" s="5" t="s">
        <v>77</v>
      </c>
      <c r="G1401" s="5" t="s">
        <v>78</v>
      </c>
      <c r="H1401" s="5" t="s">
        <v>65</v>
      </c>
      <c r="I1401" s="5" t="s">
        <v>53</v>
      </c>
      <c r="J1401" s="5" t="s">
        <v>49</v>
      </c>
      <c r="K1401">
        <v>50</v>
      </c>
      <c r="L1401">
        <v>1268054</v>
      </c>
      <c r="M1401" s="26">
        <v>63402700</v>
      </c>
      <c r="N1401">
        <v>5923</v>
      </c>
      <c r="O1401" s="26">
        <v>7976521.7599999998</v>
      </c>
      <c r="P1401" s="5" t="s">
        <v>50</v>
      </c>
      <c r="Q1401" s="5" t="s">
        <v>43</v>
      </c>
      <c r="R1401">
        <v>4.9000000000000004</v>
      </c>
      <c r="S1401">
        <v>16</v>
      </c>
      <c r="T1401">
        <f t="shared" si="21"/>
        <v>0</v>
      </c>
    </row>
    <row r="1402" spans="1:20">
      <c r="A1402" s="4">
        <v>45052</v>
      </c>
      <c r="B1402">
        <v>2023</v>
      </c>
      <c r="C1402">
        <v>5</v>
      </c>
      <c r="D1402" s="5" t="s">
        <v>35</v>
      </c>
      <c r="E1402" s="5" t="s">
        <v>36</v>
      </c>
      <c r="F1402" s="5" t="s">
        <v>37</v>
      </c>
      <c r="G1402" s="5" t="s">
        <v>38</v>
      </c>
      <c r="H1402" s="5" t="s">
        <v>63</v>
      </c>
      <c r="I1402" s="5" t="s">
        <v>64</v>
      </c>
      <c r="J1402" s="5" t="s">
        <v>41</v>
      </c>
      <c r="K1402">
        <v>39</v>
      </c>
      <c r="L1402">
        <v>768964</v>
      </c>
      <c r="M1402" s="26">
        <v>29989596</v>
      </c>
      <c r="N1402">
        <v>12111</v>
      </c>
      <c r="O1402" s="26">
        <v>4268471.1100000003</v>
      </c>
      <c r="P1402" s="5" t="s">
        <v>50</v>
      </c>
      <c r="Q1402" s="5" t="s">
        <v>75</v>
      </c>
      <c r="R1402">
        <v>4.9000000000000004</v>
      </c>
      <c r="S1402">
        <v>5</v>
      </c>
      <c r="T1402">
        <f t="shared" si="21"/>
        <v>0</v>
      </c>
    </row>
    <row r="1403" spans="1:20">
      <c r="A1403" s="4">
        <v>45065</v>
      </c>
      <c r="B1403">
        <v>2023</v>
      </c>
      <c r="C1403">
        <v>5</v>
      </c>
      <c r="D1403" s="5" t="s">
        <v>44</v>
      </c>
      <c r="E1403" s="5" t="s">
        <v>45</v>
      </c>
      <c r="F1403" s="5" t="s">
        <v>46</v>
      </c>
      <c r="G1403" s="5" t="s">
        <v>47</v>
      </c>
      <c r="H1403" s="5" t="s">
        <v>86</v>
      </c>
      <c r="I1403" s="5" t="s">
        <v>40</v>
      </c>
      <c r="J1403" s="5" t="s">
        <v>41</v>
      </c>
      <c r="K1403">
        <v>38</v>
      </c>
      <c r="L1403">
        <v>629110</v>
      </c>
      <c r="M1403" s="26">
        <v>23906180</v>
      </c>
      <c r="N1403">
        <v>5404</v>
      </c>
      <c r="O1403" s="26">
        <v>3380188.84</v>
      </c>
      <c r="P1403" s="5" t="s">
        <v>50</v>
      </c>
      <c r="Q1403" s="5" t="s">
        <v>51</v>
      </c>
      <c r="R1403">
        <v>4.5999999999999996</v>
      </c>
      <c r="S1403">
        <v>13</v>
      </c>
      <c r="T1403">
        <f t="shared" si="21"/>
        <v>0</v>
      </c>
    </row>
    <row r="1404" spans="1:20">
      <c r="A1404" s="4">
        <v>45071</v>
      </c>
      <c r="B1404">
        <v>2023</v>
      </c>
      <c r="C1404">
        <v>5</v>
      </c>
      <c r="D1404" s="5" t="s">
        <v>35</v>
      </c>
      <c r="E1404" s="5" t="s">
        <v>36</v>
      </c>
      <c r="F1404" s="5" t="s">
        <v>37</v>
      </c>
      <c r="G1404" s="5" t="s">
        <v>38</v>
      </c>
      <c r="H1404" s="5" t="s">
        <v>80</v>
      </c>
      <c r="I1404" s="5" t="s">
        <v>81</v>
      </c>
      <c r="J1404" s="5" t="s">
        <v>41</v>
      </c>
      <c r="K1404">
        <v>6</v>
      </c>
      <c r="L1404">
        <v>553164</v>
      </c>
      <c r="M1404" s="26">
        <v>3318984</v>
      </c>
      <c r="N1404">
        <v>6860</v>
      </c>
      <c r="O1404" s="26">
        <v>352577.56</v>
      </c>
      <c r="P1404" s="5" t="s">
        <v>50</v>
      </c>
      <c r="Q1404" s="5" t="s">
        <v>51</v>
      </c>
      <c r="R1404">
        <v>3.7</v>
      </c>
      <c r="S1404">
        <v>5</v>
      </c>
      <c r="T1404">
        <f t="shared" si="21"/>
        <v>0</v>
      </c>
    </row>
    <row r="1405" spans="1:20">
      <c r="A1405" s="4">
        <v>45050</v>
      </c>
      <c r="B1405">
        <v>2023</v>
      </c>
      <c r="C1405">
        <v>5</v>
      </c>
      <c r="D1405" s="5" t="s">
        <v>44</v>
      </c>
      <c r="E1405" s="5" t="s">
        <v>82</v>
      </c>
      <c r="F1405" s="5" t="s">
        <v>83</v>
      </c>
      <c r="G1405" s="5" t="s">
        <v>84</v>
      </c>
      <c r="H1405" s="5" t="s">
        <v>86</v>
      </c>
      <c r="I1405" s="5" t="s">
        <v>40</v>
      </c>
      <c r="J1405" s="5" t="s">
        <v>41</v>
      </c>
      <c r="K1405">
        <v>26</v>
      </c>
      <c r="L1405">
        <v>612662</v>
      </c>
      <c r="M1405" s="26">
        <v>15929212</v>
      </c>
      <c r="N1405">
        <v>28045</v>
      </c>
      <c r="O1405" s="26">
        <v>1563060.98</v>
      </c>
      <c r="P1405" s="5" t="s">
        <v>50</v>
      </c>
      <c r="Q1405" s="5" t="s">
        <v>43</v>
      </c>
      <c r="R1405">
        <v>3.7</v>
      </c>
      <c r="S1405">
        <v>10</v>
      </c>
      <c r="T1405">
        <f t="shared" si="21"/>
        <v>0</v>
      </c>
    </row>
    <row r="1406" spans="1:20">
      <c r="A1406" s="4">
        <v>45065</v>
      </c>
      <c r="B1406">
        <v>2023</v>
      </c>
      <c r="C1406">
        <v>5</v>
      </c>
      <c r="D1406" s="5" t="s">
        <v>54</v>
      </c>
      <c r="E1406" s="5" t="s">
        <v>55</v>
      </c>
      <c r="F1406" s="5" t="s">
        <v>55</v>
      </c>
      <c r="G1406" s="5" t="s">
        <v>56</v>
      </c>
      <c r="H1406" s="5" t="s">
        <v>39</v>
      </c>
      <c r="I1406" s="5" t="s">
        <v>40</v>
      </c>
      <c r="J1406" s="5" t="s">
        <v>41</v>
      </c>
      <c r="K1406">
        <v>54</v>
      </c>
      <c r="L1406">
        <v>601147</v>
      </c>
      <c r="M1406" s="26">
        <v>32461938</v>
      </c>
      <c r="N1406">
        <v>40001</v>
      </c>
      <c r="O1406" s="26">
        <v>2883235.85</v>
      </c>
      <c r="P1406" s="5" t="s">
        <v>42</v>
      </c>
      <c r="Q1406" s="5" t="s">
        <v>43</v>
      </c>
      <c r="R1406">
        <v>4.8</v>
      </c>
      <c r="S1406">
        <v>12</v>
      </c>
      <c r="T1406">
        <f t="shared" si="21"/>
        <v>1</v>
      </c>
    </row>
    <row r="1407" spans="1:20">
      <c r="A1407" s="4">
        <v>45066</v>
      </c>
      <c r="B1407">
        <v>2023</v>
      </c>
      <c r="C1407">
        <v>5</v>
      </c>
      <c r="D1407" s="5" t="s">
        <v>54</v>
      </c>
      <c r="E1407" s="5" t="s">
        <v>70</v>
      </c>
      <c r="F1407" s="5" t="s">
        <v>71</v>
      </c>
      <c r="G1407" s="5" t="s">
        <v>72</v>
      </c>
      <c r="H1407" s="5" t="s">
        <v>63</v>
      </c>
      <c r="I1407" s="5" t="s">
        <v>64</v>
      </c>
      <c r="J1407" s="5" t="s">
        <v>41</v>
      </c>
      <c r="K1407">
        <v>15</v>
      </c>
      <c r="L1407">
        <v>749053</v>
      </c>
      <c r="M1407" s="26">
        <v>11235795</v>
      </c>
      <c r="N1407">
        <v>44125</v>
      </c>
      <c r="O1407" s="26">
        <v>1554189.48</v>
      </c>
      <c r="P1407" s="5" t="s">
        <v>42</v>
      </c>
      <c r="Q1407" s="5" t="s">
        <v>43</v>
      </c>
      <c r="R1407">
        <v>4.5999999999999996</v>
      </c>
      <c r="S1407">
        <v>13</v>
      </c>
      <c r="T1407">
        <f t="shared" si="21"/>
        <v>1</v>
      </c>
    </row>
    <row r="1408" spans="1:20">
      <c r="A1408" s="4">
        <v>45056</v>
      </c>
      <c r="B1408">
        <v>2023</v>
      </c>
      <c r="C1408">
        <v>5</v>
      </c>
      <c r="D1408" s="5" t="s">
        <v>44</v>
      </c>
      <c r="E1408" s="5" t="s">
        <v>45</v>
      </c>
      <c r="F1408" s="5" t="s">
        <v>46</v>
      </c>
      <c r="G1408" s="5" t="s">
        <v>47</v>
      </c>
      <c r="H1408" s="5" t="s">
        <v>80</v>
      </c>
      <c r="I1408" s="5" t="s">
        <v>81</v>
      </c>
      <c r="J1408" s="5" t="s">
        <v>41</v>
      </c>
      <c r="K1408">
        <v>33</v>
      </c>
      <c r="L1408">
        <v>576871</v>
      </c>
      <c r="M1408" s="26">
        <v>19036743</v>
      </c>
      <c r="N1408">
        <v>6476</v>
      </c>
      <c r="O1408" s="26">
        <v>2233141.5299999998</v>
      </c>
      <c r="P1408" s="5" t="s">
        <v>50</v>
      </c>
      <c r="Q1408" s="5" t="s">
        <v>51</v>
      </c>
      <c r="R1408">
        <v>4.0999999999999996</v>
      </c>
      <c r="S1408">
        <v>18</v>
      </c>
      <c r="T1408">
        <f t="shared" si="21"/>
        <v>0</v>
      </c>
    </row>
    <row r="1409" spans="1:20">
      <c r="A1409" s="4">
        <v>45073</v>
      </c>
      <c r="B1409">
        <v>2023</v>
      </c>
      <c r="C1409">
        <v>5</v>
      </c>
      <c r="D1409" s="5" t="s">
        <v>44</v>
      </c>
      <c r="E1409" s="5" t="s">
        <v>82</v>
      </c>
      <c r="F1409" s="5" t="s">
        <v>83</v>
      </c>
      <c r="G1409" s="5" t="s">
        <v>84</v>
      </c>
      <c r="H1409" s="5" t="s">
        <v>85</v>
      </c>
      <c r="I1409" s="5" t="s">
        <v>58</v>
      </c>
      <c r="J1409" s="5" t="s">
        <v>49</v>
      </c>
      <c r="K1409">
        <v>34</v>
      </c>
      <c r="L1409">
        <v>979358</v>
      </c>
      <c r="M1409" s="26">
        <v>33298172</v>
      </c>
      <c r="N1409">
        <v>20209</v>
      </c>
      <c r="O1409" s="26">
        <v>4438476.57</v>
      </c>
      <c r="P1409" s="5" t="s">
        <v>42</v>
      </c>
      <c r="Q1409" s="5" t="s">
        <v>75</v>
      </c>
      <c r="R1409">
        <v>4.0999999999999996</v>
      </c>
      <c r="S1409">
        <v>11</v>
      </c>
      <c r="T1409">
        <f t="shared" si="21"/>
        <v>1</v>
      </c>
    </row>
    <row r="1410" spans="1:20">
      <c r="A1410" s="4">
        <v>45068</v>
      </c>
      <c r="B1410">
        <v>2023</v>
      </c>
      <c r="C1410">
        <v>5</v>
      </c>
      <c r="D1410" s="5" t="s">
        <v>44</v>
      </c>
      <c r="E1410" s="5" t="s">
        <v>82</v>
      </c>
      <c r="F1410" s="5" t="s">
        <v>83</v>
      </c>
      <c r="G1410" s="5" t="s">
        <v>84</v>
      </c>
      <c r="H1410" s="5" t="s">
        <v>74</v>
      </c>
      <c r="I1410" s="5" t="s">
        <v>40</v>
      </c>
      <c r="J1410" s="5" t="s">
        <v>49</v>
      </c>
      <c r="K1410">
        <v>7</v>
      </c>
      <c r="L1410">
        <v>633884</v>
      </c>
      <c r="M1410" s="26">
        <v>4437188</v>
      </c>
      <c r="N1410">
        <v>33087</v>
      </c>
      <c r="O1410" s="26">
        <v>451982.2</v>
      </c>
      <c r="P1410" s="5" t="s">
        <v>42</v>
      </c>
      <c r="Q1410" s="5" t="s">
        <v>43</v>
      </c>
      <c r="R1410">
        <v>4</v>
      </c>
      <c r="S1410">
        <v>15</v>
      </c>
      <c r="T1410">
        <f t="shared" ref="T1410:T1473" si="22">IF(AND(OR($B1410=Sel_Year,Sel_Year="All"),OR($C1410=Sel_Month,Sel_Month="All"),OR($D1410=Sel_Region,Sel_Region="All"),OR($E1410=Sel_State,Sel_State="All"),OR($F1410=Sel_City,Sel_City="All"),OR($G1410=Sel_Dealer,Sel_Dealer="All"),OR($H1410=Sel_Model,Sel_Model="All"),OR($I1410=Sel_Segment,Sel_Segment="All"),OR($J1410=Sel_Fuel,Sel_Fuel="All"),OR($P1410=Sel_CustType,Sel_CustType="All"),OR($Q1410=Sel_Payment,Sel_Payment="All")),1,0)</f>
        <v>1</v>
      </c>
    </row>
    <row r="1411" spans="1:20">
      <c r="A1411" s="4">
        <v>45047</v>
      </c>
      <c r="B1411">
        <v>2023</v>
      </c>
      <c r="C1411">
        <v>5</v>
      </c>
      <c r="D1411" s="5" t="s">
        <v>44</v>
      </c>
      <c r="E1411" s="5" t="s">
        <v>82</v>
      </c>
      <c r="F1411" s="5" t="s">
        <v>83</v>
      </c>
      <c r="G1411" s="5" t="s">
        <v>84</v>
      </c>
      <c r="H1411" s="5" t="s">
        <v>57</v>
      </c>
      <c r="I1411" s="5" t="s">
        <v>58</v>
      </c>
      <c r="J1411" s="5" t="s">
        <v>59</v>
      </c>
      <c r="K1411">
        <v>48</v>
      </c>
      <c r="L1411">
        <v>1370075</v>
      </c>
      <c r="M1411" s="26">
        <v>65763600</v>
      </c>
      <c r="N1411">
        <v>22541</v>
      </c>
      <c r="O1411" s="26">
        <v>6238246.4800000004</v>
      </c>
      <c r="P1411" s="5" t="s">
        <v>50</v>
      </c>
      <c r="Q1411" s="5" t="s">
        <v>75</v>
      </c>
      <c r="R1411">
        <v>4.5</v>
      </c>
      <c r="S1411">
        <v>17</v>
      </c>
      <c r="T1411">
        <f t="shared" si="22"/>
        <v>0</v>
      </c>
    </row>
    <row r="1412" spans="1:20">
      <c r="A1412" s="4">
        <v>45050</v>
      </c>
      <c r="B1412">
        <v>2023</v>
      </c>
      <c r="C1412">
        <v>5</v>
      </c>
      <c r="D1412" s="5" t="s">
        <v>44</v>
      </c>
      <c r="E1412" s="5" t="s">
        <v>45</v>
      </c>
      <c r="F1412" s="5" t="s">
        <v>46</v>
      </c>
      <c r="G1412" s="5" t="s">
        <v>47</v>
      </c>
      <c r="H1412" s="5" t="s">
        <v>63</v>
      </c>
      <c r="I1412" s="5" t="s">
        <v>64</v>
      </c>
      <c r="J1412" s="5" t="s">
        <v>41</v>
      </c>
      <c r="K1412">
        <v>22</v>
      </c>
      <c r="L1412">
        <v>756048</v>
      </c>
      <c r="M1412" s="26">
        <v>16633056</v>
      </c>
      <c r="N1412">
        <v>45780</v>
      </c>
      <c r="O1412" s="26">
        <v>2539550.37</v>
      </c>
      <c r="P1412" s="5" t="s">
        <v>50</v>
      </c>
      <c r="Q1412" s="5" t="s">
        <v>51</v>
      </c>
      <c r="R1412">
        <v>4.5</v>
      </c>
      <c r="S1412">
        <v>6</v>
      </c>
      <c r="T1412">
        <f t="shared" si="22"/>
        <v>0</v>
      </c>
    </row>
    <row r="1413" spans="1:20">
      <c r="A1413" s="4">
        <v>45066</v>
      </c>
      <c r="B1413">
        <v>2023</v>
      </c>
      <c r="C1413">
        <v>5</v>
      </c>
      <c r="D1413" s="5" t="s">
        <v>54</v>
      </c>
      <c r="E1413" s="5" t="s">
        <v>70</v>
      </c>
      <c r="F1413" s="5" t="s">
        <v>71</v>
      </c>
      <c r="G1413" s="5" t="s">
        <v>72</v>
      </c>
      <c r="H1413" s="5" t="s">
        <v>73</v>
      </c>
      <c r="I1413" s="5" t="s">
        <v>40</v>
      </c>
      <c r="J1413" s="5" t="s">
        <v>49</v>
      </c>
      <c r="K1413">
        <v>11</v>
      </c>
      <c r="L1413">
        <v>706184</v>
      </c>
      <c r="M1413" s="26">
        <v>7768024</v>
      </c>
      <c r="N1413">
        <v>40948</v>
      </c>
      <c r="O1413" s="26">
        <v>998172.79</v>
      </c>
      <c r="P1413" s="5" t="s">
        <v>42</v>
      </c>
      <c r="Q1413" s="5" t="s">
        <v>51</v>
      </c>
      <c r="R1413">
        <v>4.4000000000000004</v>
      </c>
      <c r="S1413">
        <v>20</v>
      </c>
      <c r="T1413">
        <f t="shared" si="22"/>
        <v>1</v>
      </c>
    </row>
    <row r="1414" spans="1:20">
      <c r="A1414" s="4">
        <v>45051</v>
      </c>
      <c r="B1414">
        <v>2023</v>
      </c>
      <c r="C1414">
        <v>5</v>
      </c>
      <c r="D1414" s="5" t="s">
        <v>54</v>
      </c>
      <c r="E1414" s="5" t="s">
        <v>55</v>
      </c>
      <c r="F1414" s="5" t="s">
        <v>55</v>
      </c>
      <c r="G1414" s="5" t="s">
        <v>56</v>
      </c>
      <c r="H1414" s="5" t="s">
        <v>85</v>
      </c>
      <c r="I1414" s="5" t="s">
        <v>58</v>
      </c>
      <c r="J1414" s="5" t="s">
        <v>49</v>
      </c>
      <c r="K1414">
        <v>19</v>
      </c>
      <c r="L1414">
        <v>972890</v>
      </c>
      <c r="M1414" s="26">
        <v>18484910</v>
      </c>
      <c r="N1414">
        <v>14156</v>
      </c>
      <c r="O1414" s="26">
        <v>2840044.49</v>
      </c>
      <c r="P1414" s="5" t="s">
        <v>50</v>
      </c>
      <c r="Q1414" s="5" t="s">
        <v>75</v>
      </c>
      <c r="R1414">
        <v>3.7</v>
      </c>
      <c r="S1414">
        <v>17</v>
      </c>
      <c r="T1414">
        <f t="shared" si="22"/>
        <v>0</v>
      </c>
    </row>
    <row r="1415" spans="1:20">
      <c r="A1415" s="4">
        <v>45050</v>
      </c>
      <c r="B1415">
        <v>2023</v>
      </c>
      <c r="C1415">
        <v>5</v>
      </c>
      <c r="D1415" s="5" t="s">
        <v>44</v>
      </c>
      <c r="E1415" s="5" t="s">
        <v>82</v>
      </c>
      <c r="F1415" s="5" t="s">
        <v>83</v>
      </c>
      <c r="G1415" s="5" t="s">
        <v>84</v>
      </c>
      <c r="H1415" s="5" t="s">
        <v>79</v>
      </c>
      <c r="I1415" s="5" t="s">
        <v>58</v>
      </c>
      <c r="J1415" s="5" t="s">
        <v>49</v>
      </c>
      <c r="K1415">
        <v>59</v>
      </c>
      <c r="L1415">
        <v>893395</v>
      </c>
      <c r="M1415" s="26">
        <v>52710305</v>
      </c>
      <c r="N1415">
        <v>46646</v>
      </c>
      <c r="O1415" s="26">
        <v>7706594.1900000004</v>
      </c>
      <c r="P1415" s="5" t="s">
        <v>42</v>
      </c>
      <c r="Q1415" s="5" t="s">
        <v>51</v>
      </c>
      <c r="R1415">
        <v>4.3</v>
      </c>
      <c r="S1415">
        <v>8</v>
      </c>
      <c r="T1415">
        <f t="shared" si="22"/>
        <v>1</v>
      </c>
    </row>
    <row r="1416" spans="1:20">
      <c r="A1416" s="4">
        <v>45072</v>
      </c>
      <c r="B1416">
        <v>2023</v>
      </c>
      <c r="C1416">
        <v>5</v>
      </c>
      <c r="D1416" s="5" t="s">
        <v>35</v>
      </c>
      <c r="E1416" s="5" t="s">
        <v>76</v>
      </c>
      <c r="F1416" s="5" t="s">
        <v>77</v>
      </c>
      <c r="G1416" s="5" t="s">
        <v>78</v>
      </c>
      <c r="H1416" s="5" t="s">
        <v>63</v>
      </c>
      <c r="I1416" s="5" t="s">
        <v>64</v>
      </c>
      <c r="J1416" s="5" t="s">
        <v>41</v>
      </c>
      <c r="K1416">
        <v>38</v>
      </c>
      <c r="L1416">
        <v>741652</v>
      </c>
      <c r="M1416" s="26">
        <v>28182776</v>
      </c>
      <c r="N1416">
        <v>10954</v>
      </c>
      <c r="O1416" s="26">
        <v>4337232.01</v>
      </c>
      <c r="P1416" s="5" t="s">
        <v>42</v>
      </c>
      <c r="Q1416" s="5" t="s">
        <v>75</v>
      </c>
      <c r="R1416">
        <v>3.5</v>
      </c>
      <c r="S1416">
        <v>6</v>
      </c>
      <c r="T1416">
        <f t="shared" si="22"/>
        <v>1</v>
      </c>
    </row>
    <row r="1417" spans="1:20">
      <c r="A1417" s="4">
        <v>45048</v>
      </c>
      <c r="B1417">
        <v>2023</v>
      </c>
      <c r="C1417">
        <v>5</v>
      </c>
      <c r="D1417" s="5" t="s">
        <v>66</v>
      </c>
      <c r="E1417" s="5" t="s">
        <v>67</v>
      </c>
      <c r="F1417" s="5" t="s">
        <v>68</v>
      </c>
      <c r="G1417" s="5" t="s">
        <v>69</v>
      </c>
      <c r="H1417" s="5" t="s">
        <v>65</v>
      </c>
      <c r="I1417" s="5" t="s">
        <v>53</v>
      </c>
      <c r="J1417" s="5" t="s">
        <v>49</v>
      </c>
      <c r="K1417">
        <v>23</v>
      </c>
      <c r="L1417">
        <v>1274510</v>
      </c>
      <c r="M1417" s="26">
        <v>29313730</v>
      </c>
      <c r="N1417">
        <v>22463</v>
      </c>
      <c r="O1417" s="26">
        <v>3890192.93</v>
      </c>
      <c r="P1417" s="5" t="s">
        <v>50</v>
      </c>
      <c r="Q1417" s="5" t="s">
        <v>75</v>
      </c>
      <c r="R1417">
        <v>3.9</v>
      </c>
      <c r="S1417">
        <v>21</v>
      </c>
      <c r="T1417">
        <f t="shared" si="22"/>
        <v>0</v>
      </c>
    </row>
    <row r="1418" spans="1:20">
      <c r="A1418" s="4">
        <v>45067</v>
      </c>
      <c r="B1418">
        <v>2023</v>
      </c>
      <c r="C1418">
        <v>5</v>
      </c>
      <c r="D1418" s="5" t="s">
        <v>54</v>
      </c>
      <c r="E1418" s="5" t="s">
        <v>70</v>
      </c>
      <c r="F1418" s="5" t="s">
        <v>71</v>
      </c>
      <c r="G1418" s="5" t="s">
        <v>72</v>
      </c>
      <c r="H1418" s="5" t="s">
        <v>74</v>
      </c>
      <c r="I1418" s="5" t="s">
        <v>40</v>
      </c>
      <c r="J1418" s="5" t="s">
        <v>49</v>
      </c>
      <c r="K1418">
        <v>35</v>
      </c>
      <c r="L1418">
        <v>630355</v>
      </c>
      <c r="M1418" s="26">
        <v>22062425</v>
      </c>
      <c r="N1418">
        <v>17560</v>
      </c>
      <c r="O1418" s="26">
        <v>2946268.18</v>
      </c>
      <c r="P1418" s="5" t="s">
        <v>50</v>
      </c>
      <c r="Q1418" s="5" t="s">
        <v>43</v>
      </c>
      <c r="R1418">
        <v>3.7</v>
      </c>
      <c r="S1418">
        <v>16</v>
      </c>
      <c r="T1418">
        <f t="shared" si="22"/>
        <v>0</v>
      </c>
    </row>
    <row r="1419" spans="1:20">
      <c r="A1419" s="4">
        <v>45048</v>
      </c>
      <c r="B1419">
        <v>2023</v>
      </c>
      <c r="C1419">
        <v>5</v>
      </c>
      <c r="D1419" s="5" t="s">
        <v>35</v>
      </c>
      <c r="E1419" s="5" t="s">
        <v>36</v>
      </c>
      <c r="F1419" s="5" t="s">
        <v>37</v>
      </c>
      <c r="G1419" s="5" t="s">
        <v>38</v>
      </c>
      <c r="H1419" s="5" t="s">
        <v>52</v>
      </c>
      <c r="I1419" s="5" t="s">
        <v>53</v>
      </c>
      <c r="J1419" s="5" t="s">
        <v>41</v>
      </c>
      <c r="K1419">
        <v>12</v>
      </c>
      <c r="L1419">
        <v>973247</v>
      </c>
      <c r="M1419" s="26">
        <v>11678964</v>
      </c>
      <c r="N1419">
        <v>7890</v>
      </c>
      <c r="O1419" s="26">
        <v>1529220</v>
      </c>
      <c r="P1419" s="5" t="s">
        <v>50</v>
      </c>
      <c r="Q1419" s="5" t="s">
        <v>51</v>
      </c>
      <c r="R1419">
        <v>4</v>
      </c>
      <c r="S1419">
        <v>14</v>
      </c>
      <c r="T1419">
        <f t="shared" si="22"/>
        <v>0</v>
      </c>
    </row>
    <row r="1420" spans="1:20">
      <c r="A1420" s="4">
        <v>45048</v>
      </c>
      <c r="B1420">
        <v>2023</v>
      </c>
      <c r="C1420">
        <v>5</v>
      </c>
      <c r="D1420" s="5" t="s">
        <v>44</v>
      </c>
      <c r="E1420" s="5" t="s">
        <v>45</v>
      </c>
      <c r="F1420" s="5" t="s">
        <v>46</v>
      </c>
      <c r="G1420" s="5" t="s">
        <v>47</v>
      </c>
      <c r="H1420" s="5" t="s">
        <v>52</v>
      </c>
      <c r="I1420" s="5" t="s">
        <v>53</v>
      </c>
      <c r="J1420" s="5" t="s">
        <v>41</v>
      </c>
      <c r="K1420">
        <v>25</v>
      </c>
      <c r="L1420">
        <v>974610</v>
      </c>
      <c r="M1420" s="26">
        <v>24365250</v>
      </c>
      <c r="N1420">
        <v>47200</v>
      </c>
      <c r="O1420" s="26">
        <v>2658708.59</v>
      </c>
      <c r="P1420" s="5" t="s">
        <v>42</v>
      </c>
      <c r="Q1420" s="5" t="s">
        <v>75</v>
      </c>
      <c r="R1420">
        <v>4.3</v>
      </c>
      <c r="S1420">
        <v>10</v>
      </c>
      <c r="T1420">
        <f t="shared" si="22"/>
        <v>1</v>
      </c>
    </row>
    <row r="1421" spans="1:20">
      <c r="A1421" s="4">
        <v>45054</v>
      </c>
      <c r="B1421">
        <v>2023</v>
      </c>
      <c r="C1421">
        <v>5</v>
      </c>
      <c r="D1421" s="5" t="s">
        <v>44</v>
      </c>
      <c r="E1421" s="5" t="s">
        <v>82</v>
      </c>
      <c r="F1421" s="5" t="s">
        <v>83</v>
      </c>
      <c r="G1421" s="5" t="s">
        <v>84</v>
      </c>
      <c r="H1421" s="5" t="s">
        <v>57</v>
      </c>
      <c r="I1421" s="5" t="s">
        <v>58</v>
      </c>
      <c r="J1421" s="5" t="s">
        <v>59</v>
      </c>
      <c r="K1421">
        <v>53</v>
      </c>
      <c r="L1421">
        <v>1375353</v>
      </c>
      <c r="M1421" s="26">
        <v>72893709</v>
      </c>
      <c r="N1421">
        <v>14954</v>
      </c>
      <c r="O1421" s="26">
        <v>7831856.0899999999</v>
      </c>
      <c r="P1421" s="5" t="s">
        <v>42</v>
      </c>
      <c r="Q1421" s="5" t="s">
        <v>51</v>
      </c>
      <c r="R1421">
        <v>4.0999999999999996</v>
      </c>
      <c r="S1421">
        <v>20</v>
      </c>
      <c r="T1421">
        <f t="shared" si="22"/>
        <v>1</v>
      </c>
    </row>
    <row r="1422" spans="1:20">
      <c r="A1422" s="4">
        <v>45069</v>
      </c>
      <c r="B1422">
        <v>2023</v>
      </c>
      <c r="C1422">
        <v>5</v>
      </c>
      <c r="D1422" s="5" t="s">
        <v>44</v>
      </c>
      <c r="E1422" s="5" t="s">
        <v>45</v>
      </c>
      <c r="F1422" s="5" t="s">
        <v>46</v>
      </c>
      <c r="G1422" s="5" t="s">
        <v>47</v>
      </c>
      <c r="H1422" s="5" t="s">
        <v>85</v>
      </c>
      <c r="I1422" s="5" t="s">
        <v>58</v>
      </c>
      <c r="J1422" s="5" t="s">
        <v>49</v>
      </c>
      <c r="K1422">
        <v>21</v>
      </c>
      <c r="L1422">
        <v>980957</v>
      </c>
      <c r="M1422" s="26">
        <v>20600097</v>
      </c>
      <c r="N1422">
        <v>41787</v>
      </c>
      <c r="O1422" s="26">
        <v>2266086.3999999999</v>
      </c>
      <c r="P1422" s="5" t="s">
        <v>50</v>
      </c>
      <c r="Q1422" s="5" t="s">
        <v>75</v>
      </c>
      <c r="R1422">
        <v>3.9</v>
      </c>
      <c r="S1422">
        <v>20</v>
      </c>
      <c r="T1422">
        <f t="shared" si="22"/>
        <v>0</v>
      </c>
    </row>
    <row r="1423" spans="1:20">
      <c r="A1423" s="4">
        <v>45047</v>
      </c>
      <c r="B1423">
        <v>2023</v>
      </c>
      <c r="C1423">
        <v>5</v>
      </c>
      <c r="D1423" s="5" t="s">
        <v>66</v>
      </c>
      <c r="E1423" s="5" t="s">
        <v>67</v>
      </c>
      <c r="F1423" s="5" t="s">
        <v>68</v>
      </c>
      <c r="G1423" s="5" t="s">
        <v>69</v>
      </c>
      <c r="H1423" s="5" t="s">
        <v>79</v>
      </c>
      <c r="I1423" s="5" t="s">
        <v>58</v>
      </c>
      <c r="J1423" s="5" t="s">
        <v>49</v>
      </c>
      <c r="K1423">
        <v>26</v>
      </c>
      <c r="L1423">
        <v>913034</v>
      </c>
      <c r="M1423" s="26">
        <v>23738884</v>
      </c>
      <c r="N1423">
        <v>7971</v>
      </c>
      <c r="O1423" s="26">
        <v>2093740.97</v>
      </c>
      <c r="P1423" s="5" t="s">
        <v>42</v>
      </c>
      <c r="Q1423" s="5" t="s">
        <v>43</v>
      </c>
      <c r="R1423">
        <v>4.7</v>
      </c>
      <c r="S1423">
        <v>13</v>
      </c>
      <c r="T1423">
        <f t="shared" si="22"/>
        <v>1</v>
      </c>
    </row>
    <row r="1424" spans="1:20">
      <c r="A1424" s="4">
        <v>45066</v>
      </c>
      <c r="B1424">
        <v>2023</v>
      </c>
      <c r="C1424">
        <v>5</v>
      </c>
      <c r="D1424" s="5" t="s">
        <v>35</v>
      </c>
      <c r="E1424" s="5" t="s">
        <v>76</v>
      </c>
      <c r="F1424" s="5" t="s">
        <v>77</v>
      </c>
      <c r="G1424" s="5" t="s">
        <v>78</v>
      </c>
      <c r="H1424" s="5" t="s">
        <v>79</v>
      </c>
      <c r="I1424" s="5" t="s">
        <v>58</v>
      </c>
      <c r="J1424" s="5" t="s">
        <v>49</v>
      </c>
      <c r="K1424">
        <v>60</v>
      </c>
      <c r="L1424">
        <v>874439</v>
      </c>
      <c r="M1424" s="26">
        <v>52466340</v>
      </c>
      <c r="N1424">
        <v>37919</v>
      </c>
      <c r="O1424" s="26">
        <v>7579199.1699999999</v>
      </c>
      <c r="P1424" s="5" t="s">
        <v>50</v>
      </c>
      <c r="Q1424" s="5" t="s">
        <v>51</v>
      </c>
      <c r="R1424">
        <v>3.8</v>
      </c>
      <c r="S1424">
        <v>3</v>
      </c>
      <c r="T1424">
        <f t="shared" si="22"/>
        <v>0</v>
      </c>
    </row>
    <row r="1425" spans="1:20">
      <c r="A1425" s="4">
        <v>45050</v>
      </c>
      <c r="B1425">
        <v>2023</v>
      </c>
      <c r="C1425">
        <v>5</v>
      </c>
      <c r="D1425" s="5" t="s">
        <v>44</v>
      </c>
      <c r="E1425" s="5" t="s">
        <v>45</v>
      </c>
      <c r="F1425" s="5" t="s">
        <v>46</v>
      </c>
      <c r="G1425" s="5" t="s">
        <v>47</v>
      </c>
      <c r="H1425" s="5" t="s">
        <v>80</v>
      </c>
      <c r="I1425" s="5" t="s">
        <v>81</v>
      </c>
      <c r="J1425" s="5" t="s">
        <v>41</v>
      </c>
      <c r="K1425">
        <v>39</v>
      </c>
      <c r="L1425">
        <v>559513</v>
      </c>
      <c r="M1425" s="26">
        <v>21821007</v>
      </c>
      <c r="N1425">
        <v>40212</v>
      </c>
      <c r="O1425" s="26">
        <v>2386486.54</v>
      </c>
      <c r="P1425" s="5" t="s">
        <v>42</v>
      </c>
      <c r="Q1425" s="5" t="s">
        <v>43</v>
      </c>
      <c r="R1425">
        <v>4.5999999999999996</v>
      </c>
      <c r="S1425">
        <v>2</v>
      </c>
      <c r="T1425">
        <f t="shared" si="22"/>
        <v>1</v>
      </c>
    </row>
    <row r="1426" spans="1:20">
      <c r="A1426" s="4">
        <v>45064</v>
      </c>
      <c r="B1426">
        <v>2023</v>
      </c>
      <c r="C1426">
        <v>5</v>
      </c>
      <c r="D1426" s="5" t="s">
        <v>35</v>
      </c>
      <c r="E1426" s="5" t="s">
        <v>60</v>
      </c>
      <c r="F1426" s="5" t="s">
        <v>61</v>
      </c>
      <c r="G1426" s="5" t="s">
        <v>62</v>
      </c>
      <c r="H1426" s="5" t="s">
        <v>74</v>
      </c>
      <c r="I1426" s="5" t="s">
        <v>40</v>
      </c>
      <c r="J1426" s="5" t="s">
        <v>49</v>
      </c>
      <c r="K1426">
        <v>16</v>
      </c>
      <c r="L1426">
        <v>620125</v>
      </c>
      <c r="M1426" s="26">
        <v>9922000</v>
      </c>
      <c r="N1426">
        <v>9089</v>
      </c>
      <c r="O1426" s="26">
        <v>1241890.0900000001</v>
      </c>
      <c r="P1426" s="5" t="s">
        <v>50</v>
      </c>
      <c r="Q1426" s="5" t="s">
        <v>51</v>
      </c>
      <c r="R1426">
        <v>4.4000000000000004</v>
      </c>
      <c r="S1426">
        <v>10</v>
      </c>
      <c r="T1426">
        <f t="shared" si="22"/>
        <v>0</v>
      </c>
    </row>
    <row r="1427" spans="1:20">
      <c r="A1427" s="4">
        <v>45060</v>
      </c>
      <c r="B1427">
        <v>2023</v>
      </c>
      <c r="C1427">
        <v>5</v>
      </c>
      <c r="D1427" s="5" t="s">
        <v>35</v>
      </c>
      <c r="E1427" s="5" t="s">
        <v>76</v>
      </c>
      <c r="F1427" s="5" t="s">
        <v>77</v>
      </c>
      <c r="G1427" s="5" t="s">
        <v>78</v>
      </c>
      <c r="H1427" s="5" t="s">
        <v>86</v>
      </c>
      <c r="I1427" s="5" t="s">
        <v>40</v>
      </c>
      <c r="J1427" s="5" t="s">
        <v>41</v>
      </c>
      <c r="K1427">
        <v>52</v>
      </c>
      <c r="L1427">
        <v>608238</v>
      </c>
      <c r="M1427" s="26">
        <v>31628376</v>
      </c>
      <c r="N1427">
        <v>46760</v>
      </c>
      <c r="O1427" s="26">
        <v>4865774.42</v>
      </c>
      <c r="P1427" s="5" t="s">
        <v>50</v>
      </c>
      <c r="Q1427" s="5" t="s">
        <v>51</v>
      </c>
      <c r="R1427">
        <v>4</v>
      </c>
      <c r="S1427">
        <v>12</v>
      </c>
      <c r="T1427">
        <f t="shared" si="22"/>
        <v>0</v>
      </c>
    </row>
    <row r="1428" spans="1:20">
      <c r="A1428" s="4">
        <v>45068</v>
      </c>
      <c r="B1428">
        <v>2023</v>
      </c>
      <c r="C1428">
        <v>5</v>
      </c>
      <c r="D1428" s="5" t="s">
        <v>35</v>
      </c>
      <c r="E1428" s="5" t="s">
        <v>76</v>
      </c>
      <c r="F1428" s="5" t="s">
        <v>77</v>
      </c>
      <c r="G1428" s="5" t="s">
        <v>78</v>
      </c>
      <c r="H1428" s="5" t="s">
        <v>74</v>
      </c>
      <c r="I1428" s="5" t="s">
        <v>40</v>
      </c>
      <c r="J1428" s="5" t="s">
        <v>49</v>
      </c>
      <c r="K1428">
        <v>50</v>
      </c>
      <c r="L1428">
        <v>645545</v>
      </c>
      <c r="M1428" s="26">
        <v>32277250</v>
      </c>
      <c r="N1428">
        <v>40965</v>
      </c>
      <c r="O1428" s="26">
        <v>3598282.7</v>
      </c>
      <c r="P1428" s="5" t="s">
        <v>50</v>
      </c>
      <c r="Q1428" s="5" t="s">
        <v>51</v>
      </c>
      <c r="R1428">
        <v>4.7</v>
      </c>
      <c r="S1428">
        <v>21</v>
      </c>
      <c r="T1428">
        <f t="shared" si="22"/>
        <v>0</v>
      </c>
    </row>
    <row r="1429" spans="1:20">
      <c r="A1429" s="4">
        <v>45047</v>
      </c>
      <c r="B1429">
        <v>2023</v>
      </c>
      <c r="C1429">
        <v>5</v>
      </c>
      <c r="D1429" s="5" t="s">
        <v>66</v>
      </c>
      <c r="E1429" s="5" t="s">
        <v>67</v>
      </c>
      <c r="F1429" s="5" t="s">
        <v>68</v>
      </c>
      <c r="G1429" s="5" t="s">
        <v>69</v>
      </c>
      <c r="H1429" s="5" t="s">
        <v>52</v>
      </c>
      <c r="I1429" s="5" t="s">
        <v>53</v>
      </c>
      <c r="J1429" s="5" t="s">
        <v>41</v>
      </c>
      <c r="K1429">
        <v>42</v>
      </c>
      <c r="L1429">
        <v>921371</v>
      </c>
      <c r="M1429" s="26">
        <v>38697582</v>
      </c>
      <c r="N1429">
        <v>17888</v>
      </c>
      <c r="O1429" s="26">
        <v>4231964.8099999996</v>
      </c>
      <c r="P1429" s="5" t="s">
        <v>50</v>
      </c>
      <c r="Q1429" s="5" t="s">
        <v>51</v>
      </c>
      <c r="R1429">
        <v>4.0999999999999996</v>
      </c>
      <c r="S1429">
        <v>17</v>
      </c>
      <c r="T1429">
        <f t="shared" si="22"/>
        <v>0</v>
      </c>
    </row>
    <row r="1430" spans="1:20">
      <c r="A1430" s="4">
        <v>45050</v>
      </c>
      <c r="B1430">
        <v>2023</v>
      </c>
      <c r="C1430">
        <v>5</v>
      </c>
      <c r="D1430" s="5" t="s">
        <v>66</v>
      </c>
      <c r="E1430" s="5" t="s">
        <v>67</v>
      </c>
      <c r="F1430" s="5" t="s">
        <v>68</v>
      </c>
      <c r="G1430" s="5" t="s">
        <v>69</v>
      </c>
      <c r="H1430" s="5" t="s">
        <v>73</v>
      </c>
      <c r="I1430" s="5" t="s">
        <v>40</v>
      </c>
      <c r="J1430" s="5" t="s">
        <v>49</v>
      </c>
      <c r="K1430">
        <v>25</v>
      </c>
      <c r="L1430">
        <v>691288</v>
      </c>
      <c r="M1430" s="26">
        <v>17282200</v>
      </c>
      <c r="N1430">
        <v>45770</v>
      </c>
      <c r="O1430" s="26">
        <v>2619830.86</v>
      </c>
      <c r="P1430" s="5" t="s">
        <v>42</v>
      </c>
      <c r="Q1430" s="5" t="s">
        <v>75</v>
      </c>
      <c r="R1430">
        <v>4.2</v>
      </c>
      <c r="S1430">
        <v>2</v>
      </c>
      <c r="T1430">
        <f t="shared" si="22"/>
        <v>1</v>
      </c>
    </row>
    <row r="1431" spans="1:20">
      <c r="A1431" s="4">
        <v>45071</v>
      </c>
      <c r="B1431">
        <v>2023</v>
      </c>
      <c r="C1431">
        <v>5</v>
      </c>
      <c r="D1431" s="5" t="s">
        <v>35</v>
      </c>
      <c r="E1431" s="5" t="s">
        <v>60</v>
      </c>
      <c r="F1431" s="5" t="s">
        <v>61</v>
      </c>
      <c r="G1431" s="5" t="s">
        <v>62</v>
      </c>
      <c r="H1431" s="5" t="s">
        <v>80</v>
      </c>
      <c r="I1431" s="5" t="s">
        <v>81</v>
      </c>
      <c r="J1431" s="5" t="s">
        <v>41</v>
      </c>
      <c r="K1431">
        <v>10</v>
      </c>
      <c r="L1431">
        <v>530455</v>
      </c>
      <c r="M1431" s="26">
        <v>5304550</v>
      </c>
      <c r="N1431">
        <v>29834</v>
      </c>
      <c r="O1431" s="26">
        <v>753606.28</v>
      </c>
      <c r="P1431" s="5" t="s">
        <v>42</v>
      </c>
      <c r="Q1431" s="5" t="s">
        <v>51</v>
      </c>
      <c r="R1431">
        <v>4.4000000000000004</v>
      </c>
      <c r="S1431">
        <v>9</v>
      </c>
      <c r="T1431">
        <f t="shared" si="22"/>
        <v>1</v>
      </c>
    </row>
    <row r="1432" spans="1:20">
      <c r="A1432" s="4">
        <v>45073</v>
      </c>
      <c r="B1432">
        <v>2023</v>
      </c>
      <c r="C1432">
        <v>5</v>
      </c>
      <c r="D1432" s="5" t="s">
        <v>54</v>
      </c>
      <c r="E1432" s="5" t="s">
        <v>70</v>
      </c>
      <c r="F1432" s="5" t="s">
        <v>71</v>
      </c>
      <c r="G1432" s="5" t="s">
        <v>72</v>
      </c>
      <c r="H1432" s="5" t="s">
        <v>86</v>
      </c>
      <c r="I1432" s="5" t="s">
        <v>40</v>
      </c>
      <c r="J1432" s="5" t="s">
        <v>41</v>
      </c>
      <c r="K1432">
        <v>30</v>
      </c>
      <c r="L1432">
        <v>589779</v>
      </c>
      <c r="M1432" s="26">
        <v>17693370</v>
      </c>
      <c r="N1432">
        <v>47389</v>
      </c>
      <c r="O1432" s="26">
        <v>2230864.73</v>
      </c>
      <c r="P1432" s="5" t="s">
        <v>50</v>
      </c>
      <c r="Q1432" s="5" t="s">
        <v>43</v>
      </c>
      <c r="R1432">
        <v>3.6</v>
      </c>
      <c r="S1432">
        <v>17</v>
      </c>
      <c r="T1432">
        <f t="shared" si="22"/>
        <v>0</v>
      </c>
    </row>
    <row r="1433" spans="1:20">
      <c r="A1433" s="4">
        <v>45054</v>
      </c>
      <c r="B1433">
        <v>2023</v>
      </c>
      <c r="C1433">
        <v>5</v>
      </c>
      <c r="D1433" s="5" t="s">
        <v>44</v>
      </c>
      <c r="E1433" s="5" t="s">
        <v>82</v>
      </c>
      <c r="F1433" s="5" t="s">
        <v>83</v>
      </c>
      <c r="G1433" s="5" t="s">
        <v>84</v>
      </c>
      <c r="H1433" s="5" t="s">
        <v>73</v>
      </c>
      <c r="I1433" s="5" t="s">
        <v>40</v>
      </c>
      <c r="J1433" s="5" t="s">
        <v>49</v>
      </c>
      <c r="K1433">
        <v>29</v>
      </c>
      <c r="L1433">
        <v>718663</v>
      </c>
      <c r="M1433" s="26">
        <v>20841227</v>
      </c>
      <c r="N1433">
        <v>19860</v>
      </c>
      <c r="O1433" s="26">
        <v>2969314.21</v>
      </c>
      <c r="P1433" s="5" t="s">
        <v>42</v>
      </c>
      <c r="Q1433" s="5" t="s">
        <v>75</v>
      </c>
      <c r="R1433">
        <v>4</v>
      </c>
      <c r="S1433">
        <v>14</v>
      </c>
      <c r="T1433">
        <f t="shared" si="22"/>
        <v>1</v>
      </c>
    </row>
    <row r="1434" spans="1:20">
      <c r="A1434" s="4">
        <v>45051</v>
      </c>
      <c r="B1434">
        <v>2023</v>
      </c>
      <c r="C1434">
        <v>5</v>
      </c>
      <c r="D1434" s="5" t="s">
        <v>35</v>
      </c>
      <c r="E1434" s="5" t="s">
        <v>60</v>
      </c>
      <c r="F1434" s="5" t="s">
        <v>61</v>
      </c>
      <c r="G1434" s="5" t="s">
        <v>62</v>
      </c>
      <c r="H1434" s="5" t="s">
        <v>39</v>
      </c>
      <c r="I1434" s="5" t="s">
        <v>40</v>
      </c>
      <c r="J1434" s="5" t="s">
        <v>41</v>
      </c>
      <c r="K1434">
        <v>36</v>
      </c>
      <c r="L1434">
        <v>609250</v>
      </c>
      <c r="M1434" s="26">
        <v>21933000</v>
      </c>
      <c r="N1434">
        <v>17871</v>
      </c>
      <c r="O1434" s="26">
        <v>3097861.2</v>
      </c>
      <c r="P1434" s="5" t="s">
        <v>42</v>
      </c>
      <c r="Q1434" s="5" t="s">
        <v>75</v>
      </c>
      <c r="R1434">
        <v>3.8</v>
      </c>
      <c r="S1434">
        <v>20</v>
      </c>
      <c r="T1434">
        <f t="shared" si="22"/>
        <v>1</v>
      </c>
    </row>
    <row r="1435" spans="1:20">
      <c r="A1435" s="4">
        <v>45073</v>
      </c>
      <c r="B1435">
        <v>2023</v>
      </c>
      <c r="C1435">
        <v>5</v>
      </c>
      <c r="D1435" s="5" t="s">
        <v>54</v>
      </c>
      <c r="E1435" s="5" t="s">
        <v>55</v>
      </c>
      <c r="F1435" s="5" t="s">
        <v>55</v>
      </c>
      <c r="G1435" s="5" t="s">
        <v>56</v>
      </c>
      <c r="H1435" s="5" t="s">
        <v>73</v>
      </c>
      <c r="I1435" s="5" t="s">
        <v>40</v>
      </c>
      <c r="J1435" s="5" t="s">
        <v>49</v>
      </c>
      <c r="K1435">
        <v>48</v>
      </c>
      <c r="L1435">
        <v>732979</v>
      </c>
      <c r="M1435" s="26">
        <v>35182992</v>
      </c>
      <c r="N1435">
        <v>48966</v>
      </c>
      <c r="O1435" s="26">
        <v>3451855.58</v>
      </c>
      <c r="P1435" s="5" t="s">
        <v>42</v>
      </c>
      <c r="Q1435" s="5" t="s">
        <v>43</v>
      </c>
      <c r="R1435">
        <v>4.5999999999999996</v>
      </c>
      <c r="S1435">
        <v>11</v>
      </c>
      <c r="T1435">
        <f t="shared" si="22"/>
        <v>1</v>
      </c>
    </row>
    <row r="1436" spans="1:20">
      <c r="A1436" s="4">
        <v>45062</v>
      </c>
      <c r="B1436">
        <v>2023</v>
      </c>
      <c r="C1436">
        <v>5</v>
      </c>
      <c r="D1436" s="5" t="s">
        <v>35</v>
      </c>
      <c r="E1436" s="5" t="s">
        <v>76</v>
      </c>
      <c r="F1436" s="5" t="s">
        <v>77</v>
      </c>
      <c r="G1436" s="5" t="s">
        <v>78</v>
      </c>
      <c r="H1436" s="5" t="s">
        <v>74</v>
      </c>
      <c r="I1436" s="5" t="s">
        <v>40</v>
      </c>
      <c r="J1436" s="5" t="s">
        <v>49</v>
      </c>
      <c r="K1436">
        <v>18</v>
      </c>
      <c r="L1436">
        <v>657665</v>
      </c>
      <c r="M1436" s="26">
        <v>11837970</v>
      </c>
      <c r="N1436">
        <v>29345</v>
      </c>
      <c r="O1436" s="26">
        <v>1270100.83</v>
      </c>
      <c r="P1436" s="5" t="s">
        <v>42</v>
      </c>
      <c r="Q1436" s="5" t="s">
        <v>75</v>
      </c>
      <c r="R1436">
        <v>4.3</v>
      </c>
      <c r="S1436">
        <v>5</v>
      </c>
      <c r="T1436">
        <f t="shared" si="22"/>
        <v>1</v>
      </c>
    </row>
    <row r="1437" spans="1:20">
      <c r="A1437" s="4">
        <v>45049</v>
      </c>
      <c r="B1437">
        <v>2023</v>
      </c>
      <c r="C1437">
        <v>5</v>
      </c>
      <c r="D1437" s="5" t="s">
        <v>66</v>
      </c>
      <c r="E1437" s="5" t="s">
        <v>67</v>
      </c>
      <c r="F1437" s="5" t="s">
        <v>68</v>
      </c>
      <c r="G1437" s="5" t="s">
        <v>69</v>
      </c>
      <c r="H1437" s="5" t="s">
        <v>79</v>
      </c>
      <c r="I1437" s="5" t="s">
        <v>58</v>
      </c>
      <c r="J1437" s="5" t="s">
        <v>49</v>
      </c>
      <c r="K1437">
        <v>51</v>
      </c>
      <c r="L1437">
        <v>871595</v>
      </c>
      <c r="M1437" s="26">
        <v>44451345</v>
      </c>
      <c r="N1437">
        <v>17812</v>
      </c>
      <c r="O1437" s="26">
        <v>6896438.9100000001</v>
      </c>
      <c r="P1437" s="5" t="s">
        <v>42</v>
      </c>
      <c r="Q1437" s="5" t="s">
        <v>43</v>
      </c>
      <c r="R1437">
        <v>3.7</v>
      </c>
      <c r="S1437">
        <v>8</v>
      </c>
      <c r="T1437">
        <f t="shared" si="22"/>
        <v>1</v>
      </c>
    </row>
    <row r="1438" spans="1:20">
      <c r="A1438" s="4">
        <v>45052</v>
      </c>
      <c r="B1438">
        <v>2023</v>
      </c>
      <c r="C1438">
        <v>5</v>
      </c>
      <c r="D1438" s="5" t="s">
        <v>44</v>
      </c>
      <c r="E1438" s="5" t="s">
        <v>45</v>
      </c>
      <c r="F1438" s="5" t="s">
        <v>46</v>
      </c>
      <c r="G1438" s="5" t="s">
        <v>47</v>
      </c>
      <c r="H1438" s="5" t="s">
        <v>63</v>
      </c>
      <c r="I1438" s="5" t="s">
        <v>64</v>
      </c>
      <c r="J1438" s="5" t="s">
        <v>41</v>
      </c>
      <c r="K1438">
        <v>11</v>
      </c>
      <c r="L1438">
        <v>773792</v>
      </c>
      <c r="M1438" s="26">
        <v>8511712</v>
      </c>
      <c r="N1438">
        <v>42998</v>
      </c>
      <c r="O1438" s="26">
        <v>1150122.78</v>
      </c>
      <c r="P1438" s="5" t="s">
        <v>50</v>
      </c>
      <c r="Q1438" s="5" t="s">
        <v>75</v>
      </c>
      <c r="R1438">
        <v>4.5999999999999996</v>
      </c>
      <c r="S1438">
        <v>20</v>
      </c>
      <c r="T1438">
        <f t="shared" si="22"/>
        <v>0</v>
      </c>
    </row>
    <row r="1439" spans="1:20">
      <c r="A1439" s="4">
        <v>45072</v>
      </c>
      <c r="B1439">
        <v>2023</v>
      </c>
      <c r="C1439">
        <v>5</v>
      </c>
      <c r="D1439" s="5" t="s">
        <v>44</v>
      </c>
      <c r="E1439" s="5" t="s">
        <v>45</v>
      </c>
      <c r="F1439" s="5" t="s">
        <v>46</v>
      </c>
      <c r="G1439" s="5" t="s">
        <v>47</v>
      </c>
      <c r="H1439" s="5" t="s">
        <v>57</v>
      </c>
      <c r="I1439" s="5" t="s">
        <v>58</v>
      </c>
      <c r="J1439" s="5" t="s">
        <v>59</v>
      </c>
      <c r="K1439">
        <v>17</v>
      </c>
      <c r="L1439">
        <v>1425038</v>
      </c>
      <c r="M1439" s="26">
        <v>24225646</v>
      </c>
      <c r="N1439">
        <v>23721</v>
      </c>
      <c r="O1439" s="26">
        <v>3838899.8</v>
      </c>
      <c r="P1439" s="5" t="s">
        <v>50</v>
      </c>
      <c r="Q1439" s="5" t="s">
        <v>43</v>
      </c>
      <c r="R1439">
        <v>4.3</v>
      </c>
      <c r="S1439">
        <v>15</v>
      </c>
      <c r="T1439">
        <f t="shared" si="22"/>
        <v>0</v>
      </c>
    </row>
    <row r="1440" spans="1:20">
      <c r="A1440" s="4">
        <v>45050</v>
      </c>
      <c r="B1440">
        <v>2023</v>
      </c>
      <c r="C1440">
        <v>5</v>
      </c>
      <c r="D1440" s="5" t="s">
        <v>44</v>
      </c>
      <c r="E1440" s="5" t="s">
        <v>82</v>
      </c>
      <c r="F1440" s="5" t="s">
        <v>83</v>
      </c>
      <c r="G1440" s="5" t="s">
        <v>84</v>
      </c>
      <c r="H1440" s="5" t="s">
        <v>86</v>
      </c>
      <c r="I1440" s="5" t="s">
        <v>40</v>
      </c>
      <c r="J1440" s="5" t="s">
        <v>41</v>
      </c>
      <c r="K1440">
        <v>30</v>
      </c>
      <c r="L1440">
        <v>590532</v>
      </c>
      <c r="M1440" s="26">
        <v>17715960</v>
      </c>
      <c r="N1440">
        <v>5161</v>
      </c>
      <c r="O1440" s="26">
        <v>1940030.05</v>
      </c>
      <c r="P1440" s="5" t="s">
        <v>50</v>
      </c>
      <c r="Q1440" s="5" t="s">
        <v>51</v>
      </c>
      <c r="R1440">
        <v>3.9</v>
      </c>
      <c r="S1440">
        <v>7</v>
      </c>
      <c r="T1440">
        <f t="shared" si="22"/>
        <v>0</v>
      </c>
    </row>
    <row r="1441" spans="1:20">
      <c r="A1441" s="4">
        <v>45063</v>
      </c>
      <c r="B1441">
        <v>2023</v>
      </c>
      <c r="C1441">
        <v>5</v>
      </c>
      <c r="D1441" s="5" t="s">
        <v>44</v>
      </c>
      <c r="E1441" s="5" t="s">
        <v>82</v>
      </c>
      <c r="F1441" s="5" t="s">
        <v>83</v>
      </c>
      <c r="G1441" s="5" t="s">
        <v>84</v>
      </c>
      <c r="H1441" s="5" t="s">
        <v>63</v>
      </c>
      <c r="I1441" s="5" t="s">
        <v>64</v>
      </c>
      <c r="J1441" s="5" t="s">
        <v>41</v>
      </c>
      <c r="K1441">
        <v>38</v>
      </c>
      <c r="L1441">
        <v>778153</v>
      </c>
      <c r="M1441" s="26">
        <v>29569814</v>
      </c>
      <c r="N1441">
        <v>48729</v>
      </c>
      <c r="O1441" s="26">
        <v>2669954.06</v>
      </c>
      <c r="P1441" s="5" t="s">
        <v>42</v>
      </c>
      <c r="Q1441" s="5" t="s">
        <v>75</v>
      </c>
      <c r="R1441">
        <v>4.2</v>
      </c>
      <c r="S1441">
        <v>13</v>
      </c>
      <c r="T1441">
        <f t="shared" si="22"/>
        <v>1</v>
      </c>
    </row>
    <row r="1442" spans="1:20">
      <c r="A1442" s="4">
        <v>45072</v>
      </c>
      <c r="B1442">
        <v>2023</v>
      </c>
      <c r="C1442">
        <v>5</v>
      </c>
      <c r="D1442" s="5" t="s">
        <v>35</v>
      </c>
      <c r="E1442" s="5" t="s">
        <v>60</v>
      </c>
      <c r="F1442" s="5" t="s">
        <v>61</v>
      </c>
      <c r="G1442" s="5" t="s">
        <v>62</v>
      </c>
      <c r="H1442" s="5" t="s">
        <v>80</v>
      </c>
      <c r="I1442" s="5" t="s">
        <v>81</v>
      </c>
      <c r="J1442" s="5" t="s">
        <v>41</v>
      </c>
      <c r="K1442">
        <v>50</v>
      </c>
      <c r="L1442">
        <v>534982</v>
      </c>
      <c r="M1442" s="26">
        <v>26749100</v>
      </c>
      <c r="N1442">
        <v>46428</v>
      </c>
      <c r="O1442" s="26">
        <v>3670528.86</v>
      </c>
      <c r="P1442" s="5" t="s">
        <v>42</v>
      </c>
      <c r="Q1442" s="5" t="s">
        <v>75</v>
      </c>
      <c r="R1442">
        <v>4</v>
      </c>
      <c r="S1442">
        <v>2</v>
      </c>
      <c r="T1442">
        <f t="shared" si="22"/>
        <v>1</v>
      </c>
    </row>
    <row r="1443" spans="1:20">
      <c r="A1443" s="4">
        <v>45057</v>
      </c>
      <c r="B1443">
        <v>2023</v>
      </c>
      <c r="C1443">
        <v>5</v>
      </c>
      <c r="D1443" s="5" t="s">
        <v>35</v>
      </c>
      <c r="E1443" s="5" t="s">
        <v>60</v>
      </c>
      <c r="F1443" s="5" t="s">
        <v>61</v>
      </c>
      <c r="G1443" s="5" t="s">
        <v>62</v>
      </c>
      <c r="H1443" s="5" t="s">
        <v>79</v>
      </c>
      <c r="I1443" s="5" t="s">
        <v>58</v>
      </c>
      <c r="J1443" s="5" t="s">
        <v>49</v>
      </c>
      <c r="K1443">
        <v>51</v>
      </c>
      <c r="L1443">
        <v>879954</v>
      </c>
      <c r="M1443" s="26">
        <v>44877654</v>
      </c>
      <c r="N1443">
        <v>33507</v>
      </c>
      <c r="O1443" s="26">
        <v>5547214.7999999998</v>
      </c>
      <c r="P1443" s="5" t="s">
        <v>50</v>
      </c>
      <c r="Q1443" s="5" t="s">
        <v>75</v>
      </c>
      <c r="R1443">
        <v>4.3</v>
      </c>
      <c r="S1443">
        <v>20</v>
      </c>
      <c r="T1443">
        <f t="shared" si="22"/>
        <v>0</v>
      </c>
    </row>
    <row r="1444" spans="1:20">
      <c r="A1444" s="4">
        <v>45050</v>
      </c>
      <c r="B1444">
        <v>2023</v>
      </c>
      <c r="C1444">
        <v>5</v>
      </c>
      <c r="D1444" s="5" t="s">
        <v>66</v>
      </c>
      <c r="E1444" s="5" t="s">
        <v>67</v>
      </c>
      <c r="F1444" s="5" t="s">
        <v>68</v>
      </c>
      <c r="G1444" s="5" t="s">
        <v>69</v>
      </c>
      <c r="H1444" s="5" t="s">
        <v>73</v>
      </c>
      <c r="I1444" s="5" t="s">
        <v>40</v>
      </c>
      <c r="J1444" s="5" t="s">
        <v>49</v>
      </c>
      <c r="K1444">
        <v>46</v>
      </c>
      <c r="L1444">
        <v>743937</v>
      </c>
      <c r="M1444" s="26">
        <v>34221102</v>
      </c>
      <c r="N1444">
        <v>18488</v>
      </c>
      <c r="O1444" s="26">
        <v>2752073.38</v>
      </c>
      <c r="P1444" s="5" t="s">
        <v>50</v>
      </c>
      <c r="Q1444" s="5" t="s">
        <v>75</v>
      </c>
      <c r="R1444">
        <v>3.9</v>
      </c>
      <c r="S1444">
        <v>19</v>
      </c>
      <c r="T1444">
        <f t="shared" si="22"/>
        <v>0</v>
      </c>
    </row>
    <row r="1445" spans="1:20">
      <c r="A1445" s="4">
        <v>45048</v>
      </c>
      <c r="B1445">
        <v>2023</v>
      </c>
      <c r="C1445">
        <v>5</v>
      </c>
      <c r="D1445" s="5" t="s">
        <v>66</v>
      </c>
      <c r="E1445" s="5" t="s">
        <v>67</v>
      </c>
      <c r="F1445" s="5" t="s">
        <v>68</v>
      </c>
      <c r="G1445" s="5" t="s">
        <v>69</v>
      </c>
      <c r="H1445" s="5" t="s">
        <v>39</v>
      </c>
      <c r="I1445" s="5" t="s">
        <v>40</v>
      </c>
      <c r="J1445" s="5" t="s">
        <v>41</v>
      </c>
      <c r="K1445">
        <v>21</v>
      </c>
      <c r="L1445">
        <v>553460</v>
      </c>
      <c r="M1445" s="26">
        <v>11622660</v>
      </c>
      <c r="N1445">
        <v>49233</v>
      </c>
      <c r="O1445" s="26">
        <v>1605253.39</v>
      </c>
      <c r="P1445" s="5" t="s">
        <v>50</v>
      </c>
      <c r="Q1445" s="5" t="s">
        <v>51</v>
      </c>
      <c r="R1445">
        <v>4.0999999999999996</v>
      </c>
      <c r="S1445">
        <v>12</v>
      </c>
      <c r="T1445">
        <f t="shared" si="22"/>
        <v>0</v>
      </c>
    </row>
    <row r="1446" spans="1:20">
      <c r="A1446" s="4">
        <v>45068</v>
      </c>
      <c r="B1446">
        <v>2023</v>
      </c>
      <c r="C1446">
        <v>5</v>
      </c>
      <c r="D1446" s="5" t="s">
        <v>35</v>
      </c>
      <c r="E1446" s="5" t="s">
        <v>36</v>
      </c>
      <c r="F1446" s="5" t="s">
        <v>37</v>
      </c>
      <c r="G1446" s="5" t="s">
        <v>38</v>
      </c>
      <c r="H1446" s="5" t="s">
        <v>39</v>
      </c>
      <c r="I1446" s="5" t="s">
        <v>40</v>
      </c>
      <c r="J1446" s="5" t="s">
        <v>41</v>
      </c>
      <c r="K1446">
        <v>35</v>
      </c>
      <c r="L1446">
        <v>599725</v>
      </c>
      <c r="M1446" s="26">
        <v>20990375</v>
      </c>
      <c r="N1446">
        <v>27113</v>
      </c>
      <c r="O1446" s="26">
        <v>1937126.74</v>
      </c>
      <c r="P1446" s="5" t="s">
        <v>50</v>
      </c>
      <c r="Q1446" s="5" t="s">
        <v>51</v>
      </c>
      <c r="R1446">
        <v>3.6</v>
      </c>
      <c r="S1446">
        <v>13</v>
      </c>
      <c r="T1446">
        <f t="shared" si="22"/>
        <v>0</v>
      </c>
    </row>
    <row r="1447" spans="1:20">
      <c r="A1447" s="4">
        <v>45068</v>
      </c>
      <c r="B1447">
        <v>2023</v>
      </c>
      <c r="C1447">
        <v>5</v>
      </c>
      <c r="D1447" s="5" t="s">
        <v>44</v>
      </c>
      <c r="E1447" s="5" t="s">
        <v>82</v>
      </c>
      <c r="F1447" s="5" t="s">
        <v>83</v>
      </c>
      <c r="G1447" s="5" t="s">
        <v>84</v>
      </c>
      <c r="H1447" s="5" t="s">
        <v>48</v>
      </c>
      <c r="I1447" s="5" t="s">
        <v>40</v>
      </c>
      <c r="J1447" s="5" t="s">
        <v>49</v>
      </c>
      <c r="K1447">
        <v>23</v>
      </c>
      <c r="L1447">
        <v>449586</v>
      </c>
      <c r="M1447" s="26">
        <v>10340478</v>
      </c>
      <c r="N1447">
        <v>19221</v>
      </c>
      <c r="O1447" s="26">
        <v>1473321.61</v>
      </c>
      <c r="P1447" s="5" t="s">
        <v>50</v>
      </c>
      <c r="Q1447" s="5" t="s">
        <v>75</v>
      </c>
      <c r="R1447">
        <v>4.2</v>
      </c>
      <c r="S1447">
        <v>10</v>
      </c>
      <c r="T1447">
        <f t="shared" si="22"/>
        <v>0</v>
      </c>
    </row>
    <row r="1448" spans="1:20">
      <c r="A1448" s="4">
        <v>45052</v>
      </c>
      <c r="B1448">
        <v>2023</v>
      </c>
      <c r="C1448">
        <v>5</v>
      </c>
      <c r="D1448" s="5" t="s">
        <v>44</v>
      </c>
      <c r="E1448" s="5" t="s">
        <v>82</v>
      </c>
      <c r="F1448" s="5" t="s">
        <v>83</v>
      </c>
      <c r="G1448" s="5" t="s">
        <v>84</v>
      </c>
      <c r="H1448" s="5" t="s">
        <v>39</v>
      </c>
      <c r="I1448" s="5" t="s">
        <v>40</v>
      </c>
      <c r="J1448" s="5" t="s">
        <v>41</v>
      </c>
      <c r="K1448">
        <v>46</v>
      </c>
      <c r="L1448">
        <v>590512</v>
      </c>
      <c r="M1448" s="26">
        <v>27163552</v>
      </c>
      <c r="N1448">
        <v>7572</v>
      </c>
      <c r="O1448" s="26">
        <v>3291496.87</v>
      </c>
      <c r="P1448" s="5" t="s">
        <v>42</v>
      </c>
      <c r="Q1448" s="5" t="s">
        <v>43</v>
      </c>
      <c r="R1448">
        <v>3.7</v>
      </c>
      <c r="S1448">
        <v>8</v>
      </c>
      <c r="T1448">
        <f t="shared" si="22"/>
        <v>1</v>
      </c>
    </row>
    <row r="1449" spans="1:20">
      <c r="A1449" s="4">
        <v>45061</v>
      </c>
      <c r="B1449">
        <v>2023</v>
      </c>
      <c r="C1449">
        <v>5</v>
      </c>
      <c r="D1449" s="5" t="s">
        <v>54</v>
      </c>
      <c r="E1449" s="5" t="s">
        <v>55</v>
      </c>
      <c r="F1449" s="5" t="s">
        <v>55</v>
      </c>
      <c r="G1449" s="5" t="s">
        <v>56</v>
      </c>
      <c r="H1449" s="5" t="s">
        <v>63</v>
      </c>
      <c r="I1449" s="5" t="s">
        <v>64</v>
      </c>
      <c r="J1449" s="5" t="s">
        <v>41</v>
      </c>
      <c r="K1449">
        <v>59</v>
      </c>
      <c r="L1449">
        <v>767518</v>
      </c>
      <c r="M1449" s="26">
        <v>45283562</v>
      </c>
      <c r="N1449">
        <v>31027</v>
      </c>
      <c r="O1449" s="26">
        <v>5201746.7699999996</v>
      </c>
      <c r="P1449" s="5" t="s">
        <v>42</v>
      </c>
      <c r="Q1449" s="5" t="s">
        <v>75</v>
      </c>
      <c r="R1449">
        <v>4.5</v>
      </c>
      <c r="S1449">
        <v>8</v>
      </c>
      <c r="T1449">
        <f t="shared" si="22"/>
        <v>1</v>
      </c>
    </row>
    <row r="1450" spans="1:20">
      <c r="A1450" s="4">
        <v>45068</v>
      </c>
      <c r="B1450">
        <v>2023</v>
      </c>
      <c r="C1450">
        <v>5</v>
      </c>
      <c r="D1450" s="5" t="s">
        <v>35</v>
      </c>
      <c r="E1450" s="5" t="s">
        <v>60</v>
      </c>
      <c r="F1450" s="5" t="s">
        <v>61</v>
      </c>
      <c r="G1450" s="5" t="s">
        <v>62</v>
      </c>
      <c r="H1450" s="5" t="s">
        <v>74</v>
      </c>
      <c r="I1450" s="5" t="s">
        <v>40</v>
      </c>
      <c r="J1450" s="5" t="s">
        <v>49</v>
      </c>
      <c r="K1450">
        <v>51</v>
      </c>
      <c r="L1450">
        <v>638662</v>
      </c>
      <c r="M1450" s="26">
        <v>32571762</v>
      </c>
      <c r="N1450">
        <v>22389</v>
      </c>
      <c r="O1450" s="26">
        <v>3281287.38</v>
      </c>
      <c r="P1450" s="5" t="s">
        <v>50</v>
      </c>
      <c r="Q1450" s="5" t="s">
        <v>43</v>
      </c>
      <c r="R1450">
        <v>4.2</v>
      </c>
      <c r="S1450">
        <v>19</v>
      </c>
      <c r="T1450">
        <f t="shared" si="22"/>
        <v>0</v>
      </c>
    </row>
    <row r="1451" spans="1:20">
      <c r="A1451" s="4">
        <v>45057</v>
      </c>
      <c r="B1451">
        <v>2023</v>
      </c>
      <c r="C1451">
        <v>5</v>
      </c>
      <c r="D1451" s="5" t="s">
        <v>35</v>
      </c>
      <c r="E1451" s="5" t="s">
        <v>76</v>
      </c>
      <c r="F1451" s="5" t="s">
        <v>77</v>
      </c>
      <c r="G1451" s="5" t="s">
        <v>78</v>
      </c>
      <c r="H1451" s="5" t="s">
        <v>63</v>
      </c>
      <c r="I1451" s="5" t="s">
        <v>64</v>
      </c>
      <c r="J1451" s="5" t="s">
        <v>41</v>
      </c>
      <c r="K1451">
        <v>58</v>
      </c>
      <c r="L1451">
        <v>738613</v>
      </c>
      <c r="M1451" s="26">
        <v>42839554</v>
      </c>
      <c r="N1451">
        <v>41812</v>
      </c>
      <c r="O1451" s="26">
        <v>5965254.2800000003</v>
      </c>
      <c r="P1451" s="5" t="s">
        <v>50</v>
      </c>
      <c r="Q1451" s="5" t="s">
        <v>75</v>
      </c>
      <c r="R1451">
        <v>4.8</v>
      </c>
      <c r="S1451">
        <v>5</v>
      </c>
      <c r="T1451">
        <f t="shared" si="22"/>
        <v>0</v>
      </c>
    </row>
    <row r="1452" spans="1:20">
      <c r="A1452" s="4">
        <v>45101</v>
      </c>
      <c r="B1452">
        <v>2023</v>
      </c>
      <c r="C1452">
        <v>6</v>
      </c>
      <c r="D1452" s="5" t="s">
        <v>35</v>
      </c>
      <c r="E1452" s="5" t="s">
        <v>36</v>
      </c>
      <c r="F1452" s="5" t="s">
        <v>37</v>
      </c>
      <c r="G1452" s="5" t="s">
        <v>38</v>
      </c>
      <c r="H1452" s="5" t="s">
        <v>86</v>
      </c>
      <c r="I1452" s="5" t="s">
        <v>40</v>
      </c>
      <c r="J1452" s="5" t="s">
        <v>41</v>
      </c>
      <c r="K1452">
        <v>7</v>
      </c>
      <c r="L1452">
        <v>611084</v>
      </c>
      <c r="M1452" s="26">
        <v>4277588</v>
      </c>
      <c r="N1452">
        <v>38276</v>
      </c>
      <c r="O1452" s="26">
        <v>437805.37</v>
      </c>
      <c r="P1452" s="5" t="s">
        <v>42</v>
      </c>
      <c r="Q1452" s="5" t="s">
        <v>75</v>
      </c>
      <c r="R1452">
        <v>4.3</v>
      </c>
      <c r="S1452">
        <v>21</v>
      </c>
      <c r="T1452">
        <f t="shared" si="22"/>
        <v>1</v>
      </c>
    </row>
    <row r="1453" spans="1:20">
      <c r="A1453" s="4">
        <v>45089</v>
      </c>
      <c r="B1453">
        <v>2023</v>
      </c>
      <c r="C1453">
        <v>6</v>
      </c>
      <c r="D1453" s="5" t="s">
        <v>35</v>
      </c>
      <c r="E1453" s="5" t="s">
        <v>76</v>
      </c>
      <c r="F1453" s="5" t="s">
        <v>77</v>
      </c>
      <c r="G1453" s="5" t="s">
        <v>78</v>
      </c>
      <c r="H1453" s="5" t="s">
        <v>80</v>
      </c>
      <c r="I1453" s="5" t="s">
        <v>81</v>
      </c>
      <c r="J1453" s="5" t="s">
        <v>41</v>
      </c>
      <c r="K1453">
        <v>58</v>
      </c>
      <c r="L1453">
        <v>546424</v>
      </c>
      <c r="M1453" s="26">
        <v>31692592</v>
      </c>
      <c r="N1453">
        <v>42961</v>
      </c>
      <c r="O1453" s="26">
        <v>2813555.3</v>
      </c>
      <c r="P1453" s="5" t="s">
        <v>42</v>
      </c>
      <c r="Q1453" s="5" t="s">
        <v>51</v>
      </c>
      <c r="R1453">
        <v>3.7</v>
      </c>
      <c r="S1453">
        <v>4</v>
      </c>
      <c r="T1453">
        <f t="shared" si="22"/>
        <v>1</v>
      </c>
    </row>
    <row r="1454" spans="1:20">
      <c r="A1454" s="4">
        <v>45094</v>
      </c>
      <c r="B1454">
        <v>2023</v>
      </c>
      <c r="C1454">
        <v>6</v>
      </c>
      <c r="D1454" s="5" t="s">
        <v>44</v>
      </c>
      <c r="E1454" s="5" t="s">
        <v>45</v>
      </c>
      <c r="F1454" s="5" t="s">
        <v>46</v>
      </c>
      <c r="G1454" s="5" t="s">
        <v>47</v>
      </c>
      <c r="H1454" s="5" t="s">
        <v>39</v>
      </c>
      <c r="I1454" s="5" t="s">
        <v>40</v>
      </c>
      <c r="J1454" s="5" t="s">
        <v>41</v>
      </c>
      <c r="K1454">
        <v>33</v>
      </c>
      <c r="L1454">
        <v>590145</v>
      </c>
      <c r="M1454" s="26">
        <v>19474785</v>
      </c>
      <c r="N1454">
        <v>33720</v>
      </c>
      <c r="O1454" s="26">
        <v>2762530.41</v>
      </c>
      <c r="P1454" s="5" t="s">
        <v>50</v>
      </c>
      <c r="Q1454" s="5" t="s">
        <v>51</v>
      </c>
      <c r="R1454">
        <v>4.7</v>
      </c>
      <c r="S1454">
        <v>8</v>
      </c>
      <c r="T1454">
        <f t="shared" si="22"/>
        <v>0</v>
      </c>
    </row>
    <row r="1455" spans="1:20">
      <c r="A1455" s="4">
        <v>45093</v>
      </c>
      <c r="B1455">
        <v>2023</v>
      </c>
      <c r="C1455">
        <v>6</v>
      </c>
      <c r="D1455" s="5" t="s">
        <v>44</v>
      </c>
      <c r="E1455" s="5" t="s">
        <v>45</v>
      </c>
      <c r="F1455" s="5" t="s">
        <v>46</v>
      </c>
      <c r="G1455" s="5" t="s">
        <v>47</v>
      </c>
      <c r="H1455" s="5" t="s">
        <v>74</v>
      </c>
      <c r="I1455" s="5" t="s">
        <v>40</v>
      </c>
      <c r="J1455" s="5" t="s">
        <v>49</v>
      </c>
      <c r="K1455">
        <v>47</v>
      </c>
      <c r="L1455">
        <v>620439</v>
      </c>
      <c r="M1455" s="26">
        <v>29160633</v>
      </c>
      <c r="N1455">
        <v>16384</v>
      </c>
      <c r="O1455" s="26">
        <v>3471316.12</v>
      </c>
      <c r="P1455" s="5" t="s">
        <v>42</v>
      </c>
      <c r="Q1455" s="5" t="s">
        <v>51</v>
      </c>
      <c r="R1455">
        <v>4.4000000000000004</v>
      </c>
      <c r="S1455">
        <v>21</v>
      </c>
      <c r="T1455">
        <f t="shared" si="22"/>
        <v>1</v>
      </c>
    </row>
    <row r="1456" spans="1:20">
      <c r="A1456" s="4">
        <v>45100</v>
      </c>
      <c r="B1456">
        <v>2023</v>
      </c>
      <c r="C1456">
        <v>6</v>
      </c>
      <c r="D1456" s="5" t="s">
        <v>44</v>
      </c>
      <c r="E1456" s="5" t="s">
        <v>82</v>
      </c>
      <c r="F1456" s="5" t="s">
        <v>83</v>
      </c>
      <c r="G1456" s="5" t="s">
        <v>84</v>
      </c>
      <c r="H1456" s="5" t="s">
        <v>79</v>
      </c>
      <c r="I1456" s="5" t="s">
        <v>58</v>
      </c>
      <c r="J1456" s="5" t="s">
        <v>49</v>
      </c>
      <c r="K1456">
        <v>49</v>
      </c>
      <c r="L1456">
        <v>909775</v>
      </c>
      <c r="M1456" s="26">
        <v>44578975</v>
      </c>
      <c r="N1456">
        <v>24465</v>
      </c>
      <c r="O1456" s="26">
        <v>6712385.0700000003</v>
      </c>
      <c r="P1456" s="5" t="s">
        <v>50</v>
      </c>
      <c r="Q1456" s="5" t="s">
        <v>51</v>
      </c>
      <c r="R1456">
        <v>4.0999999999999996</v>
      </c>
      <c r="S1456">
        <v>17</v>
      </c>
      <c r="T1456">
        <f t="shared" si="22"/>
        <v>0</v>
      </c>
    </row>
    <row r="1457" spans="1:20">
      <c r="A1457" s="4">
        <v>45100</v>
      </c>
      <c r="B1457">
        <v>2023</v>
      </c>
      <c r="C1457">
        <v>6</v>
      </c>
      <c r="D1457" s="5" t="s">
        <v>44</v>
      </c>
      <c r="E1457" s="5" t="s">
        <v>82</v>
      </c>
      <c r="F1457" s="5" t="s">
        <v>83</v>
      </c>
      <c r="G1457" s="5" t="s">
        <v>84</v>
      </c>
      <c r="H1457" s="5" t="s">
        <v>85</v>
      </c>
      <c r="I1457" s="5" t="s">
        <v>58</v>
      </c>
      <c r="J1457" s="5" t="s">
        <v>49</v>
      </c>
      <c r="K1457">
        <v>56</v>
      </c>
      <c r="L1457">
        <v>983234</v>
      </c>
      <c r="M1457" s="26">
        <v>55061104</v>
      </c>
      <c r="N1457">
        <v>25892</v>
      </c>
      <c r="O1457" s="26">
        <v>5947938.75</v>
      </c>
      <c r="P1457" s="5" t="s">
        <v>50</v>
      </c>
      <c r="Q1457" s="5" t="s">
        <v>75</v>
      </c>
      <c r="R1457">
        <v>4.9000000000000004</v>
      </c>
      <c r="S1457">
        <v>13</v>
      </c>
      <c r="T1457">
        <f t="shared" si="22"/>
        <v>0</v>
      </c>
    </row>
    <row r="1458" spans="1:20">
      <c r="A1458" s="4">
        <v>45085</v>
      </c>
      <c r="B1458">
        <v>2023</v>
      </c>
      <c r="C1458">
        <v>6</v>
      </c>
      <c r="D1458" s="5" t="s">
        <v>44</v>
      </c>
      <c r="E1458" s="5" t="s">
        <v>82</v>
      </c>
      <c r="F1458" s="5" t="s">
        <v>83</v>
      </c>
      <c r="G1458" s="5" t="s">
        <v>84</v>
      </c>
      <c r="H1458" s="5" t="s">
        <v>48</v>
      </c>
      <c r="I1458" s="5" t="s">
        <v>40</v>
      </c>
      <c r="J1458" s="5" t="s">
        <v>49</v>
      </c>
      <c r="K1458">
        <v>56</v>
      </c>
      <c r="L1458">
        <v>445504</v>
      </c>
      <c r="M1458" s="26">
        <v>24948224</v>
      </c>
      <c r="N1458">
        <v>20198</v>
      </c>
      <c r="O1458" s="26">
        <v>3948812.5</v>
      </c>
      <c r="P1458" s="5" t="s">
        <v>42</v>
      </c>
      <c r="Q1458" s="5" t="s">
        <v>75</v>
      </c>
      <c r="R1458">
        <v>3.6</v>
      </c>
      <c r="S1458">
        <v>20</v>
      </c>
      <c r="T1458">
        <f t="shared" si="22"/>
        <v>1</v>
      </c>
    </row>
    <row r="1459" spans="1:20">
      <c r="A1459" s="4">
        <v>45088</v>
      </c>
      <c r="B1459">
        <v>2023</v>
      </c>
      <c r="C1459">
        <v>6</v>
      </c>
      <c r="D1459" s="5" t="s">
        <v>44</v>
      </c>
      <c r="E1459" s="5" t="s">
        <v>45</v>
      </c>
      <c r="F1459" s="5" t="s">
        <v>46</v>
      </c>
      <c r="G1459" s="5" t="s">
        <v>47</v>
      </c>
      <c r="H1459" s="5" t="s">
        <v>65</v>
      </c>
      <c r="I1459" s="5" t="s">
        <v>53</v>
      </c>
      <c r="J1459" s="5" t="s">
        <v>49</v>
      </c>
      <c r="K1459">
        <v>33</v>
      </c>
      <c r="L1459">
        <v>1231583</v>
      </c>
      <c r="M1459" s="26">
        <v>40642239</v>
      </c>
      <c r="N1459">
        <v>13415</v>
      </c>
      <c r="O1459" s="26">
        <v>3317046.57</v>
      </c>
      <c r="P1459" s="5" t="s">
        <v>50</v>
      </c>
      <c r="Q1459" s="5" t="s">
        <v>75</v>
      </c>
      <c r="R1459">
        <v>5</v>
      </c>
      <c r="S1459">
        <v>4</v>
      </c>
      <c r="T1459">
        <f t="shared" si="22"/>
        <v>0</v>
      </c>
    </row>
    <row r="1460" spans="1:20">
      <c r="A1460" s="4">
        <v>45086</v>
      </c>
      <c r="B1460">
        <v>2023</v>
      </c>
      <c r="C1460">
        <v>6</v>
      </c>
      <c r="D1460" s="5" t="s">
        <v>35</v>
      </c>
      <c r="E1460" s="5" t="s">
        <v>76</v>
      </c>
      <c r="F1460" s="5" t="s">
        <v>77</v>
      </c>
      <c r="G1460" s="5" t="s">
        <v>78</v>
      </c>
      <c r="H1460" s="5" t="s">
        <v>57</v>
      </c>
      <c r="I1460" s="5" t="s">
        <v>58</v>
      </c>
      <c r="J1460" s="5" t="s">
        <v>59</v>
      </c>
      <c r="K1460">
        <v>43</v>
      </c>
      <c r="L1460">
        <v>1373879</v>
      </c>
      <c r="M1460" s="26">
        <v>59076797</v>
      </c>
      <c r="N1460">
        <v>16827</v>
      </c>
      <c r="O1460" s="26">
        <v>7634463.6600000001</v>
      </c>
      <c r="P1460" s="5" t="s">
        <v>50</v>
      </c>
      <c r="Q1460" s="5" t="s">
        <v>43</v>
      </c>
      <c r="R1460">
        <v>4.5</v>
      </c>
      <c r="S1460">
        <v>17</v>
      </c>
      <c r="T1460">
        <f t="shared" si="22"/>
        <v>0</v>
      </c>
    </row>
    <row r="1461" spans="1:20">
      <c r="A1461" s="4">
        <v>45096</v>
      </c>
      <c r="B1461">
        <v>2023</v>
      </c>
      <c r="C1461">
        <v>6</v>
      </c>
      <c r="D1461" s="5" t="s">
        <v>54</v>
      </c>
      <c r="E1461" s="5" t="s">
        <v>70</v>
      </c>
      <c r="F1461" s="5" t="s">
        <v>71</v>
      </c>
      <c r="G1461" s="5" t="s">
        <v>72</v>
      </c>
      <c r="H1461" s="5" t="s">
        <v>52</v>
      </c>
      <c r="I1461" s="5" t="s">
        <v>53</v>
      </c>
      <c r="J1461" s="5" t="s">
        <v>41</v>
      </c>
      <c r="K1461">
        <v>9</v>
      </c>
      <c r="L1461">
        <v>957888</v>
      </c>
      <c r="M1461" s="26">
        <v>8620992</v>
      </c>
      <c r="N1461">
        <v>28691</v>
      </c>
      <c r="O1461" s="26">
        <v>879125.98</v>
      </c>
      <c r="P1461" s="5" t="s">
        <v>50</v>
      </c>
      <c r="Q1461" s="5" t="s">
        <v>43</v>
      </c>
      <c r="R1461">
        <v>3.6</v>
      </c>
      <c r="S1461">
        <v>9</v>
      </c>
      <c r="T1461">
        <f t="shared" si="22"/>
        <v>0</v>
      </c>
    </row>
    <row r="1462" spans="1:20">
      <c r="A1462" s="4">
        <v>45089</v>
      </c>
      <c r="B1462">
        <v>2023</v>
      </c>
      <c r="C1462">
        <v>6</v>
      </c>
      <c r="D1462" s="5" t="s">
        <v>44</v>
      </c>
      <c r="E1462" s="5" t="s">
        <v>45</v>
      </c>
      <c r="F1462" s="5" t="s">
        <v>46</v>
      </c>
      <c r="G1462" s="5" t="s">
        <v>47</v>
      </c>
      <c r="H1462" s="5" t="s">
        <v>63</v>
      </c>
      <c r="I1462" s="5" t="s">
        <v>64</v>
      </c>
      <c r="J1462" s="5" t="s">
        <v>41</v>
      </c>
      <c r="K1462">
        <v>40</v>
      </c>
      <c r="L1462">
        <v>737061</v>
      </c>
      <c r="M1462" s="26">
        <v>29482440</v>
      </c>
      <c r="N1462">
        <v>37250</v>
      </c>
      <c r="O1462" s="26">
        <v>4421328.63</v>
      </c>
      <c r="P1462" s="5" t="s">
        <v>50</v>
      </c>
      <c r="Q1462" s="5" t="s">
        <v>51</v>
      </c>
      <c r="R1462">
        <v>4.0999999999999996</v>
      </c>
      <c r="S1462">
        <v>9</v>
      </c>
      <c r="T1462">
        <f t="shared" si="22"/>
        <v>0</v>
      </c>
    </row>
    <row r="1463" spans="1:20">
      <c r="A1463" s="4">
        <v>45096</v>
      </c>
      <c r="B1463">
        <v>2023</v>
      </c>
      <c r="C1463">
        <v>6</v>
      </c>
      <c r="D1463" s="5" t="s">
        <v>35</v>
      </c>
      <c r="E1463" s="5" t="s">
        <v>36</v>
      </c>
      <c r="F1463" s="5" t="s">
        <v>37</v>
      </c>
      <c r="G1463" s="5" t="s">
        <v>38</v>
      </c>
      <c r="H1463" s="5" t="s">
        <v>85</v>
      </c>
      <c r="I1463" s="5" t="s">
        <v>58</v>
      </c>
      <c r="J1463" s="5" t="s">
        <v>49</v>
      </c>
      <c r="K1463">
        <v>34</v>
      </c>
      <c r="L1463">
        <v>1004114</v>
      </c>
      <c r="M1463" s="26">
        <v>34139876</v>
      </c>
      <c r="N1463">
        <v>18544</v>
      </c>
      <c r="O1463" s="26">
        <v>2848978.58</v>
      </c>
      <c r="P1463" s="5" t="s">
        <v>50</v>
      </c>
      <c r="Q1463" s="5" t="s">
        <v>51</v>
      </c>
      <c r="R1463">
        <v>4.4000000000000004</v>
      </c>
      <c r="S1463">
        <v>9</v>
      </c>
      <c r="T1463">
        <f t="shared" si="22"/>
        <v>0</v>
      </c>
    </row>
    <row r="1464" spans="1:20">
      <c r="A1464" s="4">
        <v>45099</v>
      </c>
      <c r="B1464">
        <v>2023</v>
      </c>
      <c r="C1464">
        <v>6</v>
      </c>
      <c r="D1464" s="5" t="s">
        <v>35</v>
      </c>
      <c r="E1464" s="5" t="s">
        <v>76</v>
      </c>
      <c r="F1464" s="5" t="s">
        <v>77</v>
      </c>
      <c r="G1464" s="5" t="s">
        <v>78</v>
      </c>
      <c r="H1464" s="5" t="s">
        <v>65</v>
      </c>
      <c r="I1464" s="5" t="s">
        <v>53</v>
      </c>
      <c r="J1464" s="5" t="s">
        <v>49</v>
      </c>
      <c r="K1464">
        <v>54</v>
      </c>
      <c r="L1464">
        <v>1252784</v>
      </c>
      <c r="M1464" s="26">
        <v>67650336</v>
      </c>
      <c r="N1464">
        <v>14364</v>
      </c>
      <c r="O1464" s="26">
        <v>6436339.4800000004</v>
      </c>
      <c r="P1464" s="5" t="s">
        <v>50</v>
      </c>
      <c r="Q1464" s="5" t="s">
        <v>43</v>
      </c>
      <c r="R1464">
        <v>3.6</v>
      </c>
      <c r="S1464">
        <v>19</v>
      </c>
      <c r="T1464">
        <f t="shared" si="22"/>
        <v>0</v>
      </c>
    </row>
    <row r="1465" spans="1:20">
      <c r="A1465" s="4">
        <v>45086</v>
      </c>
      <c r="B1465">
        <v>2023</v>
      </c>
      <c r="C1465">
        <v>6</v>
      </c>
      <c r="D1465" s="5" t="s">
        <v>54</v>
      </c>
      <c r="E1465" s="5" t="s">
        <v>70</v>
      </c>
      <c r="F1465" s="5" t="s">
        <v>71</v>
      </c>
      <c r="G1465" s="5" t="s">
        <v>72</v>
      </c>
      <c r="H1465" s="5" t="s">
        <v>57</v>
      </c>
      <c r="I1465" s="5" t="s">
        <v>58</v>
      </c>
      <c r="J1465" s="5" t="s">
        <v>59</v>
      </c>
      <c r="K1465">
        <v>58</v>
      </c>
      <c r="L1465">
        <v>1370068</v>
      </c>
      <c r="M1465" s="26">
        <v>79463944</v>
      </c>
      <c r="N1465">
        <v>5769</v>
      </c>
      <c r="O1465" s="26">
        <v>11152880.039999999</v>
      </c>
      <c r="P1465" s="5" t="s">
        <v>50</v>
      </c>
      <c r="Q1465" s="5" t="s">
        <v>51</v>
      </c>
      <c r="R1465">
        <v>3.7</v>
      </c>
      <c r="S1465">
        <v>8</v>
      </c>
      <c r="T1465">
        <f t="shared" si="22"/>
        <v>0</v>
      </c>
    </row>
    <row r="1466" spans="1:20">
      <c r="A1466" s="4">
        <v>45097</v>
      </c>
      <c r="B1466">
        <v>2023</v>
      </c>
      <c r="C1466">
        <v>6</v>
      </c>
      <c r="D1466" s="5" t="s">
        <v>44</v>
      </c>
      <c r="E1466" s="5" t="s">
        <v>82</v>
      </c>
      <c r="F1466" s="5" t="s">
        <v>83</v>
      </c>
      <c r="G1466" s="5" t="s">
        <v>84</v>
      </c>
      <c r="H1466" s="5" t="s">
        <v>79</v>
      </c>
      <c r="I1466" s="5" t="s">
        <v>58</v>
      </c>
      <c r="J1466" s="5" t="s">
        <v>49</v>
      </c>
      <c r="K1466">
        <v>60</v>
      </c>
      <c r="L1466">
        <v>903297</v>
      </c>
      <c r="M1466" s="26">
        <v>54197820</v>
      </c>
      <c r="N1466">
        <v>25395</v>
      </c>
      <c r="O1466" s="26">
        <v>7331638.4800000004</v>
      </c>
      <c r="P1466" s="5" t="s">
        <v>50</v>
      </c>
      <c r="Q1466" s="5" t="s">
        <v>43</v>
      </c>
      <c r="R1466">
        <v>4.0999999999999996</v>
      </c>
      <c r="S1466">
        <v>16</v>
      </c>
      <c r="T1466">
        <f t="shared" si="22"/>
        <v>0</v>
      </c>
    </row>
    <row r="1467" spans="1:20">
      <c r="A1467" s="4">
        <v>45086</v>
      </c>
      <c r="B1467">
        <v>2023</v>
      </c>
      <c r="C1467">
        <v>6</v>
      </c>
      <c r="D1467" s="5" t="s">
        <v>44</v>
      </c>
      <c r="E1467" s="5" t="s">
        <v>82</v>
      </c>
      <c r="F1467" s="5" t="s">
        <v>83</v>
      </c>
      <c r="G1467" s="5" t="s">
        <v>84</v>
      </c>
      <c r="H1467" s="5" t="s">
        <v>65</v>
      </c>
      <c r="I1467" s="5" t="s">
        <v>53</v>
      </c>
      <c r="J1467" s="5" t="s">
        <v>49</v>
      </c>
      <c r="K1467">
        <v>49</v>
      </c>
      <c r="L1467">
        <v>1267619</v>
      </c>
      <c r="M1467" s="26">
        <v>62113331</v>
      </c>
      <c r="N1467">
        <v>13570</v>
      </c>
      <c r="O1467" s="26">
        <v>9670238.2899999991</v>
      </c>
      <c r="P1467" s="5" t="s">
        <v>50</v>
      </c>
      <c r="Q1467" s="5" t="s">
        <v>43</v>
      </c>
      <c r="R1467">
        <v>3.8</v>
      </c>
      <c r="S1467">
        <v>14</v>
      </c>
      <c r="T1467">
        <f t="shared" si="22"/>
        <v>0</v>
      </c>
    </row>
    <row r="1468" spans="1:20">
      <c r="A1468" s="4">
        <v>45083</v>
      </c>
      <c r="B1468">
        <v>2023</v>
      </c>
      <c r="C1468">
        <v>6</v>
      </c>
      <c r="D1468" s="5" t="s">
        <v>44</v>
      </c>
      <c r="E1468" s="5" t="s">
        <v>82</v>
      </c>
      <c r="F1468" s="5" t="s">
        <v>83</v>
      </c>
      <c r="G1468" s="5" t="s">
        <v>84</v>
      </c>
      <c r="H1468" s="5" t="s">
        <v>73</v>
      </c>
      <c r="I1468" s="5" t="s">
        <v>40</v>
      </c>
      <c r="J1468" s="5" t="s">
        <v>49</v>
      </c>
      <c r="K1468">
        <v>17</v>
      </c>
      <c r="L1468">
        <v>701965</v>
      </c>
      <c r="M1468" s="26">
        <v>11933405</v>
      </c>
      <c r="N1468">
        <v>26542</v>
      </c>
      <c r="O1468" s="26">
        <v>1037993.24</v>
      </c>
      <c r="P1468" s="5" t="s">
        <v>50</v>
      </c>
      <c r="Q1468" s="5" t="s">
        <v>75</v>
      </c>
      <c r="R1468">
        <v>3.7</v>
      </c>
      <c r="S1468">
        <v>11</v>
      </c>
      <c r="T1468">
        <f t="shared" si="22"/>
        <v>0</v>
      </c>
    </row>
    <row r="1469" spans="1:20">
      <c r="A1469" s="4">
        <v>45084</v>
      </c>
      <c r="B1469">
        <v>2023</v>
      </c>
      <c r="C1469">
        <v>6</v>
      </c>
      <c r="D1469" s="5" t="s">
        <v>54</v>
      </c>
      <c r="E1469" s="5" t="s">
        <v>70</v>
      </c>
      <c r="F1469" s="5" t="s">
        <v>71</v>
      </c>
      <c r="G1469" s="5" t="s">
        <v>72</v>
      </c>
      <c r="H1469" s="5" t="s">
        <v>73</v>
      </c>
      <c r="I1469" s="5" t="s">
        <v>40</v>
      </c>
      <c r="J1469" s="5" t="s">
        <v>49</v>
      </c>
      <c r="K1469">
        <v>10</v>
      </c>
      <c r="L1469">
        <v>746405</v>
      </c>
      <c r="M1469" s="26">
        <v>7464050</v>
      </c>
      <c r="N1469">
        <v>25524</v>
      </c>
      <c r="O1469" s="26">
        <v>1189012.92</v>
      </c>
      <c r="P1469" s="5" t="s">
        <v>50</v>
      </c>
      <c r="Q1469" s="5" t="s">
        <v>51</v>
      </c>
      <c r="R1469">
        <v>4</v>
      </c>
      <c r="S1469">
        <v>2</v>
      </c>
      <c r="T1469">
        <f t="shared" si="22"/>
        <v>0</v>
      </c>
    </row>
    <row r="1470" spans="1:20">
      <c r="A1470" s="4">
        <v>45097</v>
      </c>
      <c r="B1470">
        <v>2023</v>
      </c>
      <c r="C1470">
        <v>6</v>
      </c>
      <c r="D1470" s="5" t="s">
        <v>66</v>
      </c>
      <c r="E1470" s="5" t="s">
        <v>67</v>
      </c>
      <c r="F1470" s="5" t="s">
        <v>68</v>
      </c>
      <c r="G1470" s="5" t="s">
        <v>69</v>
      </c>
      <c r="H1470" s="5" t="s">
        <v>63</v>
      </c>
      <c r="I1470" s="5" t="s">
        <v>64</v>
      </c>
      <c r="J1470" s="5" t="s">
        <v>41</v>
      </c>
      <c r="K1470">
        <v>22</v>
      </c>
      <c r="L1470">
        <v>760753</v>
      </c>
      <c r="M1470" s="26">
        <v>16736566</v>
      </c>
      <c r="N1470">
        <v>14569</v>
      </c>
      <c r="O1470" s="26">
        <v>2280612.29</v>
      </c>
      <c r="P1470" s="5" t="s">
        <v>42</v>
      </c>
      <c r="Q1470" s="5" t="s">
        <v>43</v>
      </c>
      <c r="R1470">
        <v>5</v>
      </c>
      <c r="S1470">
        <v>2</v>
      </c>
      <c r="T1470">
        <f t="shared" si="22"/>
        <v>1</v>
      </c>
    </row>
    <row r="1471" spans="1:20">
      <c r="A1471" s="4">
        <v>45083</v>
      </c>
      <c r="B1471">
        <v>2023</v>
      </c>
      <c r="C1471">
        <v>6</v>
      </c>
      <c r="D1471" s="5" t="s">
        <v>35</v>
      </c>
      <c r="E1471" s="5" t="s">
        <v>76</v>
      </c>
      <c r="F1471" s="5" t="s">
        <v>77</v>
      </c>
      <c r="G1471" s="5" t="s">
        <v>78</v>
      </c>
      <c r="H1471" s="5" t="s">
        <v>73</v>
      </c>
      <c r="I1471" s="5" t="s">
        <v>40</v>
      </c>
      <c r="J1471" s="5" t="s">
        <v>49</v>
      </c>
      <c r="K1471">
        <v>37</v>
      </c>
      <c r="L1471">
        <v>734189</v>
      </c>
      <c r="M1471" s="26">
        <v>27164993</v>
      </c>
      <c r="N1471">
        <v>23263</v>
      </c>
      <c r="O1471" s="26">
        <v>3161414.69</v>
      </c>
      <c r="P1471" s="5" t="s">
        <v>42</v>
      </c>
      <c r="Q1471" s="5" t="s">
        <v>75</v>
      </c>
      <c r="R1471">
        <v>3.7</v>
      </c>
      <c r="S1471">
        <v>6</v>
      </c>
      <c r="T1471">
        <f t="shared" si="22"/>
        <v>1</v>
      </c>
    </row>
    <row r="1472" spans="1:20">
      <c r="A1472" s="4">
        <v>45083</v>
      </c>
      <c r="B1472">
        <v>2023</v>
      </c>
      <c r="C1472">
        <v>6</v>
      </c>
      <c r="D1472" s="5" t="s">
        <v>54</v>
      </c>
      <c r="E1472" s="5" t="s">
        <v>70</v>
      </c>
      <c r="F1472" s="5" t="s">
        <v>71</v>
      </c>
      <c r="G1472" s="5" t="s">
        <v>72</v>
      </c>
      <c r="H1472" s="5" t="s">
        <v>85</v>
      </c>
      <c r="I1472" s="5" t="s">
        <v>58</v>
      </c>
      <c r="J1472" s="5" t="s">
        <v>49</v>
      </c>
      <c r="K1472">
        <v>24</v>
      </c>
      <c r="L1472">
        <v>978193</v>
      </c>
      <c r="M1472" s="26">
        <v>23476632</v>
      </c>
      <c r="N1472">
        <v>32112</v>
      </c>
      <c r="O1472" s="26">
        <v>2667562.94</v>
      </c>
      <c r="P1472" s="5" t="s">
        <v>42</v>
      </c>
      <c r="Q1472" s="5" t="s">
        <v>51</v>
      </c>
      <c r="R1472">
        <v>4.8</v>
      </c>
      <c r="S1472">
        <v>9</v>
      </c>
      <c r="T1472">
        <f t="shared" si="22"/>
        <v>1</v>
      </c>
    </row>
    <row r="1473" spans="1:20">
      <c r="A1473" s="4">
        <v>45082</v>
      </c>
      <c r="B1473">
        <v>2023</v>
      </c>
      <c r="C1473">
        <v>6</v>
      </c>
      <c r="D1473" s="5" t="s">
        <v>54</v>
      </c>
      <c r="E1473" s="5" t="s">
        <v>55</v>
      </c>
      <c r="F1473" s="5" t="s">
        <v>55</v>
      </c>
      <c r="G1473" s="5" t="s">
        <v>56</v>
      </c>
      <c r="H1473" s="5" t="s">
        <v>79</v>
      </c>
      <c r="I1473" s="5" t="s">
        <v>58</v>
      </c>
      <c r="J1473" s="5" t="s">
        <v>49</v>
      </c>
      <c r="K1473">
        <v>6</v>
      </c>
      <c r="L1473">
        <v>917677</v>
      </c>
      <c r="M1473" s="26">
        <v>5506062</v>
      </c>
      <c r="N1473">
        <v>18703</v>
      </c>
      <c r="O1473" s="26">
        <v>514105.24</v>
      </c>
      <c r="P1473" s="5" t="s">
        <v>42</v>
      </c>
      <c r="Q1473" s="5" t="s">
        <v>51</v>
      </c>
      <c r="R1473">
        <v>4.4000000000000004</v>
      </c>
      <c r="S1473">
        <v>8</v>
      </c>
      <c r="T1473">
        <f t="shared" si="22"/>
        <v>1</v>
      </c>
    </row>
    <row r="1474" spans="1:20">
      <c r="A1474" s="4">
        <v>45102</v>
      </c>
      <c r="B1474">
        <v>2023</v>
      </c>
      <c r="C1474">
        <v>6</v>
      </c>
      <c r="D1474" s="5" t="s">
        <v>44</v>
      </c>
      <c r="E1474" s="5" t="s">
        <v>82</v>
      </c>
      <c r="F1474" s="5" t="s">
        <v>83</v>
      </c>
      <c r="G1474" s="5" t="s">
        <v>84</v>
      </c>
      <c r="H1474" s="5" t="s">
        <v>48</v>
      </c>
      <c r="I1474" s="5" t="s">
        <v>40</v>
      </c>
      <c r="J1474" s="5" t="s">
        <v>49</v>
      </c>
      <c r="K1474">
        <v>40</v>
      </c>
      <c r="L1474">
        <v>472404</v>
      </c>
      <c r="M1474" s="26">
        <v>18896160</v>
      </c>
      <c r="N1474">
        <v>17138</v>
      </c>
      <c r="O1474" s="26">
        <v>2294630.16</v>
      </c>
      <c r="P1474" s="5" t="s">
        <v>42</v>
      </c>
      <c r="Q1474" s="5" t="s">
        <v>75</v>
      </c>
      <c r="R1474">
        <v>4.5999999999999996</v>
      </c>
      <c r="S1474">
        <v>18</v>
      </c>
      <c r="T1474">
        <f t="shared" ref="T1474:T1537" si="23">IF(AND(OR($B1474=Sel_Year,Sel_Year="All"),OR($C1474=Sel_Month,Sel_Month="All"),OR($D1474=Sel_Region,Sel_Region="All"),OR($E1474=Sel_State,Sel_State="All"),OR($F1474=Sel_City,Sel_City="All"),OR($G1474=Sel_Dealer,Sel_Dealer="All"),OR($H1474=Sel_Model,Sel_Model="All"),OR($I1474=Sel_Segment,Sel_Segment="All"),OR($J1474=Sel_Fuel,Sel_Fuel="All"),OR($P1474=Sel_CustType,Sel_CustType="All"),OR($Q1474=Sel_Payment,Sel_Payment="All")),1,0)</f>
        <v>1</v>
      </c>
    </row>
    <row r="1475" spans="1:20">
      <c r="A1475" s="4">
        <v>45078</v>
      </c>
      <c r="B1475">
        <v>2023</v>
      </c>
      <c r="C1475">
        <v>6</v>
      </c>
      <c r="D1475" s="5" t="s">
        <v>44</v>
      </c>
      <c r="E1475" s="5" t="s">
        <v>45</v>
      </c>
      <c r="F1475" s="5" t="s">
        <v>46</v>
      </c>
      <c r="G1475" s="5" t="s">
        <v>47</v>
      </c>
      <c r="H1475" s="5" t="s">
        <v>74</v>
      </c>
      <c r="I1475" s="5" t="s">
        <v>40</v>
      </c>
      <c r="J1475" s="5" t="s">
        <v>49</v>
      </c>
      <c r="K1475">
        <v>56</v>
      </c>
      <c r="L1475">
        <v>654031</v>
      </c>
      <c r="M1475" s="26">
        <v>36625736</v>
      </c>
      <c r="N1475">
        <v>30525</v>
      </c>
      <c r="O1475" s="26">
        <v>3703435.29</v>
      </c>
      <c r="P1475" s="5" t="s">
        <v>50</v>
      </c>
      <c r="Q1475" s="5" t="s">
        <v>43</v>
      </c>
      <c r="R1475">
        <v>4.3</v>
      </c>
      <c r="S1475">
        <v>10</v>
      </c>
      <c r="T1475">
        <f t="shared" si="23"/>
        <v>0</v>
      </c>
    </row>
    <row r="1476" spans="1:20">
      <c r="A1476" s="4">
        <v>45094</v>
      </c>
      <c r="B1476">
        <v>2023</v>
      </c>
      <c r="C1476">
        <v>6</v>
      </c>
      <c r="D1476" s="5" t="s">
        <v>66</v>
      </c>
      <c r="E1476" s="5" t="s">
        <v>67</v>
      </c>
      <c r="F1476" s="5" t="s">
        <v>68</v>
      </c>
      <c r="G1476" s="5" t="s">
        <v>69</v>
      </c>
      <c r="H1476" s="5" t="s">
        <v>39</v>
      </c>
      <c r="I1476" s="5" t="s">
        <v>40</v>
      </c>
      <c r="J1476" s="5" t="s">
        <v>41</v>
      </c>
      <c r="K1476">
        <v>9</v>
      </c>
      <c r="L1476">
        <v>573369</v>
      </c>
      <c r="M1476" s="26">
        <v>5160321</v>
      </c>
      <c r="N1476">
        <v>8961</v>
      </c>
      <c r="O1476" s="26">
        <v>785972.62</v>
      </c>
      <c r="P1476" s="5" t="s">
        <v>42</v>
      </c>
      <c r="Q1476" s="5" t="s">
        <v>43</v>
      </c>
      <c r="R1476">
        <v>3.7</v>
      </c>
      <c r="S1476">
        <v>16</v>
      </c>
      <c r="T1476">
        <f t="shared" si="23"/>
        <v>1</v>
      </c>
    </row>
    <row r="1477" spans="1:20">
      <c r="A1477" s="4">
        <v>45080</v>
      </c>
      <c r="B1477">
        <v>2023</v>
      </c>
      <c r="C1477">
        <v>6</v>
      </c>
      <c r="D1477" s="5" t="s">
        <v>54</v>
      </c>
      <c r="E1477" s="5" t="s">
        <v>70</v>
      </c>
      <c r="F1477" s="5" t="s">
        <v>71</v>
      </c>
      <c r="G1477" s="5" t="s">
        <v>72</v>
      </c>
      <c r="H1477" s="5" t="s">
        <v>48</v>
      </c>
      <c r="I1477" s="5" t="s">
        <v>40</v>
      </c>
      <c r="J1477" s="5" t="s">
        <v>49</v>
      </c>
      <c r="K1477">
        <v>52</v>
      </c>
      <c r="L1477">
        <v>442845</v>
      </c>
      <c r="M1477" s="26">
        <v>23027940</v>
      </c>
      <c r="N1477">
        <v>47147</v>
      </c>
      <c r="O1477" s="26">
        <v>2602256.2799999998</v>
      </c>
      <c r="P1477" s="5" t="s">
        <v>50</v>
      </c>
      <c r="Q1477" s="5" t="s">
        <v>43</v>
      </c>
      <c r="R1477">
        <v>4.5</v>
      </c>
      <c r="S1477">
        <v>20</v>
      </c>
      <c r="T1477">
        <f t="shared" si="23"/>
        <v>0</v>
      </c>
    </row>
    <row r="1478" spans="1:20">
      <c r="A1478" s="4">
        <v>45094</v>
      </c>
      <c r="B1478">
        <v>2023</v>
      </c>
      <c r="C1478">
        <v>6</v>
      </c>
      <c r="D1478" s="5" t="s">
        <v>35</v>
      </c>
      <c r="E1478" s="5" t="s">
        <v>36</v>
      </c>
      <c r="F1478" s="5" t="s">
        <v>37</v>
      </c>
      <c r="G1478" s="5" t="s">
        <v>38</v>
      </c>
      <c r="H1478" s="5" t="s">
        <v>63</v>
      </c>
      <c r="I1478" s="5" t="s">
        <v>64</v>
      </c>
      <c r="J1478" s="5" t="s">
        <v>41</v>
      </c>
      <c r="K1478">
        <v>19</v>
      </c>
      <c r="L1478">
        <v>776634</v>
      </c>
      <c r="M1478" s="26">
        <v>14756046</v>
      </c>
      <c r="N1478">
        <v>13349</v>
      </c>
      <c r="O1478" s="26">
        <v>1361540.27</v>
      </c>
      <c r="P1478" s="5" t="s">
        <v>42</v>
      </c>
      <c r="Q1478" s="5" t="s">
        <v>51</v>
      </c>
      <c r="R1478">
        <v>4.4000000000000004</v>
      </c>
      <c r="S1478">
        <v>2</v>
      </c>
      <c r="T1478">
        <f t="shared" si="23"/>
        <v>1</v>
      </c>
    </row>
    <row r="1479" spans="1:20">
      <c r="A1479" s="4">
        <v>45086</v>
      </c>
      <c r="B1479">
        <v>2023</v>
      </c>
      <c r="C1479">
        <v>6</v>
      </c>
      <c r="D1479" s="5" t="s">
        <v>35</v>
      </c>
      <c r="E1479" s="5" t="s">
        <v>76</v>
      </c>
      <c r="F1479" s="5" t="s">
        <v>77</v>
      </c>
      <c r="G1479" s="5" t="s">
        <v>78</v>
      </c>
      <c r="H1479" s="5" t="s">
        <v>79</v>
      </c>
      <c r="I1479" s="5" t="s">
        <v>58</v>
      </c>
      <c r="J1479" s="5" t="s">
        <v>49</v>
      </c>
      <c r="K1479">
        <v>15</v>
      </c>
      <c r="L1479">
        <v>902558</v>
      </c>
      <c r="M1479" s="26">
        <v>13538370</v>
      </c>
      <c r="N1479">
        <v>11146</v>
      </c>
      <c r="O1479" s="26">
        <v>1738422.15</v>
      </c>
      <c r="P1479" s="5" t="s">
        <v>42</v>
      </c>
      <c r="Q1479" s="5" t="s">
        <v>75</v>
      </c>
      <c r="R1479">
        <v>4.5</v>
      </c>
      <c r="S1479">
        <v>4</v>
      </c>
      <c r="T1479">
        <f t="shared" si="23"/>
        <v>1</v>
      </c>
    </row>
    <row r="1480" spans="1:20">
      <c r="A1480" s="4">
        <v>45092</v>
      </c>
      <c r="B1480">
        <v>2023</v>
      </c>
      <c r="C1480">
        <v>6</v>
      </c>
      <c r="D1480" s="5" t="s">
        <v>66</v>
      </c>
      <c r="E1480" s="5" t="s">
        <v>67</v>
      </c>
      <c r="F1480" s="5" t="s">
        <v>68</v>
      </c>
      <c r="G1480" s="5" t="s">
        <v>69</v>
      </c>
      <c r="H1480" s="5" t="s">
        <v>79</v>
      </c>
      <c r="I1480" s="5" t="s">
        <v>58</v>
      </c>
      <c r="J1480" s="5" t="s">
        <v>49</v>
      </c>
      <c r="K1480">
        <v>32</v>
      </c>
      <c r="L1480">
        <v>926510</v>
      </c>
      <c r="M1480" s="26">
        <v>29648320</v>
      </c>
      <c r="N1480">
        <v>23760</v>
      </c>
      <c r="O1480" s="26">
        <v>3496380.87</v>
      </c>
      <c r="P1480" s="5" t="s">
        <v>42</v>
      </c>
      <c r="Q1480" s="5" t="s">
        <v>51</v>
      </c>
      <c r="R1480">
        <v>4.7</v>
      </c>
      <c r="S1480">
        <v>19</v>
      </c>
      <c r="T1480">
        <f t="shared" si="23"/>
        <v>1</v>
      </c>
    </row>
    <row r="1481" spans="1:20">
      <c r="A1481" s="4">
        <v>45084</v>
      </c>
      <c r="B1481">
        <v>2023</v>
      </c>
      <c r="C1481">
        <v>6</v>
      </c>
      <c r="D1481" s="5" t="s">
        <v>44</v>
      </c>
      <c r="E1481" s="5" t="s">
        <v>45</v>
      </c>
      <c r="F1481" s="5" t="s">
        <v>46</v>
      </c>
      <c r="G1481" s="5" t="s">
        <v>47</v>
      </c>
      <c r="H1481" s="5" t="s">
        <v>52</v>
      </c>
      <c r="I1481" s="5" t="s">
        <v>53</v>
      </c>
      <c r="J1481" s="5" t="s">
        <v>41</v>
      </c>
      <c r="K1481">
        <v>7</v>
      </c>
      <c r="L1481">
        <v>976199</v>
      </c>
      <c r="M1481" s="26">
        <v>6833393</v>
      </c>
      <c r="N1481">
        <v>36869</v>
      </c>
      <c r="O1481" s="26">
        <v>675413.82</v>
      </c>
      <c r="P1481" s="5" t="s">
        <v>50</v>
      </c>
      <c r="Q1481" s="5" t="s">
        <v>43</v>
      </c>
      <c r="R1481">
        <v>4.0999999999999996</v>
      </c>
      <c r="S1481">
        <v>21</v>
      </c>
      <c r="T1481">
        <f t="shared" si="23"/>
        <v>0</v>
      </c>
    </row>
    <row r="1482" spans="1:20">
      <c r="A1482" s="4">
        <v>45079</v>
      </c>
      <c r="B1482">
        <v>2023</v>
      </c>
      <c r="C1482">
        <v>6</v>
      </c>
      <c r="D1482" s="5" t="s">
        <v>44</v>
      </c>
      <c r="E1482" s="5" t="s">
        <v>45</v>
      </c>
      <c r="F1482" s="5" t="s">
        <v>46</v>
      </c>
      <c r="G1482" s="5" t="s">
        <v>47</v>
      </c>
      <c r="H1482" s="5" t="s">
        <v>79</v>
      </c>
      <c r="I1482" s="5" t="s">
        <v>58</v>
      </c>
      <c r="J1482" s="5" t="s">
        <v>49</v>
      </c>
      <c r="K1482">
        <v>58</v>
      </c>
      <c r="L1482">
        <v>896651</v>
      </c>
      <c r="M1482" s="26">
        <v>52005758</v>
      </c>
      <c r="N1482">
        <v>17521</v>
      </c>
      <c r="O1482" s="26">
        <v>7193109.9299999997</v>
      </c>
      <c r="P1482" s="5" t="s">
        <v>50</v>
      </c>
      <c r="Q1482" s="5" t="s">
        <v>51</v>
      </c>
      <c r="R1482">
        <v>4.7</v>
      </c>
      <c r="S1482">
        <v>3</v>
      </c>
      <c r="T1482">
        <f t="shared" si="23"/>
        <v>0</v>
      </c>
    </row>
    <row r="1483" spans="1:20">
      <c r="A1483" s="4">
        <v>45098</v>
      </c>
      <c r="B1483">
        <v>2023</v>
      </c>
      <c r="C1483">
        <v>6</v>
      </c>
      <c r="D1483" s="5" t="s">
        <v>54</v>
      </c>
      <c r="E1483" s="5" t="s">
        <v>70</v>
      </c>
      <c r="F1483" s="5" t="s">
        <v>71</v>
      </c>
      <c r="G1483" s="5" t="s">
        <v>72</v>
      </c>
      <c r="H1483" s="5" t="s">
        <v>79</v>
      </c>
      <c r="I1483" s="5" t="s">
        <v>58</v>
      </c>
      <c r="J1483" s="5" t="s">
        <v>49</v>
      </c>
      <c r="K1483">
        <v>15</v>
      </c>
      <c r="L1483">
        <v>928847</v>
      </c>
      <c r="M1483" s="26">
        <v>13932705</v>
      </c>
      <c r="N1483">
        <v>10367</v>
      </c>
      <c r="O1483" s="26">
        <v>1819052.29</v>
      </c>
      <c r="P1483" s="5" t="s">
        <v>50</v>
      </c>
      <c r="Q1483" s="5" t="s">
        <v>75</v>
      </c>
      <c r="R1483">
        <v>4.7</v>
      </c>
      <c r="S1483">
        <v>14</v>
      </c>
      <c r="T1483">
        <f t="shared" si="23"/>
        <v>0</v>
      </c>
    </row>
    <row r="1484" spans="1:20">
      <c r="A1484" s="4">
        <v>45086</v>
      </c>
      <c r="B1484">
        <v>2023</v>
      </c>
      <c r="C1484">
        <v>6</v>
      </c>
      <c r="D1484" s="5" t="s">
        <v>35</v>
      </c>
      <c r="E1484" s="5" t="s">
        <v>60</v>
      </c>
      <c r="F1484" s="5" t="s">
        <v>61</v>
      </c>
      <c r="G1484" s="5" t="s">
        <v>62</v>
      </c>
      <c r="H1484" s="5" t="s">
        <v>65</v>
      </c>
      <c r="I1484" s="5" t="s">
        <v>53</v>
      </c>
      <c r="J1484" s="5" t="s">
        <v>49</v>
      </c>
      <c r="K1484">
        <v>35</v>
      </c>
      <c r="L1484">
        <v>1250286</v>
      </c>
      <c r="M1484" s="26">
        <v>43760010</v>
      </c>
      <c r="N1484">
        <v>41973</v>
      </c>
      <c r="O1484" s="26">
        <v>4794787.2699999996</v>
      </c>
      <c r="P1484" s="5" t="s">
        <v>50</v>
      </c>
      <c r="Q1484" s="5" t="s">
        <v>43</v>
      </c>
      <c r="R1484">
        <v>4.0999999999999996</v>
      </c>
      <c r="S1484">
        <v>14</v>
      </c>
      <c r="T1484">
        <f t="shared" si="23"/>
        <v>0</v>
      </c>
    </row>
    <row r="1485" spans="1:20">
      <c r="A1485" s="4">
        <v>45100</v>
      </c>
      <c r="B1485">
        <v>2023</v>
      </c>
      <c r="C1485">
        <v>6</v>
      </c>
      <c r="D1485" s="5" t="s">
        <v>66</v>
      </c>
      <c r="E1485" s="5" t="s">
        <v>67</v>
      </c>
      <c r="F1485" s="5" t="s">
        <v>68</v>
      </c>
      <c r="G1485" s="5" t="s">
        <v>69</v>
      </c>
      <c r="H1485" s="5" t="s">
        <v>57</v>
      </c>
      <c r="I1485" s="5" t="s">
        <v>58</v>
      </c>
      <c r="J1485" s="5" t="s">
        <v>59</v>
      </c>
      <c r="K1485">
        <v>46</v>
      </c>
      <c r="L1485">
        <v>1376746</v>
      </c>
      <c r="M1485" s="26">
        <v>63330316</v>
      </c>
      <c r="N1485">
        <v>46443</v>
      </c>
      <c r="O1485" s="26">
        <v>5424303.04</v>
      </c>
      <c r="P1485" s="5" t="s">
        <v>42</v>
      </c>
      <c r="Q1485" s="5" t="s">
        <v>75</v>
      </c>
      <c r="R1485">
        <v>4.4000000000000004</v>
      </c>
      <c r="S1485">
        <v>16</v>
      </c>
      <c r="T1485">
        <f t="shared" si="23"/>
        <v>1</v>
      </c>
    </row>
    <row r="1486" spans="1:20">
      <c r="A1486" s="4">
        <v>45105</v>
      </c>
      <c r="B1486">
        <v>2023</v>
      </c>
      <c r="C1486">
        <v>6</v>
      </c>
      <c r="D1486" s="5" t="s">
        <v>44</v>
      </c>
      <c r="E1486" s="5" t="s">
        <v>45</v>
      </c>
      <c r="F1486" s="5" t="s">
        <v>46</v>
      </c>
      <c r="G1486" s="5" t="s">
        <v>47</v>
      </c>
      <c r="H1486" s="5" t="s">
        <v>65</v>
      </c>
      <c r="I1486" s="5" t="s">
        <v>53</v>
      </c>
      <c r="J1486" s="5" t="s">
        <v>49</v>
      </c>
      <c r="K1486">
        <v>22</v>
      </c>
      <c r="L1486">
        <v>1258009</v>
      </c>
      <c r="M1486" s="26">
        <v>27676198</v>
      </c>
      <c r="N1486">
        <v>16423</v>
      </c>
      <c r="O1486" s="26">
        <v>2274729.9300000002</v>
      </c>
      <c r="P1486" s="5" t="s">
        <v>42</v>
      </c>
      <c r="Q1486" s="5" t="s">
        <v>75</v>
      </c>
      <c r="R1486">
        <v>5</v>
      </c>
      <c r="S1486">
        <v>8</v>
      </c>
      <c r="T1486">
        <f t="shared" si="23"/>
        <v>1</v>
      </c>
    </row>
    <row r="1487" spans="1:20">
      <c r="A1487" s="4">
        <v>45088</v>
      </c>
      <c r="B1487">
        <v>2023</v>
      </c>
      <c r="C1487">
        <v>6</v>
      </c>
      <c r="D1487" s="5" t="s">
        <v>35</v>
      </c>
      <c r="E1487" s="5" t="s">
        <v>60</v>
      </c>
      <c r="F1487" s="5" t="s">
        <v>61</v>
      </c>
      <c r="G1487" s="5" t="s">
        <v>62</v>
      </c>
      <c r="H1487" s="5" t="s">
        <v>74</v>
      </c>
      <c r="I1487" s="5" t="s">
        <v>40</v>
      </c>
      <c r="J1487" s="5" t="s">
        <v>49</v>
      </c>
      <c r="K1487">
        <v>60</v>
      </c>
      <c r="L1487">
        <v>655120</v>
      </c>
      <c r="M1487" s="26">
        <v>39307200</v>
      </c>
      <c r="N1487">
        <v>37298</v>
      </c>
      <c r="O1487" s="26">
        <v>5933074.1900000004</v>
      </c>
      <c r="P1487" s="5" t="s">
        <v>42</v>
      </c>
      <c r="Q1487" s="5" t="s">
        <v>43</v>
      </c>
      <c r="R1487">
        <v>4.2</v>
      </c>
      <c r="S1487">
        <v>13</v>
      </c>
      <c r="T1487">
        <f t="shared" si="23"/>
        <v>1</v>
      </c>
    </row>
    <row r="1488" spans="1:20">
      <c r="A1488" s="4">
        <v>45079</v>
      </c>
      <c r="B1488">
        <v>2023</v>
      </c>
      <c r="C1488">
        <v>6</v>
      </c>
      <c r="D1488" s="5" t="s">
        <v>35</v>
      </c>
      <c r="E1488" s="5" t="s">
        <v>36</v>
      </c>
      <c r="F1488" s="5" t="s">
        <v>37</v>
      </c>
      <c r="G1488" s="5" t="s">
        <v>38</v>
      </c>
      <c r="H1488" s="5" t="s">
        <v>52</v>
      </c>
      <c r="I1488" s="5" t="s">
        <v>53</v>
      </c>
      <c r="J1488" s="5" t="s">
        <v>41</v>
      </c>
      <c r="K1488">
        <v>60</v>
      </c>
      <c r="L1488">
        <v>941847</v>
      </c>
      <c r="M1488" s="26">
        <v>56510820</v>
      </c>
      <c r="N1488">
        <v>31283</v>
      </c>
      <c r="O1488" s="26">
        <v>5881028.5199999996</v>
      </c>
      <c r="P1488" s="5" t="s">
        <v>50</v>
      </c>
      <c r="Q1488" s="5" t="s">
        <v>43</v>
      </c>
      <c r="R1488">
        <v>4.5</v>
      </c>
      <c r="S1488">
        <v>18</v>
      </c>
      <c r="T1488">
        <f t="shared" si="23"/>
        <v>0</v>
      </c>
    </row>
    <row r="1489" spans="1:20">
      <c r="A1489" s="4">
        <v>45100</v>
      </c>
      <c r="B1489">
        <v>2023</v>
      </c>
      <c r="C1489">
        <v>6</v>
      </c>
      <c r="D1489" s="5" t="s">
        <v>44</v>
      </c>
      <c r="E1489" s="5" t="s">
        <v>82</v>
      </c>
      <c r="F1489" s="5" t="s">
        <v>83</v>
      </c>
      <c r="G1489" s="5" t="s">
        <v>84</v>
      </c>
      <c r="H1489" s="5" t="s">
        <v>85</v>
      </c>
      <c r="I1489" s="5" t="s">
        <v>58</v>
      </c>
      <c r="J1489" s="5" t="s">
        <v>49</v>
      </c>
      <c r="K1489">
        <v>30</v>
      </c>
      <c r="L1489">
        <v>953143</v>
      </c>
      <c r="M1489" s="26">
        <v>28594290</v>
      </c>
      <c r="N1489">
        <v>27275</v>
      </c>
      <c r="O1489" s="26">
        <v>3217425.85</v>
      </c>
      <c r="P1489" s="5" t="s">
        <v>50</v>
      </c>
      <c r="Q1489" s="5" t="s">
        <v>51</v>
      </c>
      <c r="R1489">
        <v>4.3</v>
      </c>
      <c r="S1489">
        <v>18</v>
      </c>
      <c r="T1489">
        <f t="shared" si="23"/>
        <v>0</v>
      </c>
    </row>
    <row r="1490" spans="1:20">
      <c r="A1490" s="4">
        <v>45095</v>
      </c>
      <c r="B1490">
        <v>2023</v>
      </c>
      <c r="C1490">
        <v>6</v>
      </c>
      <c r="D1490" s="5" t="s">
        <v>35</v>
      </c>
      <c r="E1490" s="5" t="s">
        <v>36</v>
      </c>
      <c r="F1490" s="5" t="s">
        <v>37</v>
      </c>
      <c r="G1490" s="5" t="s">
        <v>38</v>
      </c>
      <c r="H1490" s="5" t="s">
        <v>86</v>
      </c>
      <c r="I1490" s="5" t="s">
        <v>40</v>
      </c>
      <c r="J1490" s="5" t="s">
        <v>41</v>
      </c>
      <c r="K1490">
        <v>28</v>
      </c>
      <c r="L1490">
        <v>575201</v>
      </c>
      <c r="M1490" s="26">
        <v>16105628</v>
      </c>
      <c r="N1490">
        <v>47137</v>
      </c>
      <c r="O1490" s="26">
        <v>2574676.67</v>
      </c>
      <c r="P1490" s="5" t="s">
        <v>50</v>
      </c>
      <c r="Q1490" s="5" t="s">
        <v>43</v>
      </c>
      <c r="R1490">
        <v>4.2</v>
      </c>
      <c r="S1490">
        <v>16</v>
      </c>
      <c r="T1490">
        <f t="shared" si="23"/>
        <v>0</v>
      </c>
    </row>
    <row r="1491" spans="1:20">
      <c r="A1491" s="4">
        <v>45078</v>
      </c>
      <c r="B1491">
        <v>2023</v>
      </c>
      <c r="C1491">
        <v>6</v>
      </c>
      <c r="D1491" s="5" t="s">
        <v>66</v>
      </c>
      <c r="E1491" s="5" t="s">
        <v>67</v>
      </c>
      <c r="F1491" s="5" t="s">
        <v>68</v>
      </c>
      <c r="G1491" s="5" t="s">
        <v>69</v>
      </c>
      <c r="H1491" s="5" t="s">
        <v>57</v>
      </c>
      <c r="I1491" s="5" t="s">
        <v>58</v>
      </c>
      <c r="J1491" s="5" t="s">
        <v>59</v>
      </c>
      <c r="K1491">
        <v>45</v>
      </c>
      <c r="L1491">
        <v>1375505</v>
      </c>
      <c r="M1491" s="26">
        <v>61897725</v>
      </c>
      <c r="N1491">
        <v>40609</v>
      </c>
      <c r="O1491" s="26">
        <v>8938053.6099999994</v>
      </c>
      <c r="P1491" s="5" t="s">
        <v>50</v>
      </c>
      <c r="Q1491" s="5" t="s">
        <v>75</v>
      </c>
      <c r="R1491">
        <v>3.8</v>
      </c>
      <c r="S1491">
        <v>5</v>
      </c>
      <c r="T1491">
        <f t="shared" si="23"/>
        <v>0</v>
      </c>
    </row>
    <row r="1492" spans="1:20">
      <c r="A1492" s="4">
        <v>45104</v>
      </c>
      <c r="B1492">
        <v>2023</v>
      </c>
      <c r="C1492">
        <v>6</v>
      </c>
      <c r="D1492" s="5" t="s">
        <v>54</v>
      </c>
      <c r="E1492" s="5" t="s">
        <v>70</v>
      </c>
      <c r="F1492" s="5" t="s">
        <v>71</v>
      </c>
      <c r="G1492" s="5" t="s">
        <v>72</v>
      </c>
      <c r="H1492" s="5" t="s">
        <v>52</v>
      </c>
      <c r="I1492" s="5" t="s">
        <v>53</v>
      </c>
      <c r="J1492" s="5" t="s">
        <v>41</v>
      </c>
      <c r="K1492">
        <v>40</v>
      </c>
      <c r="L1492">
        <v>962595</v>
      </c>
      <c r="M1492" s="26">
        <v>38503800</v>
      </c>
      <c r="N1492">
        <v>44038</v>
      </c>
      <c r="O1492" s="26">
        <v>4647802.9000000004</v>
      </c>
      <c r="P1492" s="5" t="s">
        <v>42</v>
      </c>
      <c r="Q1492" s="5" t="s">
        <v>51</v>
      </c>
      <c r="R1492">
        <v>3.6</v>
      </c>
      <c r="S1492">
        <v>13</v>
      </c>
      <c r="T1492">
        <f t="shared" si="23"/>
        <v>1</v>
      </c>
    </row>
    <row r="1493" spans="1:20">
      <c r="A1493" s="4">
        <v>45094</v>
      </c>
      <c r="B1493">
        <v>2023</v>
      </c>
      <c r="C1493">
        <v>6</v>
      </c>
      <c r="D1493" s="5" t="s">
        <v>35</v>
      </c>
      <c r="E1493" s="5" t="s">
        <v>36</v>
      </c>
      <c r="F1493" s="5" t="s">
        <v>37</v>
      </c>
      <c r="G1493" s="5" t="s">
        <v>38</v>
      </c>
      <c r="H1493" s="5" t="s">
        <v>80</v>
      </c>
      <c r="I1493" s="5" t="s">
        <v>81</v>
      </c>
      <c r="J1493" s="5" t="s">
        <v>41</v>
      </c>
      <c r="K1493">
        <v>38</v>
      </c>
      <c r="L1493">
        <v>523436</v>
      </c>
      <c r="M1493" s="26">
        <v>19890568</v>
      </c>
      <c r="N1493">
        <v>9424</v>
      </c>
      <c r="O1493" s="26">
        <v>2336705.39</v>
      </c>
      <c r="P1493" s="5" t="s">
        <v>42</v>
      </c>
      <c r="Q1493" s="5" t="s">
        <v>43</v>
      </c>
      <c r="R1493">
        <v>4.4000000000000004</v>
      </c>
      <c r="S1493">
        <v>7</v>
      </c>
      <c r="T1493">
        <f t="shared" si="23"/>
        <v>1</v>
      </c>
    </row>
    <row r="1494" spans="1:20">
      <c r="A1494" s="4">
        <v>45104</v>
      </c>
      <c r="B1494">
        <v>2023</v>
      </c>
      <c r="C1494">
        <v>6</v>
      </c>
      <c r="D1494" s="5" t="s">
        <v>35</v>
      </c>
      <c r="E1494" s="5" t="s">
        <v>76</v>
      </c>
      <c r="F1494" s="5" t="s">
        <v>77</v>
      </c>
      <c r="G1494" s="5" t="s">
        <v>78</v>
      </c>
      <c r="H1494" s="5" t="s">
        <v>86</v>
      </c>
      <c r="I1494" s="5" t="s">
        <v>40</v>
      </c>
      <c r="J1494" s="5" t="s">
        <v>41</v>
      </c>
      <c r="K1494">
        <v>58</v>
      </c>
      <c r="L1494">
        <v>627375</v>
      </c>
      <c r="M1494" s="26">
        <v>36387750</v>
      </c>
      <c r="N1494">
        <v>35484</v>
      </c>
      <c r="O1494" s="26">
        <v>4188855.96</v>
      </c>
      <c r="P1494" s="5" t="s">
        <v>50</v>
      </c>
      <c r="Q1494" s="5" t="s">
        <v>43</v>
      </c>
      <c r="R1494">
        <v>4.5999999999999996</v>
      </c>
      <c r="S1494">
        <v>14</v>
      </c>
      <c r="T1494">
        <f t="shared" si="23"/>
        <v>0</v>
      </c>
    </row>
    <row r="1495" spans="1:20">
      <c r="A1495" s="4">
        <v>45091</v>
      </c>
      <c r="B1495">
        <v>2023</v>
      </c>
      <c r="C1495">
        <v>6</v>
      </c>
      <c r="D1495" s="5" t="s">
        <v>66</v>
      </c>
      <c r="E1495" s="5" t="s">
        <v>67</v>
      </c>
      <c r="F1495" s="5" t="s">
        <v>68</v>
      </c>
      <c r="G1495" s="5" t="s">
        <v>69</v>
      </c>
      <c r="H1495" s="5" t="s">
        <v>65</v>
      </c>
      <c r="I1495" s="5" t="s">
        <v>53</v>
      </c>
      <c r="J1495" s="5" t="s">
        <v>49</v>
      </c>
      <c r="K1495">
        <v>50</v>
      </c>
      <c r="L1495">
        <v>1225804</v>
      </c>
      <c r="M1495" s="26">
        <v>61290200</v>
      </c>
      <c r="N1495">
        <v>33802</v>
      </c>
      <c r="O1495" s="26">
        <v>6903569.4000000004</v>
      </c>
      <c r="P1495" s="5" t="s">
        <v>50</v>
      </c>
      <c r="Q1495" s="5" t="s">
        <v>51</v>
      </c>
      <c r="R1495">
        <v>4.9000000000000004</v>
      </c>
      <c r="S1495">
        <v>20</v>
      </c>
      <c r="T1495">
        <f t="shared" si="23"/>
        <v>0</v>
      </c>
    </row>
    <row r="1496" spans="1:20">
      <c r="A1496" s="4">
        <v>45105</v>
      </c>
      <c r="B1496">
        <v>2023</v>
      </c>
      <c r="C1496">
        <v>6</v>
      </c>
      <c r="D1496" s="5" t="s">
        <v>35</v>
      </c>
      <c r="E1496" s="5" t="s">
        <v>36</v>
      </c>
      <c r="F1496" s="5" t="s">
        <v>37</v>
      </c>
      <c r="G1496" s="5" t="s">
        <v>38</v>
      </c>
      <c r="H1496" s="5" t="s">
        <v>79</v>
      </c>
      <c r="I1496" s="5" t="s">
        <v>58</v>
      </c>
      <c r="J1496" s="5" t="s">
        <v>49</v>
      </c>
      <c r="K1496">
        <v>7</v>
      </c>
      <c r="L1496">
        <v>896810</v>
      </c>
      <c r="M1496" s="26">
        <v>6277670</v>
      </c>
      <c r="N1496">
        <v>8987</v>
      </c>
      <c r="O1496" s="26">
        <v>899031.86</v>
      </c>
      <c r="P1496" s="5" t="s">
        <v>42</v>
      </c>
      <c r="Q1496" s="5" t="s">
        <v>43</v>
      </c>
      <c r="R1496">
        <v>4.9000000000000004</v>
      </c>
      <c r="S1496">
        <v>15</v>
      </c>
      <c r="T1496">
        <f t="shared" si="23"/>
        <v>1</v>
      </c>
    </row>
    <row r="1497" spans="1:20">
      <c r="A1497" s="4">
        <v>45095</v>
      </c>
      <c r="B1497">
        <v>2023</v>
      </c>
      <c r="C1497">
        <v>6</v>
      </c>
      <c r="D1497" s="5" t="s">
        <v>54</v>
      </c>
      <c r="E1497" s="5" t="s">
        <v>55</v>
      </c>
      <c r="F1497" s="5" t="s">
        <v>55</v>
      </c>
      <c r="G1497" s="5" t="s">
        <v>56</v>
      </c>
      <c r="H1497" s="5" t="s">
        <v>48</v>
      </c>
      <c r="I1497" s="5" t="s">
        <v>40</v>
      </c>
      <c r="J1497" s="5" t="s">
        <v>49</v>
      </c>
      <c r="K1497">
        <v>8</v>
      </c>
      <c r="L1497">
        <v>446357</v>
      </c>
      <c r="M1497" s="26">
        <v>3570856</v>
      </c>
      <c r="N1497">
        <v>10145</v>
      </c>
      <c r="O1497" s="26">
        <v>450741.45</v>
      </c>
      <c r="P1497" s="5" t="s">
        <v>42</v>
      </c>
      <c r="Q1497" s="5" t="s">
        <v>43</v>
      </c>
      <c r="R1497">
        <v>3.7</v>
      </c>
      <c r="S1497">
        <v>11</v>
      </c>
      <c r="T1497">
        <f t="shared" si="23"/>
        <v>1</v>
      </c>
    </row>
    <row r="1498" spans="1:20">
      <c r="A1498" s="4">
        <v>45087</v>
      </c>
      <c r="B1498">
        <v>2023</v>
      </c>
      <c r="C1498">
        <v>6</v>
      </c>
      <c r="D1498" s="5" t="s">
        <v>44</v>
      </c>
      <c r="E1498" s="5" t="s">
        <v>82</v>
      </c>
      <c r="F1498" s="5" t="s">
        <v>83</v>
      </c>
      <c r="G1498" s="5" t="s">
        <v>84</v>
      </c>
      <c r="H1498" s="5" t="s">
        <v>63</v>
      </c>
      <c r="I1498" s="5" t="s">
        <v>64</v>
      </c>
      <c r="J1498" s="5" t="s">
        <v>41</v>
      </c>
      <c r="K1498">
        <v>19</v>
      </c>
      <c r="L1498">
        <v>730289</v>
      </c>
      <c r="M1498" s="26">
        <v>13875491</v>
      </c>
      <c r="N1498">
        <v>13197</v>
      </c>
      <c r="O1498" s="26">
        <v>2167672.0299999998</v>
      </c>
      <c r="P1498" s="5" t="s">
        <v>50</v>
      </c>
      <c r="Q1498" s="5" t="s">
        <v>51</v>
      </c>
      <c r="R1498">
        <v>4</v>
      </c>
      <c r="S1498">
        <v>6</v>
      </c>
      <c r="T1498">
        <f t="shared" si="23"/>
        <v>0</v>
      </c>
    </row>
    <row r="1499" spans="1:20">
      <c r="A1499" s="4">
        <v>45100</v>
      </c>
      <c r="B1499">
        <v>2023</v>
      </c>
      <c r="C1499">
        <v>6</v>
      </c>
      <c r="D1499" s="5" t="s">
        <v>44</v>
      </c>
      <c r="E1499" s="5" t="s">
        <v>45</v>
      </c>
      <c r="F1499" s="5" t="s">
        <v>46</v>
      </c>
      <c r="G1499" s="5" t="s">
        <v>47</v>
      </c>
      <c r="H1499" s="5" t="s">
        <v>74</v>
      </c>
      <c r="I1499" s="5" t="s">
        <v>40</v>
      </c>
      <c r="J1499" s="5" t="s">
        <v>49</v>
      </c>
      <c r="K1499">
        <v>9</v>
      </c>
      <c r="L1499">
        <v>650672</v>
      </c>
      <c r="M1499" s="26">
        <v>5856048</v>
      </c>
      <c r="N1499">
        <v>38708</v>
      </c>
      <c r="O1499" s="26">
        <v>658522.81999999995</v>
      </c>
      <c r="P1499" s="5" t="s">
        <v>50</v>
      </c>
      <c r="Q1499" s="5" t="s">
        <v>51</v>
      </c>
      <c r="R1499">
        <v>4.2</v>
      </c>
      <c r="S1499">
        <v>2</v>
      </c>
      <c r="T1499">
        <f t="shared" si="23"/>
        <v>0</v>
      </c>
    </row>
    <row r="1500" spans="1:20">
      <c r="A1500" s="4">
        <v>45089</v>
      </c>
      <c r="B1500">
        <v>2023</v>
      </c>
      <c r="C1500">
        <v>6</v>
      </c>
      <c r="D1500" s="5" t="s">
        <v>35</v>
      </c>
      <c r="E1500" s="5" t="s">
        <v>36</v>
      </c>
      <c r="F1500" s="5" t="s">
        <v>37</v>
      </c>
      <c r="G1500" s="5" t="s">
        <v>38</v>
      </c>
      <c r="H1500" s="5" t="s">
        <v>74</v>
      </c>
      <c r="I1500" s="5" t="s">
        <v>40</v>
      </c>
      <c r="J1500" s="5" t="s">
        <v>49</v>
      </c>
      <c r="K1500">
        <v>26</v>
      </c>
      <c r="L1500">
        <v>664029</v>
      </c>
      <c r="M1500" s="26">
        <v>17264754</v>
      </c>
      <c r="N1500">
        <v>30149</v>
      </c>
      <c r="O1500" s="26">
        <v>1826516.93</v>
      </c>
      <c r="P1500" s="5" t="s">
        <v>42</v>
      </c>
      <c r="Q1500" s="5" t="s">
        <v>51</v>
      </c>
      <c r="R1500">
        <v>4.3</v>
      </c>
      <c r="S1500">
        <v>21</v>
      </c>
      <c r="T1500">
        <f t="shared" si="23"/>
        <v>1</v>
      </c>
    </row>
    <row r="1501" spans="1:20">
      <c r="A1501" s="4">
        <v>45085</v>
      </c>
      <c r="B1501">
        <v>2023</v>
      </c>
      <c r="C1501">
        <v>6</v>
      </c>
      <c r="D1501" s="5" t="s">
        <v>35</v>
      </c>
      <c r="E1501" s="5" t="s">
        <v>36</v>
      </c>
      <c r="F1501" s="5" t="s">
        <v>37</v>
      </c>
      <c r="G1501" s="5" t="s">
        <v>38</v>
      </c>
      <c r="H1501" s="5" t="s">
        <v>48</v>
      </c>
      <c r="I1501" s="5" t="s">
        <v>40</v>
      </c>
      <c r="J1501" s="5" t="s">
        <v>49</v>
      </c>
      <c r="K1501">
        <v>44</v>
      </c>
      <c r="L1501">
        <v>445245</v>
      </c>
      <c r="M1501" s="26">
        <v>19590780</v>
      </c>
      <c r="N1501">
        <v>25474</v>
      </c>
      <c r="O1501" s="26">
        <v>2032049.62</v>
      </c>
      <c r="P1501" s="5" t="s">
        <v>50</v>
      </c>
      <c r="Q1501" s="5" t="s">
        <v>51</v>
      </c>
      <c r="R1501">
        <v>4.0999999999999996</v>
      </c>
      <c r="S1501">
        <v>10</v>
      </c>
      <c r="T1501">
        <f t="shared" si="23"/>
        <v>0</v>
      </c>
    </row>
    <row r="1502" spans="1:20">
      <c r="A1502" s="4">
        <v>45131</v>
      </c>
      <c r="B1502">
        <v>2023</v>
      </c>
      <c r="C1502">
        <v>7</v>
      </c>
      <c r="D1502" s="5" t="s">
        <v>44</v>
      </c>
      <c r="E1502" s="5" t="s">
        <v>45</v>
      </c>
      <c r="F1502" s="5" t="s">
        <v>46</v>
      </c>
      <c r="G1502" s="5" t="s">
        <v>47</v>
      </c>
      <c r="H1502" s="5" t="s">
        <v>86</v>
      </c>
      <c r="I1502" s="5" t="s">
        <v>40</v>
      </c>
      <c r="J1502" s="5" t="s">
        <v>41</v>
      </c>
      <c r="K1502">
        <v>38</v>
      </c>
      <c r="L1502">
        <v>621525</v>
      </c>
      <c r="M1502" s="26">
        <v>23617950</v>
      </c>
      <c r="N1502">
        <v>38044</v>
      </c>
      <c r="O1502" s="26">
        <v>2357975.6</v>
      </c>
      <c r="P1502" s="5" t="s">
        <v>42</v>
      </c>
      <c r="Q1502" s="5" t="s">
        <v>43</v>
      </c>
      <c r="R1502">
        <v>4.7</v>
      </c>
      <c r="S1502">
        <v>5</v>
      </c>
      <c r="T1502">
        <f t="shared" si="23"/>
        <v>1</v>
      </c>
    </row>
    <row r="1503" spans="1:20">
      <c r="A1503" s="4">
        <v>45126</v>
      </c>
      <c r="B1503">
        <v>2023</v>
      </c>
      <c r="C1503">
        <v>7</v>
      </c>
      <c r="D1503" s="5" t="s">
        <v>54</v>
      </c>
      <c r="E1503" s="5" t="s">
        <v>70</v>
      </c>
      <c r="F1503" s="5" t="s">
        <v>71</v>
      </c>
      <c r="G1503" s="5" t="s">
        <v>72</v>
      </c>
      <c r="H1503" s="5" t="s">
        <v>74</v>
      </c>
      <c r="I1503" s="5" t="s">
        <v>40</v>
      </c>
      <c r="J1503" s="5" t="s">
        <v>49</v>
      </c>
      <c r="K1503">
        <v>50</v>
      </c>
      <c r="L1503">
        <v>665896</v>
      </c>
      <c r="M1503" s="26">
        <v>33294800</v>
      </c>
      <c r="N1503">
        <v>5464</v>
      </c>
      <c r="O1503" s="26">
        <v>3208924.91</v>
      </c>
      <c r="P1503" s="5" t="s">
        <v>42</v>
      </c>
      <c r="Q1503" s="5" t="s">
        <v>75</v>
      </c>
      <c r="R1503">
        <v>4.5</v>
      </c>
      <c r="S1503">
        <v>17</v>
      </c>
      <c r="T1503">
        <f t="shared" si="23"/>
        <v>1</v>
      </c>
    </row>
    <row r="1504" spans="1:20">
      <c r="A1504" s="4">
        <v>45111</v>
      </c>
      <c r="B1504">
        <v>2023</v>
      </c>
      <c r="C1504">
        <v>7</v>
      </c>
      <c r="D1504" s="5" t="s">
        <v>54</v>
      </c>
      <c r="E1504" s="5" t="s">
        <v>55</v>
      </c>
      <c r="F1504" s="5" t="s">
        <v>55</v>
      </c>
      <c r="G1504" s="5" t="s">
        <v>56</v>
      </c>
      <c r="H1504" s="5" t="s">
        <v>65</v>
      </c>
      <c r="I1504" s="5" t="s">
        <v>53</v>
      </c>
      <c r="J1504" s="5" t="s">
        <v>49</v>
      </c>
      <c r="K1504">
        <v>49</v>
      </c>
      <c r="L1504">
        <v>1239627</v>
      </c>
      <c r="M1504" s="26">
        <v>60741723</v>
      </c>
      <c r="N1504">
        <v>44572</v>
      </c>
      <c r="O1504" s="26">
        <v>9572209.1199999992</v>
      </c>
      <c r="P1504" s="5" t="s">
        <v>42</v>
      </c>
      <c r="Q1504" s="5" t="s">
        <v>43</v>
      </c>
      <c r="R1504">
        <v>4</v>
      </c>
      <c r="S1504">
        <v>20</v>
      </c>
      <c r="T1504">
        <f t="shared" si="23"/>
        <v>1</v>
      </c>
    </row>
    <row r="1505" spans="1:20">
      <c r="A1505" s="4">
        <v>45121</v>
      </c>
      <c r="B1505">
        <v>2023</v>
      </c>
      <c r="C1505">
        <v>7</v>
      </c>
      <c r="D1505" s="5" t="s">
        <v>44</v>
      </c>
      <c r="E1505" s="5" t="s">
        <v>82</v>
      </c>
      <c r="F1505" s="5" t="s">
        <v>83</v>
      </c>
      <c r="G1505" s="5" t="s">
        <v>84</v>
      </c>
      <c r="H1505" s="5" t="s">
        <v>52</v>
      </c>
      <c r="I1505" s="5" t="s">
        <v>53</v>
      </c>
      <c r="J1505" s="5" t="s">
        <v>41</v>
      </c>
      <c r="K1505">
        <v>45</v>
      </c>
      <c r="L1505">
        <v>966972</v>
      </c>
      <c r="M1505" s="26">
        <v>43513740</v>
      </c>
      <c r="N1505">
        <v>40532</v>
      </c>
      <c r="O1505" s="26">
        <v>5158136.55</v>
      </c>
      <c r="P1505" s="5" t="s">
        <v>50</v>
      </c>
      <c r="Q1505" s="5" t="s">
        <v>51</v>
      </c>
      <c r="R1505">
        <v>4.9000000000000004</v>
      </c>
      <c r="S1505">
        <v>19</v>
      </c>
      <c r="T1505">
        <f t="shared" si="23"/>
        <v>0</v>
      </c>
    </row>
    <row r="1506" spans="1:20">
      <c r="A1506" s="4">
        <v>45120</v>
      </c>
      <c r="B1506">
        <v>2023</v>
      </c>
      <c r="C1506">
        <v>7</v>
      </c>
      <c r="D1506" s="5" t="s">
        <v>35</v>
      </c>
      <c r="E1506" s="5" t="s">
        <v>76</v>
      </c>
      <c r="F1506" s="5" t="s">
        <v>77</v>
      </c>
      <c r="G1506" s="5" t="s">
        <v>78</v>
      </c>
      <c r="H1506" s="5" t="s">
        <v>80</v>
      </c>
      <c r="I1506" s="5" t="s">
        <v>81</v>
      </c>
      <c r="J1506" s="5" t="s">
        <v>41</v>
      </c>
      <c r="K1506">
        <v>58</v>
      </c>
      <c r="L1506">
        <v>535507</v>
      </c>
      <c r="M1506" s="26">
        <v>31059406</v>
      </c>
      <c r="N1506">
        <v>49674</v>
      </c>
      <c r="O1506" s="26">
        <v>4642890.71</v>
      </c>
      <c r="P1506" s="5" t="s">
        <v>50</v>
      </c>
      <c r="Q1506" s="5" t="s">
        <v>75</v>
      </c>
      <c r="R1506">
        <v>3.8</v>
      </c>
      <c r="S1506">
        <v>2</v>
      </c>
      <c r="T1506">
        <f t="shared" si="23"/>
        <v>0</v>
      </c>
    </row>
    <row r="1507" spans="1:20">
      <c r="A1507" s="4">
        <v>45135</v>
      </c>
      <c r="B1507">
        <v>2023</v>
      </c>
      <c r="C1507">
        <v>7</v>
      </c>
      <c r="D1507" s="5" t="s">
        <v>44</v>
      </c>
      <c r="E1507" s="5" t="s">
        <v>82</v>
      </c>
      <c r="F1507" s="5" t="s">
        <v>83</v>
      </c>
      <c r="G1507" s="5" t="s">
        <v>84</v>
      </c>
      <c r="H1507" s="5" t="s">
        <v>80</v>
      </c>
      <c r="I1507" s="5" t="s">
        <v>81</v>
      </c>
      <c r="J1507" s="5" t="s">
        <v>41</v>
      </c>
      <c r="K1507">
        <v>56</v>
      </c>
      <c r="L1507">
        <v>529582</v>
      </c>
      <c r="M1507" s="26">
        <v>29656592</v>
      </c>
      <c r="N1507">
        <v>34981</v>
      </c>
      <c r="O1507" s="26">
        <v>3676258.06</v>
      </c>
      <c r="P1507" s="5" t="s">
        <v>50</v>
      </c>
      <c r="Q1507" s="5" t="s">
        <v>75</v>
      </c>
      <c r="R1507">
        <v>3.8</v>
      </c>
      <c r="S1507">
        <v>10</v>
      </c>
      <c r="T1507">
        <f t="shared" si="23"/>
        <v>0</v>
      </c>
    </row>
    <row r="1508" spans="1:20">
      <c r="A1508" s="4">
        <v>45130</v>
      </c>
      <c r="B1508">
        <v>2023</v>
      </c>
      <c r="C1508">
        <v>7</v>
      </c>
      <c r="D1508" s="5" t="s">
        <v>35</v>
      </c>
      <c r="E1508" s="5" t="s">
        <v>36</v>
      </c>
      <c r="F1508" s="5" t="s">
        <v>37</v>
      </c>
      <c r="G1508" s="5" t="s">
        <v>38</v>
      </c>
      <c r="H1508" s="5" t="s">
        <v>73</v>
      </c>
      <c r="I1508" s="5" t="s">
        <v>40</v>
      </c>
      <c r="J1508" s="5" t="s">
        <v>49</v>
      </c>
      <c r="K1508">
        <v>51</v>
      </c>
      <c r="L1508">
        <v>726185</v>
      </c>
      <c r="M1508" s="26">
        <v>37035435</v>
      </c>
      <c r="N1508">
        <v>24484</v>
      </c>
      <c r="O1508" s="26">
        <v>5827752.2000000002</v>
      </c>
      <c r="P1508" s="5" t="s">
        <v>50</v>
      </c>
      <c r="Q1508" s="5" t="s">
        <v>43</v>
      </c>
      <c r="R1508">
        <v>4.7</v>
      </c>
      <c r="S1508">
        <v>8</v>
      </c>
      <c r="T1508">
        <f t="shared" si="23"/>
        <v>0</v>
      </c>
    </row>
    <row r="1509" spans="1:20">
      <c r="A1509" s="4">
        <v>45114</v>
      </c>
      <c r="B1509">
        <v>2023</v>
      </c>
      <c r="C1509">
        <v>7</v>
      </c>
      <c r="D1509" s="5" t="s">
        <v>44</v>
      </c>
      <c r="E1509" s="5" t="s">
        <v>45</v>
      </c>
      <c r="F1509" s="5" t="s">
        <v>46</v>
      </c>
      <c r="G1509" s="5" t="s">
        <v>47</v>
      </c>
      <c r="H1509" s="5" t="s">
        <v>74</v>
      </c>
      <c r="I1509" s="5" t="s">
        <v>40</v>
      </c>
      <c r="J1509" s="5" t="s">
        <v>49</v>
      </c>
      <c r="K1509">
        <v>19</v>
      </c>
      <c r="L1509">
        <v>629985</v>
      </c>
      <c r="M1509" s="26">
        <v>11969715</v>
      </c>
      <c r="N1509">
        <v>8484</v>
      </c>
      <c r="O1509" s="26">
        <v>1562760.59</v>
      </c>
      <c r="P1509" s="5" t="s">
        <v>50</v>
      </c>
      <c r="Q1509" s="5" t="s">
        <v>75</v>
      </c>
      <c r="R1509">
        <v>4.8</v>
      </c>
      <c r="S1509">
        <v>4</v>
      </c>
      <c r="T1509">
        <f t="shared" si="23"/>
        <v>0</v>
      </c>
    </row>
    <row r="1510" spans="1:20">
      <c r="A1510" s="4">
        <v>45130</v>
      </c>
      <c r="B1510">
        <v>2023</v>
      </c>
      <c r="C1510">
        <v>7</v>
      </c>
      <c r="D1510" s="5" t="s">
        <v>44</v>
      </c>
      <c r="E1510" s="5" t="s">
        <v>82</v>
      </c>
      <c r="F1510" s="5" t="s">
        <v>83</v>
      </c>
      <c r="G1510" s="5" t="s">
        <v>84</v>
      </c>
      <c r="H1510" s="5" t="s">
        <v>48</v>
      </c>
      <c r="I1510" s="5" t="s">
        <v>40</v>
      </c>
      <c r="J1510" s="5" t="s">
        <v>49</v>
      </c>
      <c r="K1510">
        <v>43</v>
      </c>
      <c r="L1510">
        <v>455073</v>
      </c>
      <c r="M1510" s="26">
        <v>19568139</v>
      </c>
      <c r="N1510">
        <v>35577</v>
      </c>
      <c r="O1510" s="26">
        <v>2250448.9300000002</v>
      </c>
      <c r="P1510" s="5" t="s">
        <v>42</v>
      </c>
      <c r="Q1510" s="5" t="s">
        <v>51</v>
      </c>
      <c r="R1510">
        <v>3.7</v>
      </c>
      <c r="S1510">
        <v>12</v>
      </c>
      <c r="T1510">
        <f t="shared" si="23"/>
        <v>1</v>
      </c>
    </row>
    <row r="1511" spans="1:20">
      <c r="A1511" s="4">
        <v>45130</v>
      </c>
      <c r="B1511">
        <v>2023</v>
      </c>
      <c r="C1511">
        <v>7</v>
      </c>
      <c r="D1511" s="5" t="s">
        <v>44</v>
      </c>
      <c r="E1511" s="5" t="s">
        <v>82</v>
      </c>
      <c r="F1511" s="5" t="s">
        <v>83</v>
      </c>
      <c r="G1511" s="5" t="s">
        <v>84</v>
      </c>
      <c r="H1511" s="5" t="s">
        <v>86</v>
      </c>
      <c r="I1511" s="5" t="s">
        <v>40</v>
      </c>
      <c r="J1511" s="5" t="s">
        <v>41</v>
      </c>
      <c r="K1511">
        <v>11</v>
      </c>
      <c r="L1511">
        <v>578977</v>
      </c>
      <c r="M1511" s="26">
        <v>6368747</v>
      </c>
      <c r="N1511">
        <v>13307</v>
      </c>
      <c r="O1511" s="26">
        <v>1008447.96</v>
      </c>
      <c r="P1511" s="5" t="s">
        <v>42</v>
      </c>
      <c r="Q1511" s="5" t="s">
        <v>51</v>
      </c>
      <c r="R1511">
        <v>4.8</v>
      </c>
      <c r="S1511">
        <v>15</v>
      </c>
      <c r="T1511">
        <f t="shared" si="23"/>
        <v>1</v>
      </c>
    </row>
    <row r="1512" spans="1:20">
      <c r="A1512" s="4">
        <v>45109</v>
      </c>
      <c r="B1512">
        <v>2023</v>
      </c>
      <c r="C1512">
        <v>7</v>
      </c>
      <c r="D1512" s="5" t="s">
        <v>66</v>
      </c>
      <c r="E1512" s="5" t="s">
        <v>67</v>
      </c>
      <c r="F1512" s="5" t="s">
        <v>68</v>
      </c>
      <c r="G1512" s="5" t="s">
        <v>69</v>
      </c>
      <c r="H1512" s="5" t="s">
        <v>86</v>
      </c>
      <c r="I1512" s="5" t="s">
        <v>40</v>
      </c>
      <c r="J1512" s="5" t="s">
        <v>41</v>
      </c>
      <c r="K1512">
        <v>44</v>
      </c>
      <c r="L1512">
        <v>609697</v>
      </c>
      <c r="M1512" s="26">
        <v>26826668</v>
      </c>
      <c r="N1512">
        <v>31899</v>
      </c>
      <c r="O1512" s="26">
        <v>2515995.38</v>
      </c>
      <c r="P1512" s="5" t="s">
        <v>50</v>
      </c>
      <c r="Q1512" s="5" t="s">
        <v>43</v>
      </c>
      <c r="R1512">
        <v>4.0999999999999996</v>
      </c>
      <c r="S1512">
        <v>11</v>
      </c>
      <c r="T1512">
        <f t="shared" si="23"/>
        <v>0</v>
      </c>
    </row>
    <row r="1513" spans="1:20">
      <c r="A1513" s="4">
        <v>45126</v>
      </c>
      <c r="B1513">
        <v>2023</v>
      </c>
      <c r="C1513">
        <v>7</v>
      </c>
      <c r="D1513" s="5" t="s">
        <v>54</v>
      </c>
      <c r="E1513" s="5" t="s">
        <v>55</v>
      </c>
      <c r="F1513" s="5" t="s">
        <v>55</v>
      </c>
      <c r="G1513" s="5" t="s">
        <v>56</v>
      </c>
      <c r="H1513" s="5" t="s">
        <v>80</v>
      </c>
      <c r="I1513" s="5" t="s">
        <v>81</v>
      </c>
      <c r="J1513" s="5" t="s">
        <v>41</v>
      </c>
      <c r="K1513">
        <v>18</v>
      </c>
      <c r="L1513">
        <v>575406</v>
      </c>
      <c r="M1513" s="26">
        <v>10357308</v>
      </c>
      <c r="N1513">
        <v>8431</v>
      </c>
      <c r="O1513" s="26">
        <v>1576545.96</v>
      </c>
      <c r="P1513" s="5" t="s">
        <v>50</v>
      </c>
      <c r="Q1513" s="5" t="s">
        <v>51</v>
      </c>
      <c r="R1513">
        <v>3.8</v>
      </c>
      <c r="S1513">
        <v>14</v>
      </c>
      <c r="T1513">
        <f t="shared" si="23"/>
        <v>0</v>
      </c>
    </row>
    <row r="1514" spans="1:20">
      <c r="A1514" s="4">
        <v>45122</v>
      </c>
      <c r="B1514">
        <v>2023</v>
      </c>
      <c r="C1514">
        <v>7</v>
      </c>
      <c r="D1514" s="5" t="s">
        <v>54</v>
      </c>
      <c r="E1514" s="5" t="s">
        <v>70</v>
      </c>
      <c r="F1514" s="5" t="s">
        <v>71</v>
      </c>
      <c r="G1514" s="5" t="s">
        <v>72</v>
      </c>
      <c r="H1514" s="5" t="s">
        <v>85</v>
      </c>
      <c r="I1514" s="5" t="s">
        <v>58</v>
      </c>
      <c r="J1514" s="5" t="s">
        <v>49</v>
      </c>
      <c r="K1514">
        <v>36</v>
      </c>
      <c r="L1514">
        <v>1009968</v>
      </c>
      <c r="M1514" s="26">
        <v>36358848</v>
      </c>
      <c r="N1514">
        <v>37857</v>
      </c>
      <c r="O1514" s="26">
        <v>3610553.37</v>
      </c>
      <c r="P1514" s="5" t="s">
        <v>42</v>
      </c>
      <c r="Q1514" s="5" t="s">
        <v>51</v>
      </c>
      <c r="R1514">
        <v>4.5</v>
      </c>
      <c r="S1514">
        <v>8</v>
      </c>
      <c r="T1514">
        <f t="shared" si="23"/>
        <v>1</v>
      </c>
    </row>
    <row r="1515" spans="1:20">
      <c r="A1515" s="4">
        <v>45118</v>
      </c>
      <c r="B1515">
        <v>2023</v>
      </c>
      <c r="C1515">
        <v>7</v>
      </c>
      <c r="D1515" s="5" t="s">
        <v>35</v>
      </c>
      <c r="E1515" s="5" t="s">
        <v>36</v>
      </c>
      <c r="F1515" s="5" t="s">
        <v>37</v>
      </c>
      <c r="G1515" s="5" t="s">
        <v>38</v>
      </c>
      <c r="H1515" s="5" t="s">
        <v>39</v>
      </c>
      <c r="I1515" s="5" t="s">
        <v>40</v>
      </c>
      <c r="J1515" s="5" t="s">
        <v>41</v>
      </c>
      <c r="K1515">
        <v>13</v>
      </c>
      <c r="L1515">
        <v>585891</v>
      </c>
      <c r="M1515" s="26">
        <v>7616583</v>
      </c>
      <c r="N1515">
        <v>12458</v>
      </c>
      <c r="O1515" s="26">
        <v>875892.5</v>
      </c>
      <c r="P1515" s="5" t="s">
        <v>50</v>
      </c>
      <c r="Q1515" s="5" t="s">
        <v>75</v>
      </c>
      <c r="R1515">
        <v>4.2</v>
      </c>
      <c r="S1515">
        <v>7</v>
      </c>
      <c r="T1515">
        <f t="shared" si="23"/>
        <v>0</v>
      </c>
    </row>
    <row r="1516" spans="1:20">
      <c r="A1516" s="4">
        <v>45123</v>
      </c>
      <c r="B1516">
        <v>2023</v>
      </c>
      <c r="C1516">
        <v>7</v>
      </c>
      <c r="D1516" s="5" t="s">
        <v>66</v>
      </c>
      <c r="E1516" s="5" t="s">
        <v>67</v>
      </c>
      <c r="F1516" s="5" t="s">
        <v>68</v>
      </c>
      <c r="G1516" s="5" t="s">
        <v>69</v>
      </c>
      <c r="H1516" s="5" t="s">
        <v>63</v>
      </c>
      <c r="I1516" s="5" t="s">
        <v>64</v>
      </c>
      <c r="J1516" s="5" t="s">
        <v>41</v>
      </c>
      <c r="K1516">
        <v>27</v>
      </c>
      <c r="L1516">
        <v>755915</v>
      </c>
      <c r="M1516" s="26">
        <v>20409705</v>
      </c>
      <c r="N1516">
        <v>5170</v>
      </c>
      <c r="O1516" s="26">
        <v>2299289.4700000002</v>
      </c>
      <c r="P1516" s="5" t="s">
        <v>42</v>
      </c>
      <c r="Q1516" s="5" t="s">
        <v>75</v>
      </c>
      <c r="R1516">
        <v>4.5</v>
      </c>
      <c r="S1516">
        <v>17</v>
      </c>
      <c r="T1516">
        <f t="shared" si="23"/>
        <v>1</v>
      </c>
    </row>
    <row r="1517" spans="1:20">
      <c r="A1517" s="4">
        <v>45120</v>
      </c>
      <c r="B1517">
        <v>2023</v>
      </c>
      <c r="C1517">
        <v>7</v>
      </c>
      <c r="D1517" s="5" t="s">
        <v>44</v>
      </c>
      <c r="E1517" s="5" t="s">
        <v>82</v>
      </c>
      <c r="F1517" s="5" t="s">
        <v>83</v>
      </c>
      <c r="G1517" s="5" t="s">
        <v>84</v>
      </c>
      <c r="H1517" s="5" t="s">
        <v>73</v>
      </c>
      <c r="I1517" s="5" t="s">
        <v>40</v>
      </c>
      <c r="J1517" s="5" t="s">
        <v>49</v>
      </c>
      <c r="K1517">
        <v>15</v>
      </c>
      <c r="L1517">
        <v>720869</v>
      </c>
      <c r="M1517" s="26">
        <v>10813035</v>
      </c>
      <c r="N1517">
        <v>21462</v>
      </c>
      <c r="O1517" s="26">
        <v>935767.75</v>
      </c>
      <c r="P1517" s="5" t="s">
        <v>42</v>
      </c>
      <c r="Q1517" s="5" t="s">
        <v>75</v>
      </c>
      <c r="R1517">
        <v>3.6</v>
      </c>
      <c r="S1517">
        <v>3</v>
      </c>
      <c r="T1517">
        <f t="shared" si="23"/>
        <v>1</v>
      </c>
    </row>
    <row r="1518" spans="1:20">
      <c r="A1518" s="4">
        <v>45118</v>
      </c>
      <c r="B1518">
        <v>2023</v>
      </c>
      <c r="C1518">
        <v>7</v>
      </c>
      <c r="D1518" s="5" t="s">
        <v>35</v>
      </c>
      <c r="E1518" s="5" t="s">
        <v>76</v>
      </c>
      <c r="F1518" s="5" t="s">
        <v>77</v>
      </c>
      <c r="G1518" s="5" t="s">
        <v>78</v>
      </c>
      <c r="H1518" s="5" t="s">
        <v>57</v>
      </c>
      <c r="I1518" s="5" t="s">
        <v>58</v>
      </c>
      <c r="J1518" s="5" t="s">
        <v>59</v>
      </c>
      <c r="K1518">
        <v>10</v>
      </c>
      <c r="L1518">
        <v>1396951</v>
      </c>
      <c r="M1518" s="26">
        <v>13969510</v>
      </c>
      <c r="N1518">
        <v>17971</v>
      </c>
      <c r="O1518" s="26">
        <v>1231694.23</v>
      </c>
      <c r="P1518" s="5" t="s">
        <v>42</v>
      </c>
      <c r="Q1518" s="5" t="s">
        <v>43</v>
      </c>
      <c r="R1518">
        <v>3.6</v>
      </c>
      <c r="S1518">
        <v>15</v>
      </c>
      <c r="T1518">
        <f t="shared" si="23"/>
        <v>1</v>
      </c>
    </row>
    <row r="1519" spans="1:20">
      <c r="A1519" s="4">
        <v>45126</v>
      </c>
      <c r="B1519">
        <v>2023</v>
      </c>
      <c r="C1519">
        <v>7</v>
      </c>
      <c r="D1519" s="5" t="s">
        <v>54</v>
      </c>
      <c r="E1519" s="5" t="s">
        <v>70</v>
      </c>
      <c r="F1519" s="5" t="s">
        <v>71</v>
      </c>
      <c r="G1519" s="5" t="s">
        <v>72</v>
      </c>
      <c r="H1519" s="5" t="s">
        <v>73</v>
      </c>
      <c r="I1519" s="5" t="s">
        <v>40</v>
      </c>
      <c r="J1519" s="5" t="s">
        <v>49</v>
      </c>
      <c r="K1519">
        <v>18</v>
      </c>
      <c r="L1519">
        <v>745796</v>
      </c>
      <c r="M1519" s="26">
        <v>13424328</v>
      </c>
      <c r="N1519">
        <v>40425</v>
      </c>
      <c r="O1519" s="26">
        <v>1800729.42</v>
      </c>
      <c r="P1519" s="5" t="s">
        <v>42</v>
      </c>
      <c r="Q1519" s="5" t="s">
        <v>75</v>
      </c>
      <c r="R1519">
        <v>4.3</v>
      </c>
      <c r="S1519">
        <v>7</v>
      </c>
      <c r="T1519">
        <f t="shared" si="23"/>
        <v>1</v>
      </c>
    </row>
    <row r="1520" spans="1:20">
      <c r="A1520" s="4">
        <v>45114</v>
      </c>
      <c r="B1520">
        <v>2023</v>
      </c>
      <c r="C1520">
        <v>7</v>
      </c>
      <c r="D1520" s="5" t="s">
        <v>54</v>
      </c>
      <c r="E1520" s="5" t="s">
        <v>55</v>
      </c>
      <c r="F1520" s="5" t="s">
        <v>55</v>
      </c>
      <c r="G1520" s="5" t="s">
        <v>56</v>
      </c>
      <c r="H1520" s="5" t="s">
        <v>48</v>
      </c>
      <c r="I1520" s="5" t="s">
        <v>40</v>
      </c>
      <c r="J1520" s="5" t="s">
        <v>49</v>
      </c>
      <c r="K1520">
        <v>9</v>
      </c>
      <c r="L1520">
        <v>431414</v>
      </c>
      <c r="M1520" s="26">
        <v>3882726</v>
      </c>
      <c r="N1520">
        <v>48145</v>
      </c>
      <c r="O1520" s="26">
        <v>381004.11</v>
      </c>
      <c r="P1520" s="5" t="s">
        <v>42</v>
      </c>
      <c r="Q1520" s="5" t="s">
        <v>75</v>
      </c>
      <c r="R1520">
        <v>4.2</v>
      </c>
      <c r="S1520">
        <v>18</v>
      </c>
      <c r="T1520">
        <f t="shared" si="23"/>
        <v>1</v>
      </c>
    </row>
    <row r="1521" spans="1:20">
      <c r="A1521" s="4">
        <v>45113</v>
      </c>
      <c r="B1521">
        <v>2023</v>
      </c>
      <c r="C1521">
        <v>7</v>
      </c>
      <c r="D1521" s="5" t="s">
        <v>35</v>
      </c>
      <c r="E1521" s="5" t="s">
        <v>76</v>
      </c>
      <c r="F1521" s="5" t="s">
        <v>77</v>
      </c>
      <c r="G1521" s="5" t="s">
        <v>78</v>
      </c>
      <c r="H1521" s="5" t="s">
        <v>52</v>
      </c>
      <c r="I1521" s="5" t="s">
        <v>53</v>
      </c>
      <c r="J1521" s="5" t="s">
        <v>41</v>
      </c>
      <c r="K1521">
        <v>27</v>
      </c>
      <c r="L1521">
        <v>951255</v>
      </c>
      <c r="M1521" s="26">
        <v>25683885</v>
      </c>
      <c r="N1521">
        <v>29604</v>
      </c>
      <c r="O1521" s="26">
        <v>2169765.38</v>
      </c>
      <c r="P1521" s="5" t="s">
        <v>42</v>
      </c>
      <c r="Q1521" s="5" t="s">
        <v>75</v>
      </c>
      <c r="R1521">
        <v>4.5999999999999996</v>
      </c>
      <c r="S1521">
        <v>11</v>
      </c>
      <c r="T1521">
        <f t="shared" si="23"/>
        <v>1</v>
      </c>
    </row>
    <row r="1522" spans="1:20">
      <c r="A1522" s="4">
        <v>45128</v>
      </c>
      <c r="B1522">
        <v>2023</v>
      </c>
      <c r="C1522">
        <v>7</v>
      </c>
      <c r="D1522" s="5" t="s">
        <v>66</v>
      </c>
      <c r="E1522" s="5" t="s">
        <v>67</v>
      </c>
      <c r="F1522" s="5" t="s">
        <v>68</v>
      </c>
      <c r="G1522" s="5" t="s">
        <v>69</v>
      </c>
      <c r="H1522" s="5" t="s">
        <v>57</v>
      </c>
      <c r="I1522" s="5" t="s">
        <v>58</v>
      </c>
      <c r="J1522" s="5" t="s">
        <v>59</v>
      </c>
      <c r="K1522">
        <v>30</v>
      </c>
      <c r="L1522">
        <v>1385300</v>
      </c>
      <c r="M1522" s="26">
        <v>41559000</v>
      </c>
      <c r="N1522">
        <v>5402</v>
      </c>
      <c r="O1522" s="26">
        <v>6324780.9000000004</v>
      </c>
      <c r="P1522" s="5" t="s">
        <v>50</v>
      </c>
      <c r="Q1522" s="5" t="s">
        <v>51</v>
      </c>
      <c r="R1522">
        <v>3.7</v>
      </c>
      <c r="S1522">
        <v>2</v>
      </c>
      <c r="T1522">
        <f t="shared" si="23"/>
        <v>0</v>
      </c>
    </row>
    <row r="1523" spans="1:20">
      <c r="A1523" s="4">
        <v>45109</v>
      </c>
      <c r="B1523">
        <v>2023</v>
      </c>
      <c r="C1523">
        <v>7</v>
      </c>
      <c r="D1523" s="5" t="s">
        <v>35</v>
      </c>
      <c r="E1523" s="5" t="s">
        <v>60</v>
      </c>
      <c r="F1523" s="5" t="s">
        <v>61</v>
      </c>
      <c r="G1523" s="5" t="s">
        <v>62</v>
      </c>
      <c r="H1523" s="5" t="s">
        <v>65</v>
      </c>
      <c r="I1523" s="5" t="s">
        <v>53</v>
      </c>
      <c r="J1523" s="5" t="s">
        <v>49</v>
      </c>
      <c r="K1523">
        <v>24</v>
      </c>
      <c r="L1523">
        <v>1256783</v>
      </c>
      <c r="M1523" s="26">
        <v>30162792</v>
      </c>
      <c r="N1523">
        <v>9968</v>
      </c>
      <c r="O1523" s="26">
        <v>4304029.0999999996</v>
      </c>
      <c r="P1523" s="5" t="s">
        <v>50</v>
      </c>
      <c r="Q1523" s="5" t="s">
        <v>51</v>
      </c>
      <c r="R1523">
        <v>4.9000000000000004</v>
      </c>
      <c r="S1523">
        <v>2</v>
      </c>
      <c r="T1523">
        <f t="shared" si="23"/>
        <v>0</v>
      </c>
    </row>
    <row r="1524" spans="1:20">
      <c r="A1524" s="4">
        <v>45124</v>
      </c>
      <c r="B1524">
        <v>2023</v>
      </c>
      <c r="C1524">
        <v>7</v>
      </c>
      <c r="D1524" s="5" t="s">
        <v>44</v>
      </c>
      <c r="E1524" s="5" t="s">
        <v>45</v>
      </c>
      <c r="F1524" s="5" t="s">
        <v>46</v>
      </c>
      <c r="G1524" s="5" t="s">
        <v>47</v>
      </c>
      <c r="H1524" s="5" t="s">
        <v>73</v>
      </c>
      <c r="I1524" s="5" t="s">
        <v>40</v>
      </c>
      <c r="J1524" s="5" t="s">
        <v>49</v>
      </c>
      <c r="K1524">
        <v>9</v>
      </c>
      <c r="L1524">
        <v>742281</v>
      </c>
      <c r="M1524" s="26">
        <v>6680529</v>
      </c>
      <c r="N1524">
        <v>39428</v>
      </c>
      <c r="O1524" s="26">
        <v>928958.11</v>
      </c>
      <c r="P1524" s="5" t="s">
        <v>50</v>
      </c>
      <c r="Q1524" s="5" t="s">
        <v>43</v>
      </c>
      <c r="R1524">
        <v>4.9000000000000004</v>
      </c>
      <c r="S1524">
        <v>13</v>
      </c>
      <c r="T1524">
        <f t="shared" si="23"/>
        <v>0</v>
      </c>
    </row>
    <row r="1525" spans="1:20">
      <c r="A1525" s="4">
        <v>45135</v>
      </c>
      <c r="B1525">
        <v>2023</v>
      </c>
      <c r="C1525">
        <v>7</v>
      </c>
      <c r="D1525" s="5" t="s">
        <v>44</v>
      </c>
      <c r="E1525" s="5" t="s">
        <v>82</v>
      </c>
      <c r="F1525" s="5" t="s">
        <v>83</v>
      </c>
      <c r="G1525" s="5" t="s">
        <v>84</v>
      </c>
      <c r="H1525" s="5" t="s">
        <v>39</v>
      </c>
      <c r="I1525" s="5" t="s">
        <v>40</v>
      </c>
      <c r="J1525" s="5" t="s">
        <v>41</v>
      </c>
      <c r="K1525">
        <v>38</v>
      </c>
      <c r="L1525">
        <v>603355</v>
      </c>
      <c r="M1525" s="26">
        <v>22927490</v>
      </c>
      <c r="N1525">
        <v>16126</v>
      </c>
      <c r="O1525" s="26">
        <v>3323083.36</v>
      </c>
      <c r="P1525" s="5" t="s">
        <v>42</v>
      </c>
      <c r="Q1525" s="5" t="s">
        <v>75</v>
      </c>
      <c r="R1525">
        <v>4.5</v>
      </c>
      <c r="S1525">
        <v>2</v>
      </c>
      <c r="T1525">
        <f t="shared" si="23"/>
        <v>1</v>
      </c>
    </row>
    <row r="1526" spans="1:20">
      <c r="A1526" s="4">
        <v>45123</v>
      </c>
      <c r="B1526">
        <v>2023</v>
      </c>
      <c r="C1526">
        <v>7</v>
      </c>
      <c r="D1526" s="5" t="s">
        <v>44</v>
      </c>
      <c r="E1526" s="5" t="s">
        <v>45</v>
      </c>
      <c r="F1526" s="5" t="s">
        <v>46</v>
      </c>
      <c r="G1526" s="5" t="s">
        <v>47</v>
      </c>
      <c r="H1526" s="5" t="s">
        <v>79</v>
      </c>
      <c r="I1526" s="5" t="s">
        <v>58</v>
      </c>
      <c r="J1526" s="5" t="s">
        <v>49</v>
      </c>
      <c r="K1526">
        <v>45</v>
      </c>
      <c r="L1526">
        <v>873469</v>
      </c>
      <c r="M1526" s="26">
        <v>39306105</v>
      </c>
      <c r="N1526">
        <v>35629</v>
      </c>
      <c r="O1526" s="26">
        <v>5168466.7300000004</v>
      </c>
      <c r="P1526" s="5" t="s">
        <v>50</v>
      </c>
      <c r="Q1526" s="5" t="s">
        <v>75</v>
      </c>
      <c r="R1526">
        <v>4.9000000000000004</v>
      </c>
      <c r="S1526">
        <v>6</v>
      </c>
      <c r="T1526">
        <f t="shared" si="23"/>
        <v>0</v>
      </c>
    </row>
    <row r="1527" spans="1:20">
      <c r="A1527" s="4">
        <v>45110</v>
      </c>
      <c r="B1527">
        <v>2023</v>
      </c>
      <c r="C1527">
        <v>7</v>
      </c>
      <c r="D1527" s="5" t="s">
        <v>54</v>
      </c>
      <c r="E1527" s="5" t="s">
        <v>55</v>
      </c>
      <c r="F1527" s="5" t="s">
        <v>55</v>
      </c>
      <c r="G1527" s="5" t="s">
        <v>56</v>
      </c>
      <c r="H1527" s="5" t="s">
        <v>73</v>
      </c>
      <c r="I1527" s="5" t="s">
        <v>40</v>
      </c>
      <c r="J1527" s="5" t="s">
        <v>49</v>
      </c>
      <c r="K1527">
        <v>48</v>
      </c>
      <c r="L1527">
        <v>739295</v>
      </c>
      <c r="M1527" s="26">
        <v>35486160</v>
      </c>
      <c r="N1527">
        <v>30684</v>
      </c>
      <c r="O1527" s="26">
        <v>3290304.15</v>
      </c>
      <c r="P1527" s="5" t="s">
        <v>42</v>
      </c>
      <c r="Q1527" s="5" t="s">
        <v>51</v>
      </c>
      <c r="R1527">
        <v>4.0999999999999996</v>
      </c>
      <c r="S1527">
        <v>16</v>
      </c>
      <c r="T1527">
        <f t="shared" si="23"/>
        <v>1</v>
      </c>
    </row>
    <row r="1528" spans="1:20">
      <c r="A1528" s="4">
        <v>45117</v>
      </c>
      <c r="B1528">
        <v>2023</v>
      </c>
      <c r="C1528">
        <v>7</v>
      </c>
      <c r="D1528" s="5" t="s">
        <v>54</v>
      </c>
      <c r="E1528" s="5" t="s">
        <v>55</v>
      </c>
      <c r="F1528" s="5" t="s">
        <v>55</v>
      </c>
      <c r="G1528" s="5" t="s">
        <v>56</v>
      </c>
      <c r="H1528" s="5" t="s">
        <v>80</v>
      </c>
      <c r="I1528" s="5" t="s">
        <v>81</v>
      </c>
      <c r="J1528" s="5" t="s">
        <v>41</v>
      </c>
      <c r="K1528">
        <v>36</v>
      </c>
      <c r="L1528">
        <v>521699</v>
      </c>
      <c r="M1528" s="26">
        <v>18781164</v>
      </c>
      <c r="N1528">
        <v>46082</v>
      </c>
      <c r="O1528" s="26">
        <v>1695155.19</v>
      </c>
      <c r="P1528" s="5" t="s">
        <v>50</v>
      </c>
      <c r="Q1528" s="5" t="s">
        <v>75</v>
      </c>
      <c r="R1528">
        <v>5</v>
      </c>
      <c r="S1528">
        <v>14</v>
      </c>
      <c r="T1528">
        <f t="shared" si="23"/>
        <v>0</v>
      </c>
    </row>
    <row r="1529" spans="1:20">
      <c r="A1529" s="4">
        <v>45109</v>
      </c>
      <c r="B1529">
        <v>2023</v>
      </c>
      <c r="C1529">
        <v>7</v>
      </c>
      <c r="D1529" s="5" t="s">
        <v>35</v>
      </c>
      <c r="E1529" s="5" t="s">
        <v>60</v>
      </c>
      <c r="F1529" s="5" t="s">
        <v>61</v>
      </c>
      <c r="G1529" s="5" t="s">
        <v>62</v>
      </c>
      <c r="H1529" s="5" t="s">
        <v>74</v>
      </c>
      <c r="I1529" s="5" t="s">
        <v>40</v>
      </c>
      <c r="J1529" s="5" t="s">
        <v>49</v>
      </c>
      <c r="K1529">
        <v>60</v>
      </c>
      <c r="L1529">
        <v>635519</v>
      </c>
      <c r="M1529" s="26">
        <v>38131140</v>
      </c>
      <c r="N1529">
        <v>35138</v>
      </c>
      <c r="O1529" s="26">
        <v>3580618.17</v>
      </c>
      <c r="P1529" s="5" t="s">
        <v>50</v>
      </c>
      <c r="Q1529" s="5" t="s">
        <v>43</v>
      </c>
      <c r="R1529">
        <v>4</v>
      </c>
      <c r="S1529">
        <v>6</v>
      </c>
      <c r="T1529">
        <f t="shared" si="23"/>
        <v>0</v>
      </c>
    </row>
    <row r="1530" spans="1:20">
      <c r="A1530" s="4">
        <v>45135</v>
      </c>
      <c r="B1530">
        <v>2023</v>
      </c>
      <c r="C1530">
        <v>7</v>
      </c>
      <c r="D1530" s="5" t="s">
        <v>54</v>
      </c>
      <c r="E1530" s="5" t="s">
        <v>70</v>
      </c>
      <c r="F1530" s="5" t="s">
        <v>71</v>
      </c>
      <c r="G1530" s="5" t="s">
        <v>72</v>
      </c>
      <c r="H1530" s="5" t="s">
        <v>57</v>
      </c>
      <c r="I1530" s="5" t="s">
        <v>58</v>
      </c>
      <c r="J1530" s="5" t="s">
        <v>59</v>
      </c>
      <c r="K1530">
        <v>27</v>
      </c>
      <c r="L1530">
        <v>1393179</v>
      </c>
      <c r="M1530" s="26">
        <v>37615833</v>
      </c>
      <c r="N1530">
        <v>19092</v>
      </c>
      <c r="O1530" s="26">
        <v>3219088.74</v>
      </c>
      <c r="P1530" s="5" t="s">
        <v>50</v>
      </c>
      <c r="Q1530" s="5" t="s">
        <v>43</v>
      </c>
      <c r="R1530">
        <v>4.3</v>
      </c>
      <c r="S1530">
        <v>16</v>
      </c>
      <c r="T1530">
        <f t="shared" si="23"/>
        <v>0</v>
      </c>
    </row>
    <row r="1531" spans="1:20">
      <c r="A1531" s="4">
        <v>45134</v>
      </c>
      <c r="B1531">
        <v>2023</v>
      </c>
      <c r="C1531">
        <v>7</v>
      </c>
      <c r="D1531" s="5" t="s">
        <v>35</v>
      </c>
      <c r="E1531" s="5" t="s">
        <v>36</v>
      </c>
      <c r="F1531" s="5" t="s">
        <v>37</v>
      </c>
      <c r="G1531" s="5" t="s">
        <v>38</v>
      </c>
      <c r="H1531" s="5" t="s">
        <v>63</v>
      </c>
      <c r="I1531" s="5" t="s">
        <v>64</v>
      </c>
      <c r="J1531" s="5" t="s">
        <v>41</v>
      </c>
      <c r="K1531">
        <v>5</v>
      </c>
      <c r="L1531">
        <v>774728</v>
      </c>
      <c r="M1531" s="26">
        <v>3873640</v>
      </c>
      <c r="N1531">
        <v>37061</v>
      </c>
      <c r="O1531" s="26">
        <v>541995.53</v>
      </c>
      <c r="P1531" s="5" t="s">
        <v>42</v>
      </c>
      <c r="Q1531" s="5" t="s">
        <v>43</v>
      </c>
      <c r="R1531">
        <v>5</v>
      </c>
      <c r="S1531">
        <v>21</v>
      </c>
      <c r="T1531">
        <f t="shared" si="23"/>
        <v>1</v>
      </c>
    </row>
    <row r="1532" spans="1:20">
      <c r="A1532" s="4">
        <v>45113</v>
      </c>
      <c r="B1532">
        <v>2023</v>
      </c>
      <c r="C1532">
        <v>7</v>
      </c>
      <c r="D1532" s="5" t="s">
        <v>44</v>
      </c>
      <c r="E1532" s="5" t="s">
        <v>45</v>
      </c>
      <c r="F1532" s="5" t="s">
        <v>46</v>
      </c>
      <c r="G1532" s="5" t="s">
        <v>47</v>
      </c>
      <c r="H1532" s="5" t="s">
        <v>74</v>
      </c>
      <c r="I1532" s="5" t="s">
        <v>40</v>
      </c>
      <c r="J1532" s="5" t="s">
        <v>49</v>
      </c>
      <c r="K1532">
        <v>18</v>
      </c>
      <c r="L1532">
        <v>657529</v>
      </c>
      <c r="M1532" s="26">
        <v>11835522</v>
      </c>
      <c r="N1532">
        <v>27753</v>
      </c>
      <c r="O1532" s="26">
        <v>1689172.2</v>
      </c>
      <c r="P1532" s="5" t="s">
        <v>42</v>
      </c>
      <c r="Q1532" s="5" t="s">
        <v>43</v>
      </c>
      <c r="R1532">
        <v>4.7</v>
      </c>
      <c r="S1532">
        <v>15</v>
      </c>
      <c r="T1532">
        <f t="shared" si="23"/>
        <v>1</v>
      </c>
    </row>
    <row r="1533" spans="1:20">
      <c r="A1533" s="4">
        <v>45134</v>
      </c>
      <c r="B1533">
        <v>2023</v>
      </c>
      <c r="C1533">
        <v>7</v>
      </c>
      <c r="D1533" s="5" t="s">
        <v>35</v>
      </c>
      <c r="E1533" s="5" t="s">
        <v>36</v>
      </c>
      <c r="F1533" s="5" t="s">
        <v>37</v>
      </c>
      <c r="G1533" s="5" t="s">
        <v>38</v>
      </c>
      <c r="H1533" s="5" t="s">
        <v>52</v>
      </c>
      <c r="I1533" s="5" t="s">
        <v>53</v>
      </c>
      <c r="J1533" s="5" t="s">
        <v>41</v>
      </c>
      <c r="K1533">
        <v>36</v>
      </c>
      <c r="L1533">
        <v>945614</v>
      </c>
      <c r="M1533" s="26">
        <v>34042104</v>
      </c>
      <c r="N1533">
        <v>18854</v>
      </c>
      <c r="O1533" s="26">
        <v>5226291.2000000002</v>
      </c>
      <c r="P1533" s="5" t="s">
        <v>50</v>
      </c>
      <c r="Q1533" s="5" t="s">
        <v>51</v>
      </c>
      <c r="R1533">
        <v>4</v>
      </c>
      <c r="S1533">
        <v>4</v>
      </c>
      <c r="T1533">
        <f t="shared" si="23"/>
        <v>0</v>
      </c>
    </row>
    <row r="1534" spans="1:20">
      <c r="A1534" s="4">
        <v>45108</v>
      </c>
      <c r="B1534">
        <v>2023</v>
      </c>
      <c r="C1534">
        <v>7</v>
      </c>
      <c r="D1534" s="5" t="s">
        <v>44</v>
      </c>
      <c r="E1534" s="5" t="s">
        <v>82</v>
      </c>
      <c r="F1534" s="5" t="s">
        <v>83</v>
      </c>
      <c r="G1534" s="5" t="s">
        <v>84</v>
      </c>
      <c r="H1534" s="5" t="s">
        <v>57</v>
      </c>
      <c r="I1534" s="5" t="s">
        <v>58</v>
      </c>
      <c r="J1534" s="5" t="s">
        <v>59</v>
      </c>
      <c r="K1534">
        <v>41</v>
      </c>
      <c r="L1534">
        <v>1390646</v>
      </c>
      <c r="M1534" s="26">
        <v>57016486</v>
      </c>
      <c r="N1534">
        <v>5376</v>
      </c>
      <c r="O1534" s="26">
        <v>6153246.8600000003</v>
      </c>
      <c r="P1534" s="5" t="s">
        <v>50</v>
      </c>
      <c r="Q1534" s="5" t="s">
        <v>75</v>
      </c>
      <c r="R1534">
        <v>3.8</v>
      </c>
      <c r="S1534">
        <v>3</v>
      </c>
      <c r="T1534">
        <f t="shared" si="23"/>
        <v>0</v>
      </c>
    </row>
    <row r="1535" spans="1:20">
      <c r="A1535" s="4">
        <v>45119</v>
      </c>
      <c r="B1535">
        <v>2023</v>
      </c>
      <c r="C1535">
        <v>7</v>
      </c>
      <c r="D1535" s="5" t="s">
        <v>35</v>
      </c>
      <c r="E1535" s="5" t="s">
        <v>36</v>
      </c>
      <c r="F1535" s="5" t="s">
        <v>37</v>
      </c>
      <c r="G1535" s="5" t="s">
        <v>38</v>
      </c>
      <c r="H1535" s="5" t="s">
        <v>65</v>
      </c>
      <c r="I1535" s="5" t="s">
        <v>53</v>
      </c>
      <c r="J1535" s="5" t="s">
        <v>49</v>
      </c>
      <c r="K1535">
        <v>31</v>
      </c>
      <c r="L1535">
        <v>1255307</v>
      </c>
      <c r="M1535" s="26">
        <v>38914517</v>
      </c>
      <c r="N1535">
        <v>41384</v>
      </c>
      <c r="O1535" s="26">
        <v>3585589.68</v>
      </c>
      <c r="P1535" s="5" t="s">
        <v>42</v>
      </c>
      <c r="Q1535" s="5" t="s">
        <v>51</v>
      </c>
      <c r="R1535">
        <v>4.7</v>
      </c>
      <c r="S1535">
        <v>10</v>
      </c>
      <c r="T1535">
        <f t="shared" si="23"/>
        <v>1</v>
      </c>
    </row>
    <row r="1536" spans="1:20">
      <c r="A1536" s="4">
        <v>45129</v>
      </c>
      <c r="B1536">
        <v>2023</v>
      </c>
      <c r="C1536">
        <v>7</v>
      </c>
      <c r="D1536" s="5" t="s">
        <v>54</v>
      </c>
      <c r="E1536" s="5" t="s">
        <v>55</v>
      </c>
      <c r="F1536" s="5" t="s">
        <v>55</v>
      </c>
      <c r="G1536" s="5" t="s">
        <v>56</v>
      </c>
      <c r="H1536" s="5" t="s">
        <v>52</v>
      </c>
      <c r="I1536" s="5" t="s">
        <v>53</v>
      </c>
      <c r="J1536" s="5" t="s">
        <v>41</v>
      </c>
      <c r="K1536">
        <v>30</v>
      </c>
      <c r="L1536">
        <v>944485</v>
      </c>
      <c r="M1536" s="26">
        <v>28334550</v>
      </c>
      <c r="N1536">
        <v>7659</v>
      </c>
      <c r="O1536" s="26">
        <v>3748533.92</v>
      </c>
      <c r="P1536" s="5" t="s">
        <v>50</v>
      </c>
      <c r="Q1536" s="5" t="s">
        <v>43</v>
      </c>
      <c r="R1536">
        <v>4.0999999999999996</v>
      </c>
      <c r="S1536">
        <v>5</v>
      </c>
      <c r="T1536">
        <f t="shared" si="23"/>
        <v>0</v>
      </c>
    </row>
    <row r="1537" spans="1:20">
      <c r="A1537" s="4">
        <v>45119</v>
      </c>
      <c r="B1537">
        <v>2023</v>
      </c>
      <c r="C1537">
        <v>7</v>
      </c>
      <c r="D1537" s="5" t="s">
        <v>35</v>
      </c>
      <c r="E1537" s="5" t="s">
        <v>36</v>
      </c>
      <c r="F1537" s="5" t="s">
        <v>37</v>
      </c>
      <c r="G1537" s="5" t="s">
        <v>38</v>
      </c>
      <c r="H1537" s="5" t="s">
        <v>48</v>
      </c>
      <c r="I1537" s="5" t="s">
        <v>40</v>
      </c>
      <c r="J1537" s="5" t="s">
        <v>49</v>
      </c>
      <c r="K1537">
        <v>52</v>
      </c>
      <c r="L1537">
        <v>421428</v>
      </c>
      <c r="M1537" s="26">
        <v>21914256</v>
      </c>
      <c r="N1537">
        <v>27261</v>
      </c>
      <c r="O1537" s="26">
        <v>2814472.1</v>
      </c>
      <c r="P1537" s="5" t="s">
        <v>42</v>
      </c>
      <c r="Q1537" s="5" t="s">
        <v>75</v>
      </c>
      <c r="R1537">
        <v>3.8</v>
      </c>
      <c r="S1537">
        <v>7</v>
      </c>
      <c r="T1537">
        <f t="shared" si="23"/>
        <v>1</v>
      </c>
    </row>
    <row r="1538" spans="1:20">
      <c r="A1538" s="4">
        <v>45135</v>
      </c>
      <c r="B1538">
        <v>2023</v>
      </c>
      <c r="C1538">
        <v>7</v>
      </c>
      <c r="D1538" s="5" t="s">
        <v>44</v>
      </c>
      <c r="E1538" s="5" t="s">
        <v>82</v>
      </c>
      <c r="F1538" s="5" t="s">
        <v>83</v>
      </c>
      <c r="G1538" s="5" t="s">
        <v>84</v>
      </c>
      <c r="H1538" s="5" t="s">
        <v>48</v>
      </c>
      <c r="I1538" s="5" t="s">
        <v>40</v>
      </c>
      <c r="J1538" s="5" t="s">
        <v>49</v>
      </c>
      <c r="K1538">
        <v>59</v>
      </c>
      <c r="L1538">
        <v>450464</v>
      </c>
      <c r="M1538" s="26">
        <v>26577376</v>
      </c>
      <c r="N1538">
        <v>14788</v>
      </c>
      <c r="O1538" s="26">
        <v>4067913.96</v>
      </c>
      <c r="P1538" s="5" t="s">
        <v>50</v>
      </c>
      <c r="Q1538" s="5" t="s">
        <v>43</v>
      </c>
      <c r="R1538">
        <v>4</v>
      </c>
      <c r="S1538">
        <v>12</v>
      </c>
      <c r="T1538">
        <f t="shared" ref="T1538:T1601" si="24">IF(AND(OR($B1538=Sel_Year,Sel_Year="All"),OR($C1538=Sel_Month,Sel_Month="All"),OR($D1538=Sel_Region,Sel_Region="All"),OR($E1538=Sel_State,Sel_State="All"),OR($F1538=Sel_City,Sel_City="All"),OR($G1538=Sel_Dealer,Sel_Dealer="All"),OR($H1538=Sel_Model,Sel_Model="All"),OR($I1538=Sel_Segment,Sel_Segment="All"),OR($J1538=Sel_Fuel,Sel_Fuel="All"),OR($P1538=Sel_CustType,Sel_CustType="All"),OR($Q1538=Sel_Payment,Sel_Payment="All")),1,0)</f>
        <v>0</v>
      </c>
    </row>
    <row r="1539" spans="1:20">
      <c r="A1539" s="4">
        <v>45133</v>
      </c>
      <c r="B1539">
        <v>2023</v>
      </c>
      <c r="C1539">
        <v>7</v>
      </c>
      <c r="D1539" s="5" t="s">
        <v>54</v>
      </c>
      <c r="E1539" s="5" t="s">
        <v>70</v>
      </c>
      <c r="F1539" s="5" t="s">
        <v>71</v>
      </c>
      <c r="G1539" s="5" t="s">
        <v>72</v>
      </c>
      <c r="H1539" s="5" t="s">
        <v>74</v>
      </c>
      <c r="I1539" s="5" t="s">
        <v>40</v>
      </c>
      <c r="J1539" s="5" t="s">
        <v>49</v>
      </c>
      <c r="K1539">
        <v>11</v>
      </c>
      <c r="L1539">
        <v>669258</v>
      </c>
      <c r="M1539" s="26">
        <v>7361838</v>
      </c>
      <c r="N1539">
        <v>31526</v>
      </c>
      <c r="O1539" s="26">
        <v>828889.8</v>
      </c>
      <c r="P1539" s="5" t="s">
        <v>42</v>
      </c>
      <c r="Q1539" s="5" t="s">
        <v>51</v>
      </c>
      <c r="R1539">
        <v>4.8</v>
      </c>
      <c r="S1539">
        <v>8</v>
      </c>
      <c r="T1539">
        <f t="shared" si="24"/>
        <v>1</v>
      </c>
    </row>
    <row r="1540" spans="1:20">
      <c r="A1540" s="4">
        <v>45116</v>
      </c>
      <c r="B1540">
        <v>2023</v>
      </c>
      <c r="C1540">
        <v>7</v>
      </c>
      <c r="D1540" s="5" t="s">
        <v>35</v>
      </c>
      <c r="E1540" s="5" t="s">
        <v>76</v>
      </c>
      <c r="F1540" s="5" t="s">
        <v>77</v>
      </c>
      <c r="G1540" s="5" t="s">
        <v>78</v>
      </c>
      <c r="H1540" s="5" t="s">
        <v>73</v>
      </c>
      <c r="I1540" s="5" t="s">
        <v>40</v>
      </c>
      <c r="J1540" s="5" t="s">
        <v>49</v>
      </c>
      <c r="K1540">
        <v>7</v>
      </c>
      <c r="L1540">
        <v>724860</v>
      </c>
      <c r="M1540" s="26">
        <v>5074020</v>
      </c>
      <c r="N1540">
        <v>8601</v>
      </c>
      <c r="O1540" s="26">
        <v>601563.31999999995</v>
      </c>
      <c r="P1540" s="5" t="s">
        <v>50</v>
      </c>
      <c r="Q1540" s="5" t="s">
        <v>51</v>
      </c>
      <c r="R1540">
        <v>4.5999999999999996</v>
      </c>
      <c r="S1540">
        <v>4</v>
      </c>
      <c r="T1540">
        <f t="shared" si="24"/>
        <v>0</v>
      </c>
    </row>
    <row r="1541" spans="1:20">
      <c r="A1541" s="4">
        <v>45120</v>
      </c>
      <c r="B1541">
        <v>2023</v>
      </c>
      <c r="C1541">
        <v>7</v>
      </c>
      <c r="D1541" s="5" t="s">
        <v>66</v>
      </c>
      <c r="E1541" s="5" t="s">
        <v>67</v>
      </c>
      <c r="F1541" s="5" t="s">
        <v>68</v>
      </c>
      <c r="G1541" s="5" t="s">
        <v>69</v>
      </c>
      <c r="H1541" s="5" t="s">
        <v>57</v>
      </c>
      <c r="I1541" s="5" t="s">
        <v>58</v>
      </c>
      <c r="J1541" s="5" t="s">
        <v>59</v>
      </c>
      <c r="K1541">
        <v>37</v>
      </c>
      <c r="L1541">
        <v>1392223</v>
      </c>
      <c r="M1541" s="26">
        <v>51512251</v>
      </c>
      <c r="N1541">
        <v>11543</v>
      </c>
      <c r="O1541" s="26">
        <v>6385724.6100000003</v>
      </c>
      <c r="P1541" s="5" t="s">
        <v>42</v>
      </c>
      <c r="Q1541" s="5" t="s">
        <v>51</v>
      </c>
      <c r="R1541">
        <v>4.5</v>
      </c>
      <c r="S1541">
        <v>13</v>
      </c>
      <c r="T1541">
        <f t="shared" si="24"/>
        <v>1</v>
      </c>
    </row>
    <row r="1542" spans="1:20">
      <c r="A1542" s="4">
        <v>45111</v>
      </c>
      <c r="B1542">
        <v>2023</v>
      </c>
      <c r="C1542">
        <v>7</v>
      </c>
      <c r="D1542" s="5" t="s">
        <v>66</v>
      </c>
      <c r="E1542" s="5" t="s">
        <v>67</v>
      </c>
      <c r="F1542" s="5" t="s">
        <v>68</v>
      </c>
      <c r="G1542" s="5" t="s">
        <v>69</v>
      </c>
      <c r="H1542" s="5" t="s">
        <v>74</v>
      </c>
      <c r="I1542" s="5" t="s">
        <v>40</v>
      </c>
      <c r="J1542" s="5" t="s">
        <v>49</v>
      </c>
      <c r="K1542">
        <v>48</v>
      </c>
      <c r="L1542">
        <v>677672</v>
      </c>
      <c r="M1542" s="26">
        <v>32528256</v>
      </c>
      <c r="N1542">
        <v>8025</v>
      </c>
      <c r="O1542" s="26">
        <v>3270932.71</v>
      </c>
      <c r="P1542" s="5" t="s">
        <v>42</v>
      </c>
      <c r="Q1542" s="5" t="s">
        <v>51</v>
      </c>
      <c r="R1542">
        <v>3.7</v>
      </c>
      <c r="S1542">
        <v>3</v>
      </c>
      <c r="T1542">
        <f t="shared" si="24"/>
        <v>1</v>
      </c>
    </row>
    <row r="1543" spans="1:20">
      <c r="A1543" s="4">
        <v>45135</v>
      </c>
      <c r="B1543">
        <v>2023</v>
      </c>
      <c r="C1543">
        <v>7</v>
      </c>
      <c r="D1543" s="5" t="s">
        <v>44</v>
      </c>
      <c r="E1543" s="5" t="s">
        <v>45</v>
      </c>
      <c r="F1543" s="5" t="s">
        <v>46</v>
      </c>
      <c r="G1543" s="5" t="s">
        <v>47</v>
      </c>
      <c r="H1543" s="5" t="s">
        <v>52</v>
      </c>
      <c r="I1543" s="5" t="s">
        <v>53</v>
      </c>
      <c r="J1543" s="5" t="s">
        <v>41</v>
      </c>
      <c r="K1543">
        <v>25</v>
      </c>
      <c r="L1543">
        <v>957539</v>
      </c>
      <c r="M1543" s="26">
        <v>23938475</v>
      </c>
      <c r="N1543">
        <v>36024</v>
      </c>
      <c r="O1543" s="26">
        <v>2450234.29</v>
      </c>
      <c r="P1543" s="5" t="s">
        <v>42</v>
      </c>
      <c r="Q1543" s="5" t="s">
        <v>75</v>
      </c>
      <c r="R1543">
        <v>4.2</v>
      </c>
      <c r="S1543">
        <v>11</v>
      </c>
      <c r="T1543">
        <f t="shared" si="24"/>
        <v>1</v>
      </c>
    </row>
    <row r="1544" spans="1:20">
      <c r="A1544" s="4">
        <v>45116</v>
      </c>
      <c r="B1544">
        <v>2023</v>
      </c>
      <c r="C1544">
        <v>7</v>
      </c>
      <c r="D1544" s="5" t="s">
        <v>35</v>
      </c>
      <c r="E1544" s="5" t="s">
        <v>36</v>
      </c>
      <c r="F1544" s="5" t="s">
        <v>37</v>
      </c>
      <c r="G1544" s="5" t="s">
        <v>38</v>
      </c>
      <c r="H1544" s="5" t="s">
        <v>74</v>
      </c>
      <c r="I1544" s="5" t="s">
        <v>40</v>
      </c>
      <c r="J1544" s="5" t="s">
        <v>49</v>
      </c>
      <c r="K1544">
        <v>18</v>
      </c>
      <c r="L1544">
        <v>665247</v>
      </c>
      <c r="M1544" s="26">
        <v>11974446</v>
      </c>
      <c r="N1544">
        <v>16054</v>
      </c>
      <c r="O1544" s="26">
        <v>1610058</v>
      </c>
      <c r="P1544" s="5" t="s">
        <v>42</v>
      </c>
      <c r="Q1544" s="5" t="s">
        <v>75</v>
      </c>
      <c r="R1544">
        <v>4.7</v>
      </c>
      <c r="S1544">
        <v>17</v>
      </c>
      <c r="T1544">
        <f t="shared" si="24"/>
        <v>1</v>
      </c>
    </row>
    <row r="1545" spans="1:20">
      <c r="A1545" s="4">
        <v>45109</v>
      </c>
      <c r="B1545">
        <v>2023</v>
      </c>
      <c r="C1545">
        <v>7</v>
      </c>
      <c r="D1545" s="5" t="s">
        <v>44</v>
      </c>
      <c r="E1545" s="5" t="s">
        <v>82</v>
      </c>
      <c r="F1545" s="5" t="s">
        <v>83</v>
      </c>
      <c r="G1545" s="5" t="s">
        <v>84</v>
      </c>
      <c r="H1545" s="5" t="s">
        <v>86</v>
      </c>
      <c r="I1545" s="5" t="s">
        <v>40</v>
      </c>
      <c r="J1545" s="5" t="s">
        <v>41</v>
      </c>
      <c r="K1545">
        <v>16</v>
      </c>
      <c r="L1545">
        <v>571686</v>
      </c>
      <c r="M1545" s="26">
        <v>9146976</v>
      </c>
      <c r="N1545">
        <v>8783</v>
      </c>
      <c r="O1545" s="26">
        <v>1173078.6599999999</v>
      </c>
      <c r="P1545" s="5" t="s">
        <v>42</v>
      </c>
      <c r="Q1545" s="5" t="s">
        <v>75</v>
      </c>
      <c r="R1545">
        <v>4.0999999999999996</v>
      </c>
      <c r="S1545">
        <v>19</v>
      </c>
      <c r="T1545">
        <f t="shared" si="24"/>
        <v>1</v>
      </c>
    </row>
    <row r="1546" spans="1:20">
      <c r="A1546" s="4">
        <v>45130</v>
      </c>
      <c r="B1546">
        <v>2023</v>
      </c>
      <c r="C1546">
        <v>7</v>
      </c>
      <c r="D1546" s="5" t="s">
        <v>35</v>
      </c>
      <c r="E1546" s="5" t="s">
        <v>76</v>
      </c>
      <c r="F1546" s="5" t="s">
        <v>77</v>
      </c>
      <c r="G1546" s="5" t="s">
        <v>78</v>
      </c>
      <c r="H1546" s="5" t="s">
        <v>74</v>
      </c>
      <c r="I1546" s="5" t="s">
        <v>40</v>
      </c>
      <c r="J1546" s="5" t="s">
        <v>49</v>
      </c>
      <c r="K1546">
        <v>40</v>
      </c>
      <c r="L1546">
        <v>655500</v>
      </c>
      <c r="M1546" s="26">
        <v>26220000</v>
      </c>
      <c r="N1546">
        <v>39883</v>
      </c>
      <c r="O1546" s="26">
        <v>2675752.63</v>
      </c>
      <c r="P1546" s="5" t="s">
        <v>50</v>
      </c>
      <c r="Q1546" s="5" t="s">
        <v>43</v>
      </c>
      <c r="R1546">
        <v>4.4000000000000004</v>
      </c>
      <c r="S1546">
        <v>3</v>
      </c>
      <c r="T1546">
        <f t="shared" si="24"/>
        <v>0</v>
      </c>
    </row>
    <row r="1547" spans="1:20">
      <c r="A1547" s="4">
        <v>45114</v>
      </c>
      <c r="B1547">
        <v>2023</v>
      </c>
      <c r="C1547">
        <v>7</v>
      </c>
      <c r="D1547" s="5" t="s">
        <v>44</v>
      </c>
      <c r="E1547" s="5" t="s">
        <v>45</v>
      </c>
      <c r="F1547" s="5" t="s">
        <v>46</v>
      </c>
      <c r="G1547" s="5" t="s">
        <v>47</v>
      </c>
      <c r="H1547" s="5" t="s">
        <v>73</v>
      </c>
      <c r="I1547" s="5" t="s">
        <v>40</v>
      </c>
      <c r="J1547" s="5" t="s">
        <v>49</v>
      </c>
      <c r="K1547">
        <v>25</v>
      </c>
      <c r="L1547">
        <v>719541</v>
      </c>
      <c r="M1547" s="26">
        <v>17988525</v>
      </c>
      <c r="N1547">
        <v>36219</v>
      </c>
      <c r="O1547" s="26">
        <v>1785984.98</v>
      </c>
      <c r="P1547" s="5" t="s">
        <v>50</v>
      </c>
      <c r="Q1547" s="5" t="s">
        <v>75</v>
      </c>
      <c r="R1547">
        <v>4.5999999999999996</v>
      </c>
      <c r="S1547">
        <v>8</v>
      </c>
      <c r="T1547">
        <f t="shared" si="24"/>
        <v>0</v>
      </c>
    </row>
    <row r="1548" spans="1:20">
      <c r="A1548" s="4">
        <v>45117</v>
      </c>
      <c r="B1548">
        <v>2023</v>
      </c>
      <c r="C1548">
        <v>7</v>
      </c>
      <c r="D1548" s="5" t="s">
        <v>35</v>
      </c>
      <c r="E1548" s="5" t="s">
        <v>36</v>
      </c>
      <c r="F1548" s="5" t="s">
        <v>37</v>
      </c>
      <c r="G1548" s="5" t="s">
        <v>38</v>
      </c>
      <c r="H1548" s="5" t="s">
        <v>63</v>
      </c>
      <c r="I1548" s="5" t="s">
        <v>64</v>
      </c>
      <c r="J1548" s="5" t="s">
        <v>41</v>
      </c>
      <c r="K1548">
        <v>6</v>
      </c>
      <c r="L1548">
        <v>754546</v>
      </c>
      <c r="M1548" s="26">
        <v>4527276</v>
      </c>
      <c r="N1548">
        <v>34899</v>
      </c>
      <c r="O1548" s="26">
        <v>464979.24</v>
      </c>
      <c r="P1548" s="5" t="s">
        <v>42</v>
      </c>
      <c r="Q1548" s="5" t="s">
        <v>75</v>
      </c>
      <c r="R1548">
        <v>4.2</v>
      </c>
      <c r="S1548">
        <v>12</v>
      </c>
      <c r="T1548">
        <f t="shared" si="24"/>
        <v>1</v>
      </c>
    </row>
    <row r="1549" spans="1:20">
      <c r="A1549" s="4">
        <v>45124</v>
      </c>
      <c r="B1549">
        <v>2023</v>
      </c>
      <c r="C1549">
        <v>7</v>
      </c>
      <c r="D1549" s="5" t="s">
        <v>35</v>
      </c>
      <c r="E1549" s="5" t="s">
        <v>60</v>
      </c>
      <c r="F1549" s="5" t="s">
        <v>61</v>
      </c>
      <c r="G1549" s="5" t="s">
        <v>62</v>
      </c>
      <c r="H1549" s="5" t="s">
        <v>52</v>
      </c>
      <c r="I1549" s="5" t="s">
        <v>53</v>
      </c>
      <c r="J1549" s="5" t="s">
        <v>41</v>
      </c>
      <c r="K1549">
        <v>5</v>
      </c>
      <c r="L1549">
        <v>969489</v>
      </c>
      <c r="M1549" s="26">
        <v>4847445</v>
      </c>
      <c r="N1549">
        <v>17185</v>
      </c>
      <c r="O1549" s="26">
        <v>711311.45</v>
      </c>
      <c r="P1549" s="5" t="s">
        <v>50</v>
      </c>
      <c r="Q1549" s="5" t="s">
        <v>43</v>
      </c>
      <c r="R1549">
        <v>3.7</v>
      </c>
      <c r="S1549">
        <v>12</v>
      </c>
      <c r="T1549">
        <f t="shared" si="24"/>
        <v>0</v>
      </c>
    </row>
    <row r="1550" spans="1:20">
      <c r="A1550" s="4">
        <v>45132</v>
      </c>
      <c r="B1550">
        <v>2023</v>
      </c>
      <c r="C1550">
        <v>7</v>
      </c>
      <c r="D1550" s="5" t="s">
        <v>44</v>
      </c>
      <c r="E1550" s="5" t="s">
        <v>82</v>
      </c>
      <c r="F1550" s="5" t="s">
        <v>83</v>
      </c>
      <c r="G1550" s="5" t="s">
        <v>84</v>
      </c>
      <c r="H1550" s="5" t="s">
        <v>80</v>
      </c>
      <c r="I1550" s="5" t="s">
        <v>81</v>
      </c>
      <c r="J1550" s="5" t="s">
        <v>41</v>
      </c>
      <c r="K1550">
        <v>41</v>
      </c>
      <c r="L1550">
        <v>530780</v>
      </c>
      <c r="M1550" s="26">
        <v>21761980</v>
      </c>
      <c r="N1550">
        <v>15436</v>
      </c>
      <c r="O1550" s="26">
        <v>2585147.1</v>
      </c>
      <c r="P1550" s="5" t="s">
        <v>42</v>
      </c>
      <c r="Q1550" s="5" t="s">
        <v>75</v>
      </c>
      <c r="R1550">
        <v>3.8</v>
      </c>
      <c r="S1550">
        <v>6</v>
      </c>
      <c r="T1550">
        <f t="shared" si="24"/>
        <v>1</v>
      </c>
    </row>
    <row r="1551" spans="1:20">
      <c r="A1551" s="4">
        <v>45117</v>
      </c>
      <c r="B1551">
        <v>2023</v>
      </c>
      <c r="C1551">
        <v>7</v>
      </c>
      <c r="D1551" s="5" t="s">
        <v>54</v>
      </c>
      <c r="E1551" s="5" t="s">
        <v>70</v>
      </c>
      <c r="F1551" s="5" t="s">
        <v>71</v>
      </c>
      <c r="G1551" s="5" t="s">
        <v>72</v>
      </c>
      <c r="H1551" s="5" t="s">
        <v>65</v>
      </c>
      <c r="I1551" s="5" t="s">
        <v>53</v>
      </c>
      <c r="J1551" s="5" t="s">
        <v>49</v>
      </c>
      <c r="K1551">
        <v>12</v>
      </c>
      <c r="L1551">
        <v>1245606</v>
      </c>
      <c r="M1551" s="26">
        <v>14947272</v>
      </c>
      <c r="N1551">
        <v>32591</v>
      </c>
      <c r="O1551" s="26">
        <v>2379497.19</v>
      </c>
      <c r="P1551" s="5" t="s">
        <v>42</v>
      </c>
      <c r="Q1551" s="5" t="s">
        <v>75</v>
      </c>
      <c r="R1551">
        <v>4.0999999999999996</v>
      </c>
      <c r="S1551">
        <v>17</v>
      </c>
      <c r="T1551">
        <f t="shared" si="24"/>
        <v>1</v>
      </c>
    </row>
    <row r="1552" spans="1:20">
      <c r="A1552" s="4">
        <v>45159</v>
      </c>
      <c r="B1552">
        <v>2023</v>
      </c>
      <c r="C1552">
        <v>8</v>
      </c>
      <c r="D1552" s="5" t="s">
        <v>66</v>
      </c>
      <c r="E1552" s="5" t="s">
        <v>67</v>
      </c>
      <c r="F1552" s="5" t="s">
        <v>68</v>
      </c>
      <c r="G1552" s="5" t="s">
        <v>69</v>
      </c>
      <c r="H1552" s="5" t="s">
        <v>85</v>
      </c>
      <c r="I1552" s="5" t="s">
        <v>58</v>
      </c>
      <c r="J1552" s="5" t="s">
        <v>49</v>
      </c>
      <c r="K1552">
        <v>19</v>
      </c>
      <c r="L1552">
        <v>975736</v>
      </c>
      <c r="M1552" s="26">
        <v>18538984</v>
      </c>
      <c r="N1552">
        <v>42901</v>
      </c>
      <c r="O1552" s="26">
        <v>1843253.37</v>
      </c>
      <c r="P1552" s="5" t="s">
        <v>50</v>
      </c>
      <c r="Q1552" s="5" t="s">
        <v>51</v>
      </c>
      <c r="R1552">
        <v>4</v>
      </c>
      <c r="S1552">
        <v>15</v>
      </c>
      <c r="T1552">
        <f t="shared" si="24"/>
        <v>0</v>
      </c>
    </row>
    <row r="1553" spans="1:20">
      <c r="A1553" s="4">
        <v>45166</v>
      </c>
      <c r="B1553">
        <v>2023</v>
      </c>
      <c r="C1553">
        <v>8</v>
      </c>
      <c r="D1553" s="5" t="s">
        <v>35</v>
      </c>
      <c r="E1553" s="5" t="s">
        <v>60</v>
      </c>
      <c r="F1553" s="5" t="s">
        <v>61</v>
      </c>
      <c r="G1553" s="5" t="s">
        <v>62</v>
      </c>
      <c r="H1553" s="5" t="s">
        <v>85</v>
      </c>
      <c r="I1553" s="5" t="s">
        <v>58</v>
      </c>
      <c r="J1553" s="5" t="s">
        <v>49</v>
      </c>
      <c r="K1553">
        <v>54</v>
      </c>
      <c r="L1553">
        <v>986612</v>
      </c>
      <c r="M1553" s="26">
        <v>53277048</v>
      </c>
      <c r="N1553">
        <v>25070</v>
      </c>
      <c r="O1553" s="26">
        <v>7080449.0499999998</v>
      </c>
      <c r="P1553" s="5" t="s">
        <v>50</v>
      </c>
      <c r="Q1553" s="5" t="s">
        <v>51</v>
      </c>
      <c r="R1553">
        <v>4.3</v>
      </c>
      <c r="S1553">
        <v>13</v>
      </c>
      <c r="T1553">
        <f t="shared" si="24"/>
        <v>0</v>
      </c>
    </row>
    <row r="1554" spans="1:20">
      <c r="A1554" s="4">
        <v>45157</v>
      </c>
      <c r="B1554">
        <v>2023</v>
      </c>
      <c r="C1554">
        <v>8</v>
      </c>
      <c r="D1554" s="5" t="s">
        <v>44</v>
      </c>
      <c r="E1554" s="5" t="s">
        <v>45</v>
      </c>
      <c r="F1554" s="5" t="s">
        <v>46</v>
      </c>
      <c r="G1554" s="5" t="s">
        <v>47</v>
      </c>
      <c r="H1554" s="5" t="s">
        <v>85</v>
      </c>
      <c r="I1554" s="5" t="s">
        <v>58</v>
      </c>
      <c r="J1554" s="5" t="s">
        <v>49</v>
      </c>
      <c r="K1554">
        <v>7</v>
      </c>
      <c r="L1554">
        <v>958325</v>
      </c>
      <c r="M1554" s="26">
        <v>6708275</v>
      </c>
      <c r="N1554">
        <v>32937</v>
      </c>
      <c r="O1554" s="26">
        <v>622908.93000000005</v>
      </c>
      <c r="P1554" s="5" t="s">
        <v>42</v>
      </c>
      <c r="Q1554" s="5" t="s">
        <v>43</v>
      </c>
      <c r="R1554">
        <v>4.4000000000000004</v>
      </c>
      <c r="S1554">
        <v>16</v>
      </c>
      <c r="T1554">
        <f t="shared" si="24"/>
        <v>1</v>
      </c>
    </row>
    <row r="1555" spans="1:20">
      <c r="A1555" s="4">
        <v>45160</v>
      </c>
      <c r="B1555">
        <v>2023</v>
      </c>
      <c r="C1555">
        <v>8</v>
      </c>
      <c r="D1555" s="5" t="s">
        <v>35</v>
      </c>
      <c r="E1555" s="5" t="s">
        <v>36</v>
      </c>
      <c r="F1555" s="5" t="s">
        <v>37</v>
      </c>
      <c r="G1555" s="5" t="s">
        <v>38</v>
      </c>
      <c r="H1555" s="5" t="s">
        <v>85</v>
      </c>
      <c r="I1555" s="5" t="s">
        <v>58</v>
      </c>
      <c r="J1555" s="5" t="s">
        <v>49</v>
      </c>
      <c r="K1555">
        <v>54</v>
      </c>
      <c r="L1555">
        <v>986416</v>
      </c>
      <c r="M1555" s="26">
        <v>53266464</v>
      </c>
      <c r="N1555">
        <v>25722</v>
      </c>
      <c r="O1555" s="26">
        <v>6920358.1200000001</v>
      </c>
      <c r="P1555" s="5" t="s">
        <v>50</v>
      </c>
      <c r="Q1555" s="5" t="s">
        <v>75</v>
      </c>
      <c r="R1555">
        <v>4.5</v>
      </c>
      <c r="S1555">
        <v>17</v>
      </c>
      <c r="T1555">
        <f t="shared" si="24"/>
        <v>0</v>
      </c>
    </row>
    <row r="1556" spans="1:20">
      <c r="A1556" s="4">
        <v>45145</v>
      </c>
      <c r="B1556">
        <v>2023</v>
      </c>
      <c r="C1556">
        <v>8</v>
      </c>
      <c r="D1556" s="5" t="s">
        <v>35</v>
      </c>
      <c r="E1556" s="5" t="s">
        <v>76</v>
      </c>
      <c r="F1556" s="5" t="s">
        <v>77</v>
      </c>
      <c r="G1556" s="5" t="s">
        <v>78</v>
      </c>
      <c r="H1556" s="5" t="s">
        <v>74</v>
      </c>
      <c r="I1556" s="5" t="s">
        <v>40</v>
      </c>
      <c r="J1556" s="5" t="s">
        <v>49</v>
      </c>
      <c r="K1556">
        <v>23</v>
      </c>
      <c r="L1556">
        <v>640892</v>
      </c>
      <c r="M1556" s="26">
        <v>14740516</v>
      </c>
      <c r="N1556">
        <v>47700</v>
      </c>
      <c r="O1556" s="26">
        <v>1530775.36</v>
      </c>
      <c r="P1556" s="5" t="s">
        <v>50</v>
      </c>
      <c r="Q1556" s="5" t="s">
        <v>43</v>
      </c>
      <c r="R1556">
        <v>4.9000000000000004</v>
      </c>
      <c r="S1556">
        <v>9</v>
      </c>
      <c r="T1556">
        <f t="shared" si="24"/>
        <v>0</v>
      </c>
    </row>
    <row r="1557" spans="1:20">
      <c r="A1557" s="4">
        <v>45166</v>
      </c>
      <c r="B1557">
        <v>2023</v>
      </c>
      <c r="C1557">
        <v>8</v>
      </c>
      <c r="D1557" s="5" t="s">
        <v>35</v>
      </c>
      <c r="E1557" s="5" t="s">
        <v>60</v>
      </c>
      <c r="F1557" s="5" t="s">
        <v>61</v>
      </c>
      <c r="G1557" s="5" t="s">
        <v>62</v>
      </c>
      <c r="H1557" s="5" t="s">
        <v>86</v>
      </c>
      <c r="I1557" s="5" t="s">
        <v>40</v>
      </c>
      <c r="J1557" s="5" t="s">
        <v>41</v>
      </c>
      <c r="K1557">
        <v>35</v>
      </c>
      <c r="L1557">
        <v>597110</v>
      </c>
      <c r="M1557" s="26">
        <v>20898850</v>
      </c>
      <c r="N1557">
        <v>33306</v>
      </c>
      <c r="O1557" s="26">
        <v>3085218.15</v>
      </c>
      <c r="P1557" s="5" t="s">
        <v>50</v>
      </c>
      <c r="Q1557" s="5" t="s">
        <v>43</v>
      </c>
      <c r="R1557">
        <v>3.6</v>
      </c>
      <c r="S1557">
        <v>21</v>
      </c>
      <c r="T1557">
        <f t="shared" si="24"/>
        <v>0</v>
      </c>
    </row>
    <row r="1558" spans="1:20">
      <c r="A1558" s="4">
        <v>45152</v>
      </c>
      <c r="B1558">
        <v>2023</v>
      </c>
      <c r="C1558">
        <v>8</v>
      </c>
      <c r="D1558" s="5" t="s">
        <v>35</v>
      </c>
      <c r="E1558" s="5" t="s">
        <v>36</v>
      </c>
      <c r="F1558" s="5" t="s">
        <v>37</v>
      </c>
      <c r="G1558" s="5" t="s">
        <v>38</v>
      </c>
      <c r="H1558" s="5" t="s">
        <v>65</v>
      </c>
      <c r="I1558" s="5" t="s">
        <v>53</v>
      </c>
      <c r="J1558" s="5" t="s">
        <v>49</v>
      </c>
      <c r="K1558">
        <v>36</v>
      </c>
      <c r="L1558">
        <v>1227772</v>
      </c>
      <c r="M1558" s="26">
        <v>44199792</v>
      </c>
      <c r="N1558">
        <v>24950</v>
      </c>
      <c r="O1558" s="26">
        <v>4608603.01</v>
      </c>
      <c r="P1558" s="5" t="s">
        <v>42</v>
      </c>
      <c r="Q1558" s="5" t="s">
        <v>43</v>
      </c>
      <c r="R1558">
        <v>4.0999999999999996</v>
      </c>
      <c r="S1558">
        <v>17</v>
      </c>
      <c r="T1558">
        <f t="shared" si="24"/>
        <v>1</v>
      </c>
    </row>
    <row r="1559" spans="1:20">
      <c r="A1559" s="4">
        <v>45159</v>
      </c>
      <c r="B1559">
        <v>2023</v>
      </c>
      <c r="C1559">
        <v>8</v>
      </c>
      <c r="D1559" s="5" t="s">
        <v>35</v>
      </c>
      <c r="E1559" s="5" t="s">
        <v>60</v>
      </c>
      <c r="F1559" s="5" t="s">
        <v>61</v>
      </c>
      <c r="G1559" s="5" t="s">
        <v>62</v>
      </c>
      <c r="H1559" s="5" t="s">
        <v>65</v>
      </c>
      <c r="I1559" s="5" t="s">
        <v>53</v>
      </c>
      <c r="J1559" s="5" t="s">
        <v>49</v>
      </c>
      <c r="K1559">
        <v>60</v>
      </c>
      <c r="L1559">
        <v>1229321</v>
      </c>
      <c r="M1559" s="26">
        <v>73759260</v>
      </c>
      <c r="N1559">
        <v>22279</v>
      </c>
      <c r="O1559" s="26">
        <v>11529625.609999999</v>
      </c>
      <c r="P1559" s="5" t="s">
        <v>42</v>
      </c>
      <c r="Q1559" s="5" t="s">
        <v>43</v>
      </c>
      <c r="R1559">
        <v>3.6</v>
      </c>
      <c r="S1559">
        <v>6</v>
      </c>
      <c r="T1559">
        <f t="shared" si="24"/>
        <v>1</v>
      </c>
    </row>
    <row r="1560" spans="1:20">
      <c r="A1560" s="4">
        <v>45141</v>
      </c>
      <c r="B1560">
        <v>2023</v>
      </c>
      <c r="C1560">
        <v>8</v>
      </c>
      <c r="D1560" s="5" t="s">
        <v>44</v>
      </c>
      <c r="E1560" s="5" t="s">
        <v>82</v>
      </c>
      <c r="F1560" s="5" t="s">
        <v>83</v>
      </c>
      <c r="G1560" s="5" t="s">
        <v>84</v>
      </c>
      <c r="H1560" s="5" t="s">
        <v>63</v>
      </c>
      <c r="I1560" s="5" t="s">
        <v>64</v>
      </c>
      <c r="J1560" s="5" t="s">
        <v>41</v>
      </c>
      <c r="K1560">
        <v>15</v>
      </c>
      <c r="L1560">
        <v>732301</v>
      </c>
      <c r="M1560" s="26">
        <v>10984515</v>
      </c>
      <c r="N1560">
        <v>48360</v>
      </c>
      <c r="O1560" s="26">
        <v>1213445.6100000001</v>
      </c>
      <c r="P1560" s="5" t="s">
        <v>42</v>
      </c>
      <c r="Q1560" s="5" t="s">
        <v>51</v>
      </c>
      <c r="R1560">
        <v>4.9000000000000004</v>
      </c>
      <c r="S1560">
        <v>15</v>
      </c>
      <c r="T1560">
        <f t="shared" si="24"/>
        <v>1</v>
      </c>
    </row>
    <row r="1561" spans="1:20">
      <c r="A1561" s="4">
        <v>45155</v>
      </c>
      <c r="B1561">
        <v>2023</v>
      </c>
      <c r="C1561">
        <v>8</v>
      </c>
      <c r="D1561" s="5" t="s">
        <v>66</v>
      </c>
      <c r="E1561" s="5" t="s">
        <v>67</v>
      </c>
      <c r="F1561" s="5" t="s">
        <v>68</v>
      </c>
      <c r="G1561" s="5" t="s">
        <v>69</v>
      </c>
      <c r="H1561" s="5" t="s">
        <v>74</v>
      </c>
      <c r="I1561" s="5" t="s">
        <v>40</v>
      </c>
      <c r="J1561" s="5" t="s">
        <v>49</v>
      </c>
      <c r="K1561">
        <v>43</v>
      </c>
      <c r="L1561">
        <v>656450</v>
      </c>
      <c r="M1561" s="26">
        <v>28227350</v>
      </c>
      <c r="N1561">
        <v>34300</v>
      </c>
      <c r="O1561" s="26">
        <v>2655126.4</v>
      </c>
      <c r="P1561" s="5" t="s">
        <v>42</v>
      </c>
      <c r="Q1561" s="5" t="s">
        <v>75</v>
      </c>
      <c r="R1561">
        <v>4</v>
      </c>
      <c r="S1561">
        <v>17</v>
      </c>
      <c r="T1561">
        <f t="shared" si="24"/>
        <v>1</v>
      </c>
    </row>
    <row r="1562" spans="1:20">
      <c r="A1562" s="4">
        <v>45153</v>
      </c>
      <c r="B1562">
        <v>2023</v>
      </c>
      <c r="C1562">
        <v>8</v>
      </c>
      <c r="D1562" s="5" t="s">
        <v>44</v>
      </c>
      <c r="E1562" s="5" t="s">
        <v>45</v>
      </c>
      <c r="F1562" s="5" t="s">
        <v>46</v>
      </c>
      <c r="G1562" s="5" t="s">
        <v>47</v>
      </c>
      <c r="H1562" s="5" t="s">
        <v>39</v>
      </c>
      <c r="I1562" s="5" t="s">
        <v>40</v>
      </c>
      <c r="J1562" s="5" t="s">
        <v>41</v>
      </c>
      <c r="K1562">
        <v>10</v>
      </c>
      <c r="L1562">
        <v>591906</v>
      </c>
      <c r="M1562" s="26">
        <v>5919060</v>
      </c>
      <c r="N1562">
        <v>30193</v>
      </c>
      <c r="O1562" s="26">
        <v>810007.86</v>
      </c>
      <c r="P1562" s="5" t="s">
        <v>42</v>
      </c>
      <c r="Q1562" s="5" t="s">
        <v>75</v>
      </c>
      <c r="R1562">
        <v>4.0999999999999996</v>
      </c>
      <c r="S1562">
        <v>4</v>
      </c>
      <c r="T1562">
        <f t="shared" si="24"/>
        <v>1</v>
      </c>
    </row>
    <row r="1563" spans="1:20">
      <c r="A1563" s="4">
        <v>45140</v>
      </c>
      <c r="B1563">
        <v>2023</v>
      </c>
      <c r="C1563">
        <v>8</v>
      </c>
      <c r="D1563" s="5" t="s">
        <v>66</v>
      </c>
      <c r="E1563" s="5" t="s">
        <v>67</v>
      </c>
      <c r="F1563" s="5" t="s">
        <v>68</v>
      </c>
      <c r="G1563" s="5" t="s">
        <v>69</v>
      </c>
      <c r="H1563" s="5" t="s">
        <v>52</v>
      </c>
      <c r="I1563" s="5" t="s">
        <v>53</v>
      </c>
      <c r="J1563" s="5" t="s">
        <v>41</v>
      </c>
      <c r="K1563">
        <v>49</v>
      </c>
      <c r="L1563">
        <v>953527</v>
      </c>
      <c r="M1563" s="26">
        <v>46722823</v>
      </c>
      <c r="N1563">
        <v>10330</v>
      </c>
      <c r="O1563" s="26">
        <v>5666945.1399999997</v>
      </c>
      <c r="P1563" s="5" t="s">
        <v>50</v>
      </c>
      <c r="Q1563" s="5" t="s">
        <v>43</v>
      </c>
      <c r="R1563">
        <v>3.6</v>
      </c>
      <c r="S1563">
        <v>19</v>
      </c>
      <c r="T1563">
        <f t="shared" si="24"/>
        <v>0</v>
      </c>
    </row>
    <row r="1564" spans="1:20">
      <c r="A1564" s="4">
        <v>45142</v>
      </c>
      <c r="B1564">
        <v>2023</v>
      </c>
      <c r="C1564">
        <v>8</v>
      </c>
      <c r="D1564" s="5" t="s">
        <v>54</v>
      </c>
      <c r="E1564" s="5" t="s">
        <v>55</v>
      </c>
      <c r="F1564" s="5" t="s">
        <v>55</v>
      </c>
      <c r="G1564" s="5" t="s">
        <v>56</v>
      </c>
      <c r="H1564" s="5" t="s">
        <v>86</v>
      </c>
      <c r="I1564" s="5" t="s">
        <v>40</v>
      </c>
      <c r="J1564" s="5" t="s">
        <v>41</v>
      </c>
      <c r="K1564">
        <v>58</v>
      </c>
      <c r="L1564">
        <v>627869</v>
      </c>
      <c r="M1564" s="26">
        <v>36416402</v>
      </c>
      <c r="N1564">
        <v>18821</v>
      </c>
      <c r="O1564" s="26">
        <v>5601231.1900000004</v>
      </c>
      <c r="P1564" s="5" t="s">
        <v>42</v>
      </c>
      <c r="Q1564" s="5" t="s">
        <v>75</v>
      </c>
      <c r="R1564">
        <v>3.8</v>
      </c>
      <c r="S1564">
        <v>15</v>
      </c>
      <c r="T1564">
        <f t="shared" si="24"/>
        <v>1</v>
      </c>
    </row>
    <row r="1565" spans="1:20">
      <c r="A1565" s="4">
        <v>45163</v>
      </c>
      <c r="B1565">
        <v>2023</v>
      </c>
      <c r="C1565">
        <v>8</v>
      </c>
      <c r="D1565" s="5" t="s">
        <v>35</v>
      </c>
      <c r="E1565" s="5" t="s">
        <v>60</v>
      </c>
      <c r="F1565" s="5" t="s">
        <v>61</v>
      </c>
      <c r="G1565" s="5" t="s">
        <v>62</v>
      </c>
      <c r="H1565" s="5" t="s">
        <v>57</v>
      </c>
      <c r="I1565" s="5" t="s">
        <v>58</v>
      </c>
      <c r="J1565" s="5" t="s">
        <v>59</v>
      </c>
      <c r="K1565">
        <v>26</v>
      </c>
      <c r="L1565">
        <v>1385621</v>
      </c>
      <c r="M1565" s="26">
        <v>36026146</v>
      </c>
      <c r="N1565">
        <v>28392</v>
      </c>
      <c r="O1565" s="26">
        <v>2999000.43</v>
      </c>
      <c r="P1565" s="5" t="s">
        <v>42</v>
      </c>
      <c r="Q1565" s="5" t="s">
        <v>51</v>
      </c>
      <c r="R1565">
        <v>4.8</v>
      </c>
      <c r="S1565">
        <v>11</v>
      </c>
      <c r="T1565">
        <f t="shared" si="24"/>
        <v>1</v>
      </c>
    </row>
    <row r="1566" spans="1:20">
      <c r="A1566" s="4">
        <v>45163</v>
      </c>
      <c r="B1566">
        <v>2023</v>
      </c>
      <c r="C1566">
        <v>8</v>
      </c>
      <c r="D1566" s="5" t="s">
        <v>35</v>
      </c>
      <c r="E1566" s="5" t="s">
        <v>60</v>
      </c>
      <c r="F1566" s="5" t="s">
        <v>61</v>
      </c>
      <c r="G1566" s="5" t="s">
        <v>62</v>
      </c>
      <c r="H1566" s="5" t="s">
        <v>57</v>
      </c>
      <c r="I1566" s="5" t="s">
        <v>58</v>
      </c>
      <c r="J1566" s="5" t="s">
        <v>59</v>
      </c>
      <c r="K1566">
        <v>48</v>
      </c>
      <c r="L1566">
        <v>1424500</v>
      </c>
      <c r="M1566" s="26">
        <v>68376000</v>
      </c>
      <c r="N1566">
        <v>17596</v>
      </c>
      <c r="O1566" s="26">
        <v>9912709.1300000008</v>
      </c>
      <c r="P1566" s="5" t="s">
        <v>42</v>
      </c>
      <c r="Q1566" s="5" t="s">
        <v>43</v>
      </c>
      <c r="R1566">
        <v>3.5</v>
      </c>
      <c r="S1566">
        <v>12</v>
      </c>
      <c r="T1566">
        <f t="shared" si="24"/>
        <v>1</v>
      </c>
    </row>
    <row r="1567" spans="1:20">
      <c r="A1567" s="4">
        <v>45146</v>
      </c>
      <c r="B1567">
        <v>2023</v>
      </c>
      <c r="C1567">
        <v>8</v>
      </c>
      <c r="D1567" s="5" t="s">
        <v>54</v>
      </c>
      <c r="E1567" s="5" t="s">
        <v>70</v>
      </c>
      <c r="F1567" s="5" t="s">
        <v>71</v>
      </c>
      <c r="G1567" s="5" t="s">
        <v>72</v>
      </c>
      <c r="H1567" s="5" t="s">
        <v>57</v>
      </c>
      <c r="I1567" s="5" t="s">
        <v>58</v>
      </c>
      <c r="J1567" s="5" t="s">
        <v>59</v>
      </c>
      <c r="K1567">
        <v>56</v>
      </c>
      <c r="L1567">
        <v>1416094</v>
      </c>
      <c r="M1567" s="26">
        <v>79301264</v>
      </c>
      <c r="N1567">
        <v>26335</v>
      </c>
      <c r="O1567" s="26">
        <v>11954552.689999999</v>
      </c>
      <c r="P1567" s="5" t="s">
        <v>42</v>
      </c>
      <c r="Q1567" s="5" t="s">
        <v>75</v>
      </c>
      <c r="R1567">
        <v>3.9</v>
      </c>
      <c r="S1567">
        <v>20</v>
      </c>
      <c r="T1567">
        <f t="shared" si="24"/>
        <v>1</v>
      </c>
    </row>
    <row r="1568" spans="1:20">
      <c r="A1568" s="4">
        <v>45157</v>
      </c>
      <c r="B1568">
        <v>2023</v>
      </c>
      <c r="C1568">
        <v>8</v>
      </c>
      <c r="D1568" s="5" t="s">
        <v>66</v>
      </c>
      <c r="E1568" s="5" t="s">
        <v>67</v>
      </c>
      <c r="F1568" s="5" t="s">
        <v>68</v>
      </c>
      <c r="G1568" s="5" t="s">
        <v>69</v>
      </c>
      <c r="H1568" s="5" t="s">
        <v>48</v>
      </c>
      <c r="I1568" s="5" t="s">
        <v>40</v>
      </c>
      <c r="J1568" s="5" t="s">
        <v>49</v>
      </c>
      <c r="K1568">
        <v>15</v>
      </c>
      <c r="L1568">
        <v>435396</v>
      </c>
      <c r="M1568" s="26">
        <v>6530940</v>
      </c>
      <c r="N1568">
        <v>37085</v>
      </c>
      <c r="O1568" s="26">
        <v>824035.57</v>
      </c>
      <c r="P1568" s="5" t="s">
        <v>42</v>
      </c>
      <c r="Q1568" s="5" t="s">
        <v>43</v>
      </c>
      <c r="R1568">
        <v>4.5999999999999996</v>
      </c>
      <c r="S1568">
        <v>12</v>
      </c>
      <c r="T1568">
        <f t="shared" si="24"/>
        <v>1</v>
      </c>
    </row>
    <row r="1569" spans="1:20">
      <c r="A1569" s="4">
        <v>45143</v>
      </c>
      <c r="B1569">
        <v>2023</v>
      </c>
      <c r="C1569">
        <v>8</v>
      </c>
      <c r="D1569" s="5" t="s">
        <v>54</v>
      </c>
      <c r="E1569" s="5" t="s">
        <v>55</v>
      </c>
      <c r="F1569" s="5" t="s">
        <v>55</v>
      </c>
      <c r="G1569" s="5" t="s">
        <v>56</v>
      </c>
      <c r="H1569" s="5" t="s">
        <v>86</v>
      </c>
      <c r="I1569" s="5" t="s">
        <v>40</v>
      </c>
      <c r="J1569" s="5" t="s">
        <v>41</v>
      </c>
      <c r="K1569">
        <v>34</v>
      </c>
      <c r="L1569">
        <v>597354</v>
      </c>
      <c r="M1569" s="26">
        <v>20310036</v>
      </c>
      <c r="N1569">
        <v>40905</v>
      </c>
      <c r="O1569" s="26">
        <v>1719757.92</v>
      </c>
      <c r="P1569" s="5" t="s">
        <v>42</v>
      </c>
      <c r="Q1569" s="5" t="s">
        <v>43</v>
      </c>
      <c r="R1569">
        <v>4.5</v>
      </c>
      <c r="S1569">
        <v>9</v>
      </c>
      <c r="T1569">
        <f t="shared" si="24"/>
        <v>1</v>
      </c>
    </row>
    <row r="1570" spans="1:20">
      <c r="A1570" s="4">
        <v>45162</v>
      </c>
      <c r="B1570">
        <v>2023</v>
      </c>
      <c r="C1570">
        <v>8</v>
      </c>
      <c r="D1570" s="5" t="s">
        <v>54</v>
      </c>
      <c r="E1570" s="5" t="s">
        <v>55</v>
      </c>
      <c r="F1570" s="5" t="s">
        <v>55</v>
      </c>
      <c r="G1570" s="5" t="s">
        <v>56</v>
      </c>
      <c r="H1570" s="5" t="s">
        <v>79</v>
      </c>
      <c r="I1570" s="5" t="s">
        <v>58</v>
      </c>
      <c r="J1570" s="5" t="s">
        <v>49</v>
      </c>
      <c r="K1570">
        <v>16</v>
      </c>
      <c r="L1570">
        <v>910853</v>
      </c>
      <c r="M1570" s="26">
        <v>14573648</v>
      </c>
      <c r="N1570">
        <v>16858</v>
      </c>
      <c r="O1570" s="26">
        <v>1441197.15</v>
      </c>
      <c r="P1570" s="5" t="s">
        <v>50</v>
      </c>
      <c r="Q1570" s="5" t="s">
        <v>51</v>
      </c>
      <c r="R1570">
        <v>4.9000000000000004</v>
      </c>
      <c r="S1570">
        <v>19</v>
      </c>
      <c r="T1570">
        <f t="shared" si="24"/>
        <v>0</v>
      </c>
    </row>
    <row r="1571" spans="1:20">
      <c r="A1571" s="4">
        <v>45140</v>
      </c>
      <c r="B1571">
        <v>2023</v>
      </c>
      <c r="C1571">
        <v>8</v>
      </c>
      <c r="D1571" s="5" t="s">
        <v>35</v>
      </c>
      <c r="E1571" s="5" t="s">
        <v>36</v>
      </c>
      <c r="F1571" s="5" t="s">
        <v>37</v>
      </c>
      <c r="G1571" s="5" t="s">
        <v>38</v>
      </c>
      <c r="H1571" s="5" t="s">
        <v>80</v>
      </c>
      <c r="I1571" s="5" t="s">
        <v>81</v>
      </c>
      <c r="J1571" s="5" t="s">
        <v>41</v>
      </c>
      <c r="K1571">
        <v>36</v>
      </c>
      <c r="L1571">
        <v>529698</v>
      </c>
      <c r="M1571" s="26">
        <v>19069128</v>
      </c>
      <c r="N1571">
        <v>6263</v>
      </c>
      <c r="O1571" s="26">
        <v>2707624.78</v>
      </c>
      <c r="P1571" s="5" t="s">
        <v>42</v>
      </c>
      <c r="Q1571" s="5" t="s">
        <v>75</v>
      </c>
      <c r="R1571">
        <v>3.8</v>
      </c>
      <c r="S1571">
        <v>15</v>
      </c>
      <c r="T1571">
        <f t="shared" si="24"/>
        <v>1</v>
      </c>
    </row>
    <row r="1572" spans="1:20">
      <c r="A1572" s="4">
        <v>45151</v>
      </c>
      <c r="B1572">
        <v>2023</v>
      </c>
      <c r="C1572">
        <v>8</v>
      </c>
      <c r="D1572" s="5" t="s">
        <v>35</v>
      </c>
      <c r="E1572" s="5" t="s">
        <v>76</v>
      </c>
      <c r="F1572" s="5" t="s">
        <v>77</v>
      </c>
      <c r="G1572" s="5" t="s">
        <v>78</v>
      </c>
      <c r="H1572" s="5" t="s">
        <v>48</v>
      </c>
      <c r="I1572" s="5" t="s">
        <v>40</v>
      </c>
      <c r="J1572" s="5" t="s">
        <v>49</v>
      </c>
      <c r="K1572">
        <v>46</v>
      </c>
      <c r="L1572">
        <v>472360</v>
      </c>
      <c r="M1572" s="26">
        <v>21728560</v>
      </c>
      <c r="N1572">
        <v>14862</v>
      </c>
      <c r="O1572" s="26">
        <v>2942510.6</v>
      </c>
      <c r="P1572" s="5" t="s">
        <v>50</v>
      </c>
      <c r="Q1572" s="5" t="s">
        <v>75</v>
      </c>
      <c r="R1572">
        <v>4.5999999999999996</v>
      </c>
      <c r="S1572">
        <v>5</v>
      </c>
      <c r="T1572">
        <f t="shared" si="24"/>
        <v>0</v>
      </c>
    </row>
    <row r="1573" spans="1:20">
      <c r="A1573" s="4">
        <v>45155</v>
      </c>
      <c r="B1573">
        <v>2023</v>
      </c>
      <c r="C1573">
        <v>8</v>
      </c>
      <c r="D1573" s="5" t="s">
        <v>35</v>
      </c>
      <c r="E1573" s="5" t="s">
        <v>60</v>
      </c>
      <c r="F1573" s="5" t="s">
        <v>61</v>
      </c>
      <c r="G1573" s="5" t="s">
        <v>62</v>
      </c>
      <c r="H1573" s="5" t="s">
        <v>80</v>
      </c>
      <c r="I1573" s="5" t="s">
        <v>81</v>
      </c>
      <c r="J1573" s="5" t="s">
        <v>41</v>
      </c>
      <c r="K1573">
        <v>22</v>
      </c>
      <c r="L1573">
        <v>575010</v>
      </c>
      <c r="M1573" s="26">
        <v>12650220</v>
      </c>
      <c r="N1573">
        <v>45030</v>
      </c>
      <c r="O1573" s="26">
        <v>1683313.17</v>
      </c>
      <c r="P1573" s="5" t="s">
        <v>42</v>
      </c>
      <c r="Q1573" s="5" t="s">
        <v>75</v>
      </c>
      <c r="R1573">
        <v>5</v>
      </c>
      <c r="S1573">
        <v>16</v>
      </c>
      <c r="T1573">
        <f t="shared" si="24"/>
        <v>1</v>
      </c>
    </row>
    <row r="1574" spans="1:20">
      <c r="A1574" s="4">
        <v>45141</v>
      </c>
      <c r="B1574">
        <v>2023</v>
      </c>
      <c r="C1574">
        <v>8</v>
      </c>
      <c r="D1574" s="5" t="s">
        <v>44</v>
      </c>
      <c r="E1574" s="5" t="s">
        <v>45</v>
      </c>
      <c r="F1574" s="5" t="s">
        <v>46</v>
      </c>
      <c r="G1574" s="5" t="s">
        <v>47</v>
      </c>
      <c r="H1574" s="5" t="s">
        <v>86</v>
      </c>
      <c r="I1574" s="5" t="s">
        <v>40</v>
      </c>
      <c r="J1574" s="5" t="s">
        <v>41</v>
      </c>
      <c r="K1574">
        <v>50</v>
      </c>
      <c r="L1574">
        <v>626635</v>
      </c>
      <c r="M1574" s="26">
        <v>31331750</v>
      </c>
      <c r="N1574">
        <v>26899</v>
      </c>
      <c r="O1574" s="26">
        <v>3970780.46</v>
      </c>
      <c r="P1574" s="5" t="s">
        <v>42</v>
      </c>
      <c r="Q1574" s="5" t="s">
        <v>43</v>
      </c>
      <c r="R1574">
        <v>4.4000000000000004</v>
      </c>
      <c r="S1574">
        <v>18</v>
      </c>
      <c r="T1574">
        <f t="shared" si="24"/>
        <v>1</v>
      </c>
    </row>
    <row r="1575" spans="1:20">
      <c r="A1575" s="4">
        <v>45156</v>
      </c>
      <c r="B1575">
        <v>2023</v>
      </c>
      <c r="C1575">
        <v>8</v>
      </c>
      <c r="D1575" s="5" t="s">
        <v>54</v>
      </c>
      <c r="E1575" s="5" t="s">
        <v>70</v>
      </c>
      <c r="F1575" s="5" t="s">
        <v>71</v>
      </c>
      <c r="G1575" s="5" t="s">
        <v>72</v>
      </c>
      <c r="H1575" s="5" t="s">
        <v>65</v>
      </c>
      <c r="I1575" s="5" t="s">
        <v>53</v>
      </c>
      <c r="J1575" s="5" t="s">
        <v>49</v>
      </c>
      <c r="K1575">
        <v>24</v>
      </c>
      <c r="L1575">
        <v>1276237</v>
      </c>
      <c r="M1575" s="26">
        <v>30629688</v>
      </c>
      <c r="N1575">
        <v>44495</v>
      </c>
      <c r="O1575" s="26">
        <v>3255626.45</v>
      </c>
      <c r="P1575" s="5" t="s">
        <v>50</v>
      </c>
      <c r="Q1575" s="5" t="s">
        <v>51</v>
      </c>
      <c r="R1575">
        <v>3.8</v>
      </c>
      <c r="S1575">
        <v>6</v>
      </c>
      <c r="T1575">
        <f t="shared" si="24"/>
        <v>0</v>
      </c>
    </row>
    <row r="1576" spans="1:20">
      <c r="A1576" s="4">
        <v>45140</v>
      </c>
      <c r="B1576">
        <v>2023</v>
      </c>
      <c r="C1576">
        <v>8</v>
      </c>
      <c r="D1576" s="5" t="s">
        <v>35</v>
      </c>
      <c r="E1576" s="5" t="s">
        <v>60</v>
      </c>
      <c r="F1576" s="5" t="s">
        <v>61</v>
      </c>
      <c r="G1576" s="5" t="s">
        <v>62</v>
      </c>
      <c r="H1576" s="5" t="s">
        <v>74</v>
      </c>
      <c r="I1576" s="5" t="s">
        <v>40</v>
      </c>
      <c r="J1576" s="5" t="s">
        <v>49</v>
      </c>
      <c r="K1576">
        <v>56</v>
      </c>
      <c r="L1576">
        <v>635509</v>
      </c>
      <c r="M1576" s="26">
        <v>35588504</v>
      </c>
      <c r="N1576">
        <v>33994</v>
      </c>
      <c r="O1576" s="26">
        <v>3889543.49</v>
      </c>
      <c r="P1576" s="5" t="s">
        <v>42</v>
      </c>
      <c r="Q1576" s="5" t="s">
        <v>75</v>
      </c>
      <c r="R1576">
        <v>3.8</v>
      </c>
      <c r="S1576">
        <v>13</v>
      </c>
      <c r="T1576">
        <f t="shared" si="24"/>
        <v>1</v>
      </c>
    </row>
    <row r="1577" spans="1:20">
      <c r="A1577" s="4">
        <v>45151</v>
      </c>
      <c r="B1577">
        <v>2023</v>
      </c>
      <c r="C1577">
        <v>8</v>
      </c>
      <c r="D1577" s="5" t="s">
        <v>44</v>
      </c>
      <c r="E1577" s="5" t="s">
        <v>45</v>
      </c>
      <c r="F1577" s="5" t="s">
        <v>46</v>
      </c>
      <c r="G1577" s="5" t="s">
        <v>47</v>
      </c>
      <c r="H1577" s="5" t="s">
        <v>65</v>
      </c>
      <c r="I1577" s="5" t="s">
        <v>53</v>
      </c>
      <c r="J1577" s="5" t="s">
        <v>49</v>
      </c>
      <c r="K1577">
        <v>45</v>
      </c>
      <c r="L1577">
        <v>1263986</v>
      </c>
      <c r="M1577" s="26">
        <v>56879370</v>
      </c>
      <c r="N1577">
        <v>34438</v>
      </c>
      <c r="O1577" s="26">
        <v>8028636.0300000003</v>
      </c>
      <c r="P1577" s="5" t="s">
        <v>42</v>
      </c>
      <c r="Q1577" s="5" t="s">
        <v>43</v>
      </c>
      <c r="R1577">
        <v>4.2</v>
      </c>
      <c r="S1577">
        <v>6</v>
      </c>
      <c r="T1577">
        <f t="shared" si="24"/>
        <v>1</v>
      </c>
    </row>
    <row r="1578" spans="1:20">
      <c r="A1578" s="4">
        <v>45151</v>
      </c>
      <c r="B1578">
        <v>2023</v>
      </c>
      <c r="C1578">
        <v>8</v>
      </c>
      <c r="D1578" s="5" t="s">
        <v>54</v>
      </c>
      <c r="E1578" s="5" t="s">
        <v>70</v>
      </c>
      <c r="F1578" s="5" t="s">
        <v>71</v>
      </c>
      <c r="G1578" s="5" t="s">
        <v>72</v>
      </c>
      <c r="H1578" s="5" t="s">
        <v>85</v>
      </c>
      <c r="I1578" s="5" t="s">
        <v>58</v>
      </c>
      <c r="J1578" s="5" t="s">
        <v>49</v>
      </c>
      <c r="K1578">
        <v>56</v>
      </c>
      <c r="L1578">
        <v>953871</v>
      </c>
      <c r="M1578" s="26">
        <v>53416776</v>
      </c>
      <c r="N1578">
        <v>16180</v>
      </c>
      <c r="O1578" s="26">
        <v>5961831.4000000004</v>
      </c>
      <c r="P1578" s="5" t="s">
        <v>42</v>
      </c>
      <c r="Q1578" s="5" t="s">
        <v>51</v>
      </c>
      <c r="R1578">
        <v>3.7</v>
      </c>
      <c r="S1578">
        <v>14</v>
      </c>
      <c r="T1578">
        <f t="shared" si="24"/>
        <v>1</v>
      </c>
    </row>
    <row r="1579" spans="1:20">
      <c r="A1579" s="4">
        <v>45152</v>
      </c>
      <c r="B1579">
        <v>2023</v>
      </c>
      <c r="C1579">
        <v>8</v>
      </c>
      <c r="D1579" s="5" t="s">
        <v>35</v>
      </c>
      <c r="E1579" s="5" t="s">
        <v>36</v>
      </c>
      <c r="F1579" s="5" t="s">
        <v>37</v>
      </c>
      <c r="G1579" s="5" t="s">
        <v>38</v>
      </c>
      <c r="H1579" s="5" t="s">
        <v>57</v>
      </c>
      <c r="I1579" s="5" t="s">
        <v>58</v>
      </c>
      <c r="J1579" s="5" t="s">
        <v>59</v>
      </c>
      <c r="K1579">
        <v>5</v>
      </c>
      <c r="L1579">
        <v>1424473</v>
      </c>
      <c r="M1579" s="26">
        <v>7122365</v>
      </c>
      <c r="N1579">
        <v>35533</v>
      </c>
      <c r="O1579" s="26">
        <v>896354.25</v>
      </c>
      <c r="P1579" s="5" t="s">
        <v>42</v>
      </c>
      <c r="Q1579" s="5" t="s">
        <v>75</v>
      </c>
      <c r="R1579">
        <v>4.0999999999999996</v>
      </c>
      <c r="S1579">
        <v>11</v>
      </c>
      <c r="T1579">
        <f t="shared" si="24"/>
        <v>1</v>
      </c>
    </row>
    <row r="1580" spans="1:20">
      <c r="A1580" s="4">
        <v>45144</v>
      </c>
      <c r="B1580">
        <v>2023</v>
      </c>
      <c r="C1580">
        <v>8</v>
      </c>
      <c r="D1580" s="5" t="s">
        <v>54</v>
      </c>
      <c r="E1580" s="5" t="s">
        <v>55</v>
      </c>
      <c r="F1580" s="5" t="s">
        <v>55</v>
      </c>
      <c r="G1580" s="5" t="s">
        <v>56</v>
      </c>
      <c r="H1580" s="5" t="s">
        <v>79</v>
      </c>
      <c r="I1580" s="5" t="s">
        <v>58</v>
      </c>
      <c r="J1580" s="5" t="s">
        <v>49</v>
      </c>
      <c r="K1580">
        <v>28</v>
      </c>
      <c r="L1580">
        <v>887538</v>
      </c>
      <c r="M1580" s="26">
        <v>24851064</v>
      </c>
      <c r="N1580">
        <v>6799</v>
      </c>
      <c r="O1580" s="26">
        <v>2506481.96</v>
      </c>
      <c r="P1580" s="5" t="s">
        <v>50</v>
      </c>
      <c r="Q1580" s="5" t="s">
        <v>75</v>
      </c>
      <c r="R1580">
        <v>4.5999999999999996</v>
      </c>
      <c r="S1580">
        <v>2</v>
      </c>
      <c r="T1580">
        <f t="shared" si="24"/>
        <v>0</v>
      </c>
    </row>
    <row r="1581" spans="1:20">
      <c r="A1581" s="4">
        <v>45161</v>
      </c>
      <c r="B1581">
        <v>2023</v>
      </c>
      <c r="C1581">
        <v>8</v>
      </c>
      <c r="D1581" s="5" t="s">
        <v>44</v>
      </c>
      <c r="E1581" s="5" t="s">
        <v>45</v>
      </c>
      <c r="F1581" s="5" t="s">
        <v>46</v>
      </c>
      <c r="G1581" s="5" t="s">
        <v>47</v>
      </c>
      <c r="H1581" s="5" t="s">
        <v>79</v>
      </c>
      <c r="I1581" s="5" t="s">
        <v>58</v>
      </c>
      <c r="J1581" s="5" t="s">
        <v>49</v>
      </c>
      <c r="K1581">
        <v>23</v>
      </c>
      <c r="L1581">
        <v>885349</v>
      </c>
      <c r="M1581" s="26">
        <v>20363027</v>
      </c>
      <c r="N1581">
        <v>5166</v>
      </c>
      <c r="O1581" s="26">
        <v>2035240.49</v>
      </c>
      <c r="P1581" s="5" t="s">
        <v>42</v>
      </c>
      <c r="Q1581" s="5" t="s">
        <v>75</v>
      </c>
      <c r="R1581">
        <v>4</v>
      </c>
      <c r="S1581">
        <v>20</v>
      </c>
      <c r="T1581">
        <f t="shared" si="24"/>
        <v>1</v>
      </c>
    </row>
    <row r="1582" spans="1:20">
      <c r="A1582" s="4">
        <v>45146</v>
      </c>
      <c r="B1582">
        <v>2023</v>
      </c>
      <c r="C1582">
        <v>8</v>
      </c>
      <c r="D1582" s="5" t="s">
        <v>35</v>
      </c>
      <c r="E1582" s="5" t="s">
        <v>36</v>
      </c>
      <c r="F1582" s="5" t="s">
        <v>37</v>
      </c>
      <c r="G1582" s="5" t="s">
        <v>38</v>
      </c>
      <c r="H1582" s="5" t="s">
        <v>39</v>
      </c>
      <c r="I1582" s="5" t="s">
        <v>40</v>
      </c>
      <c r="J1582" s="5" t="s">
        <v>41</v>
      </c>
      <c r="K1582">
        <v>60</v>
      </c>
      <c r="L1582">
        <v>553900</v>
      </c>
      <c r="M1582" s="26">
        <v>33234000</v>
      </c>
      <c r="N1582">
        <v>48052</v>
      </c>
      <c r="O1582" s="26">
        <v>4126121.06</v>
      </c>
      <c r="P1582" s="5" t="s">
        <v>42</v>
      </c>
      <c r="Q1582" s="5" t="s">
        <v>51</v>
      </c>
      <c r="R1582">
        <v>3.8</v>
      </c>
      <c r="S1582">
        <v>10</v>
      </c>
      <c r="T1582">
        <f t="shared" si="24"/>
        <v>1</v>
      </c>
    </row>
    <row r="1583" spans="1:20">
      <c r="A1583" s="4">
        <v>45149</v>
      </c>
      <c r="B1583">
        <v>2023</v>
      </c>
      <c r="C1583">
        <v>8</v>
      </c>
      <c r="D1583" s="5" t="s">
        <v>54</v>
      </c>
      <c r="E1583" s="5" t="s">
        <v>70</v>
      </c>
      <c r="F1583" s="5" t="s">
        <v>71</v>
      </c>
      <c r="G1583" s="5" t="s">
        <v>72</v>
      </c>
      <c r="H1583" s="5" t="s">
        <v>85</v>
      </c>
      <c r="I1583" s="5" t="s">
        <v>58</v>
      </c>
      <c r="J1583" s="5" t="s">
        <v>49</v>
      </c>
      <c r="K1583">
        <v>17</v>
      </c>
      <c r="L1583">
        <v>951991</v>
      </c>
      <c r="M1583" s="26">
        <v>16183847</v>
      </c>
      <c r="N1583">
        <v>28952</v>
      </c>
      <c r="O1583" s="26">
        <v>2442434.2000000002</v>
      </c>
      <c r="P1583" s="5" t="s">
        <v>42</v>
      </c>
      <c r="Q1583" s="5" t="s">
        <v>75</v>
      </c>
      <c r="R1583">
        <v>4.7</v>
      </c>
      <c r="S1583">
        <v>10</v>
      </c>
      <c r="T1583">
        <f t="shared" si="24"/>
        <v>1</v>
      </c>
    </row>
    <row r="1584" spans="1:20">
      <c r="A1584" s="4">
        <v>45155</v>
      </c>
      <c r="B1584">
        <v>2023</v>
      </c>
      <c r="C1584">
        <v>8</v>
      </c>
      <c r="D1584" s="5" t="s">
        <v>44</v>
      </c>
      <c r="E1584" s="5" t="s">
        <v>45</v>
      </c>
      <c r="F1584" s="5" t="s">
        <v>46</v>
      </c>
      <c r="G1584" s="5" t="s">
        <v>47</v>
      </c>
      <c r="H1584" s="5" t="s">
        <v>52</v>
      </c>
      <c r="I1584" s="5" t="s">
        <v>53</v>
      </c>
      <c r="J1584" s="5" t="s">
        <v>41</v>
      </c>
      <c r="K1584">
        <v>29</v>
      </c>
      <c r="L1584">
        <v>934913</v>
      </c>
      <c r="M1584" s="26">
        <v>27112477</v>
      </c>
      <c r="N1584">
        <v>33136</v>
      </c>
      <c r="O1584" s="26">
        <v>2313605.06</v>
      </c>
      <c r="P1584" s="5" t="s">
        <v>50</v>
      </c>
      <c r="Q1584" s="5" t="s">
        <v>75</v>
      </c>
      <c r="R1584">
        <v>4.7</v>
      </c>
      <c r="S1584">
        <v>2</v>
      </c>
      <c r="T1584">
        <f t="shared" si="24"/>
        <v>0</v>
      </c>
    </row>
    <row r="1585" spans="1:20">
      <c r="A1585" s="4">
        <v>45152</v>
      </c>
      <c r="B1585">
        <v>2023</v>
      </c>
      <c r="C1585">
        <v>8</v>
      </c>
      <c r="D1585" s="5" t="s">
        <v>54</v>
      </c>
      <c r="E1585" s="5" t="s">
        <v>55</v>
      </c>
      <c r="F1585" s="5" t="s">
        <v>55</v>
      </c>
      <c r="G1585" s="5" t="s">
        <v>56</v>
      </c>
      <c r="H1585" s="5" t="s">
        <v>57</v>
      </c>
      <c r="I1585" s="5" t="s">
        <v>58</v>
      </c>
      <c r="J1585" s="5" t="s">
        <v>59</v>
      </c>
      <c r="K1585">
        <v>56</v>
      </c>
      <c r="L1585">
        <v>1372285</v>
      </c>
      <c r="M1585" s="26">
        <v>76847960</v>
      </c>
      <c r="N1585">
        <v>9184</v>
      </c>
      <c r="O1585" s="26">
        <v>8439585.7100000009</v>
      </c>
      <c r="P1585" s="5" t="s">
        <v>50</v>
      </c>
      <c r="Q1585" s="5" t="s">
        <v>43</v>
      </c>
      <c r="R1585">
        <v>4</v>
      </c>
      <c r="S1585">
        <v>7</v>
      </c>
      <c r="T1585">
        <f t="shared" si="24"/>
        <v>0</v>
      </c>
    </row>
    <row r="1586" spans="1:20">
      <c r="A1586" s="4">
        <v>45139</v>
      </c>
      <c r="B1586">
        <v>2023</v>
      </c>
      <c r="C1586">
        <v>8</v>
      </c>
      <c r="D1586" s="5" t="s">
        <v>35</v>
      </c>
      <c r="E1586" s="5" t="s">
        <v>76</v>
      </c>
      <c r="F1586" s="5" t="s">
        <v>77</v>
      </c>
      <c r="G1586" s="5" t="s">
        <v>78</v>
      </c>
      <c r="H1586" s="5" t="s">
        <v>52</v>
      </c>
      <c r="I1586" s="5" t="s">
        <v>53</v>
      </c>
      <c r="J1586" s="5" t="s">
        <v>41</v>
      </c>
      <c r="K1586">
        <v>26</v>
      </c>
      <c r="L1586">
        <v>925489</v>
      </c>
      <c r="M1586" s="26">
        <v>24062714</v>
      </c>
      <c r="N1586">
        <v>14125</v>
      </c>
      <c r="O1586" s="26">
        <v>2867349.03</v>
      </c>
      <c r="P1586" s="5" t="s">
        <v>50</v>
      </c>
      <c r="Q1586" s="5" t="s">
        <v>75</v>
      </c>
      <c r="R1586">
        <v>4.4000000000000004</v>
      </c>
      <c r="S1586">
        <v>8</v>
      </c>
      <c r="T1586">
        <f t="shared" si="24"/>
        <v>0</v>
      </c>
    </row>
    <row r="1587" spans="1:20">
      <c r="A1587" s="4">
        <v>45155</v>
      </c>
      <c r="B1587">
        <v>2023</v>
      </c>
      <c r="C1587">
        <v>8</v>
      </c>
      <c r="D1587" s="5" t="s">
        <v>44</v>
      </c>
      <c r="E1587" s="5" t="s">
        <v>82</v>
      </c>
      <c r="F1587" s="5" t="s">
        <v>83</v>
      </c>
      <c r="G1587" s="5" t="s">
        <v>84</v>
      </c>
      <c r="H1587" s="5" t="s">
        <v>85</v>
      </c>
      <c r="I1587" s="5" t="s">
        <v>58</v>
      </c>
      <c r="J1587" s="5" t="s">
        <v>49</v>
      </c>
      <c r="K1587">
        <v>60</v>
      </c>
      <c r="L1587">
        <v>999794</v>
      </c>
      <c r="M1587" s="26">
        <v>59987640</v>
      </c>
      <c r="N1587">
        <v>5757</v>
      </c>
      <c r="O1587" s="26">
        <v>8121375.7999999998</v>
      </c>
      <c r="P1587" s="5" t="s">
        <v>50</v>
      </c>
      <c r="Q1587" s="5" t="s">
        <v>75</v>
      </c>
      <c r="R1587">
        <v>4</v>
      </c>
      <c r="S1587">
        <v>15</v>
      </c>
      <c r="T1587">
        <f t="shared" si="24"/>
        <v>0</v>
      </c>
    </row>
    <row r="1588" spans="1:20">
      <c r="A1588" s="4">
        <v>45157</v>
      </c>
      <c r="B1588">
        <v>2023</v>
      </c>
      <c r="C1588">
        <v>8</v>
      </c>
      <c r="D1588" s="5" t="s">
        <v>44</v>
      </c>
      <c r="E1588" s="5" t="s">
        <v>82</v>
      </c>
      <c r="F1588" s="5" t="s">
        <v>83</v>
      </c>
      <c r="G1588" s="5" t="s">
        <v>84</v>
      </c>
      <c r="H1588" s="5" t="s">
        <v>86</v>
      </c>
      <c r="I1588" s="5" t="s">
        <v>40</v>
      </c>
      <c r="J1588" s="5" t="s">
        <v>41</v>
      </c>
      <c r="K1588">
        <v>7</v>
      </c>
      <c r="L1588">
        <v>592349</v>
      </c>
      <c r="M1588" s="26">
        <v>4146443</v>
      </c>
      <c r="N1588">
        <v>18869</v>
      </c>
      <c r="O1588" s="26">
        <v>585998.87</v>
      </c>
      <c r="P1588" s="5" t="s">
        <v>42</v>
      </c>
      <c r="Q1588" s="5" t="s">
        <v>51</v>
      </c>
      <c r="R1588">
        <v>4.4000000000000004</v>
      </c>
      <c r="S1588">
        <v>19</v>
      </c>
      <c r="T1588">
        <f t="shared" si="24"/>
        <v>1</v>
      </c>
    </row>
    <row r="1589" spans="1:20">
      <c r="A1589" s="4">
        <v>45151</v>
      </c>
      <c r="B1589">
        <v>2023</v>
      </c>
      <c r="C1589">
        <v>8</v>
      </c>
      <c r="D1589" s="5" t="s">
        <v>54</v>
      </c>
      <c r="E1589" s="5" t="s">
        <v>55</v>
      </c>
      <c r="F1589" s="5" t="s">
        <v>55</v>
      </c>
      <c r="G1589" s="5" t="s">
        <v>56</v>
      </c>
      <c r="H1589" s="5" t="s">
        <v>80</v>
      </c>
      <c r="I1589" s="5" t="s">
        <v>81</v>
      </c>
      <c r="J1589" s="5" t="s">
        <v>41</v>
      </c>
      <c r="K1589">
        <v>37</v>
      </c>
      <c r="L1589">
        <v>556883</v>
      </c>
      <c r="M1589" s="26">
        <v>20604671</v>
      </c>
      <c r="N1589">
        <v>35409</v>
      </c>
      <c r="O1589" s="26">
        <v>3011586.99</v>
      </c>
      <c r="P1589" s="5" t="s">
        <v>42</v>
      </c>
      <c r="Q1589" s="5" t="s">
        <v>75</v>
      </c>
      <c r="R1589">
        <v>4.5999999999999996</v>
      </c>
      <c r="S1589">
        <v>4</v>
      </c>
      <c r="T1589">
        <f t="shared" si="24"/>
        <v>1</v>
      </c>
    </row>
    <row r="1590" spans="1:20">
      <c r="A1590" s="4">
        <v>45166</v>
      </c>
      <c r="B1590">
        <v>2023</v>
      </c>
      <c r="C1590">
        <v>8</v>
      </c>
      <c r="D1590" s="5" t="s">
        <v>44</v>
      </c>
      <c r="E1590" s="5" t="s">
        <v>45</v>
      </c>
      <c r="F1590" s="5" t="s">
        <v>46</v>
      </c>
      <c r="G1590" s="5" t="s">
        <v>47</v>
      </c>
      <c r="H1590" s="5" t="s">
        <v>52</v>
      </c>
      <c r="I1590" s="5" t="s">
        <v>53</v>
      </c>
      <c r="J1590" s="5" t="s">
        <v>41</v>
      </c>
      <c r="K1590">
        <v>41</v>
      </c>
      <c r="L1590">
        <v>954045</v>
      </c>
      <c r="M1590" s="26">
        <v>39115845</v>
      </c>
      <c r="N1590">
        <v>30880</v>
      </c>
      <c r="O1590" s="26">
        <v>5244202.75</v>
      </c>
      <c r="P1590" s="5" t="s">
        <v>42</v>
      </c>
      <c r="Q1590" s="5" t="s">
        <v>43</v>
      </c>
      <c r="R1590">
        <v>4.3</v>
      </c>
      <c r="S1590">
        <v>21</v>
      </c>
      <c r="T1590">
        <f t="shared" si="24"/>
        <v>1</v>
      </c>
    </row>
    <row r="1591" spans="1:20">
      <c r="A1591" s="4">
        <v>45146</v>
      </c>
      <c r="B1591">
        <v>2023</v>
      </c>
      <c r="C1591">
        <v>8</v>
      </c>
      <c r="D1591" s="5" t="s">
        <v>35</v>
      </c>
      <c r="E1591" s="5" t="s">
        <v>60</v>
      </c>
      <c r="F1591" s="5" t="s">
        <v>61</v>
      </c>
      <c r="G1591" s="5" t="s">
        <v>62</v>
      </c>
      <c r="H1591" s="5" t="s">
        <v>52</v>
      </c>
      <c r="I1591" s="5" t="s">
        <v>53</v>
      </c>
      <c r="J1591" s="5" t="s">
        <v>41</v>
      </c>
      <c r="K1591">
        <v>50</v>
      </c>
      <c r="L1591">
        <v>944956</v>
      </c>
      <c r="M1591" s="26">
        <v>47247800</v>
      </c>
      <c r="N1591">
        <v>47868</v>
      </c>
      <c r="O1591" s="26">
        <v>7075692.0899999999</v>
      </c>
      <c r="P1591" s="5" t="s">
        <v>50</v>
      </c>
      <c r="Q1591" s="5" t="s">
        <v>43</v>
      </c>
      <c r="R1591">
        <v>4.2</v>
      </c>
      <c r="S1591">
        <v>11</v>
      </c>
      <c r="T1591">
        <f t="shared" si="24"/>
        <v>0</v>
      </c>
    </row>
    <row r="1592" spans="1:20">
      <c r="A1592" s="4">
        <v>45139</v>
      </c>
      <c r="B1592">
        <v>2023</v>
      </c>
      <c r="C1592">
        <v>8</v>
      </c>
      <c r="D1592" s="5" t="s">
        <v>35</v>
      </c>
      <c r="E1592" s="5" t="s">
        <v>76</v>
      </c>
      <c r="F1592" s="5" t="s">
        <v>77</v>
      </c>
      <c r="G1592" s="5" t="s">
        <v>78</v>
      </c>
      <c r="H1592" s="5" t="s">
        <v>39</v>
      </c>
      <c r="I1592" s="5" t="s">
        <v>40</v>
      </c>
      <c r="J1592" s="5" t="s">
        <v>41</v>
      </c>
      <c r="K1592">
        <v>17</v>
      </c>
      <c r="L1592">
        <v>557262</v>
      </c>
      <c r="M1592" s="26">
        <v>9473454</v>
      </c>
      <c r="N1592">
        <v>17183</v>
      </c>
      <c r="O1592" s="26">
        <v>1301185.47</v>
      </c>
      <c r="P1592" s="5" t="s">
        <v>50</v>
      </c>
      <c r="Q1592" s="5" t="s">
        <v>51</v>
      </c>
      <c r="R1592">
        <v>4.4000000000000004</v>
      </c>
      <c r="S1592">
        <v>17</v>
      </c>
      <c r="T1592">
        <f t="shared" si="24"/>
        <v>0</v>
      </c>
    </row>
    <row r="1593" spans="1:20">
      <c r="A1593" s="4">
        <v>45144</v>
      </c>
      <c r="B1593">
        <v>2023</v>
      </c>
      <c r="C1593">
        <v>8</v>
      </c>
      <c r="D1593" s="5" t="s">
        <v>66</v>
      </c>
      <c r="E1593" s="5" t="s">
        <v>67</v>
      </c>
      <c r="F1593" s="5" t="s">
        <v>68</v>
      </c>
      <c r="G1593" s="5" t="s">
        <v>69</v>
      </c>
      <c r="H1593" s="5" t="s">
        <v>86</v>
      </c>
      <c r="I1593" s="5" t="s">
        <v>40</v>
      </c>
      <c r="J1593" s="5" t="s">
        <v>41</v>
      </c>
      <c r="K1593">
        <v>24</v>
      </c>
      <c r="L1593">
        <v>584956</v>
      </c>
      <c r="M1593" s="26">
        <v>14038944</v>
      </c>
      <c r="N1593">
        <v>39565</v>
      </c>
      <c r="O1593" s="26">
        <v>2183959.8199999998</v>
      </c>
      <c r="P1593" s="5" t="s">
        <v>42</v>
      </c>
      <c r="Q1593" s="5" t="s">
        <v>75</v>
      </c>
      <c r="R1593">
        <v>4.0999999999999996</v>
      </c>
      <c r="S1593">
        <v>17</v>
      </c>
      <c r="T1593">
        <f t="shared" si="24"/>
        <v>1</v>
      </c>
    </row>
    <row r="1594" spans="1:20">
      <c r="A1594" s="4">
        <v>45145</v>
      </c>
      <c r="B1594">
        <v>2023</v>
      </c>
      <c r="C1594">
        <v>8</v>
      </c>
      <c r="D1594" s="5" t="s">
        <v>44</v>
      </c>
      <c r="E1594" s="5" t="s">
        <v>45</v>
      </c>
      <c r="F1594" s="5" t="s">
        <v>46</v>
      </c>
      <c r="G1594" s="5" t="s">
        <v>47</v>
      </c>
      <c r="H1594" s="5" t="s">
        <v>85</v>
      </c>
      <c r="I1594" s="5" t="s">
        <v>58</v>
      </c>
      <c r="J1594" s="5" t="s">
        <v>49</v>
      </c>
      <c r="K1594">
        <v>13</v>
      </c>
      <c r="L1594">
        <v>984655</v>
      </c>
      <c r="M1594" s="26">
        <v>12800515</v>
      </c>
      <c r="N1594">
        <v>29855</v>
      </c>
      <c r="O1594" s="26">
        <v>1274356.19</v>
      </c>
      <c r="P1594" s="5" t="s">
        <v>50</v>
      </c>
      <c r="Q1594" s="5" t="s">
        <v>43</v>
      </c>
      <c r="R1594">
        <v>4.4000000000000004</v>
      </c>
      <c r="S1594">
        <v>10</v>
      </c>
      <c r="T1594">
        <f t="shared" si="24"/>
        <v>0</v>
      </c>
    </row>
    <row r="1595" spans="1:20">
      <c r="A1595" s="4">
        <v>45152</v>
      </c>
      <c r="B1595">
        <v>2023</v>
      </c>
      <c r="C1595">
        <v>8</v>
      </c>
      <c r="D1595" s="5" t="s">
        <v>35</v>
      </c>
      <c r="E1595" s="5" t="s">
        <v>60</v>
      </c>
      <c r="F1595" s="5" t="s">
        <v>61</v>
      </c>
      <c r="G1595" s="5" t="s">
        <v>62</v>
      </c>
      <c r="H1595" s="5" t="s">
        <v>63</v>
      </c>
      <c r="I1595" s="5" t="s">
        <v>64</v>
      </c>
      <c r="J1595" s="5" t="s">
        <v>41</v>
      </c>
      <c r="K1595">
        <v>37</v>
      </c>
      <c r="L1595">
        <v>752229</v>
      </c>
      <c r="M1595" s="26">
        <v>27832473</v>
      </c>
      <c r="N1595">
        <v>20887</v>
      </c>
      <c r="O1595" s="26">
        <v>2675214.12</v>
      </c>
      <c r="P1595" s="5" t="s">
        <v>50</v>
      </c>
      <c r="Q1595" s="5" t="s">
        <v>51</v>
      </c>
      <c r="R1595">
        <v>4.4000000000000004</v>
      </c>
      <c r="S1595">
        <v>14</v>
      </c>
      <c r="T1595">
        <f t="shared" si="24"/>
        <v>0</v>
      </c>
    </row>
    <row r="1596" spans="1:20">
      <c r="A1596" s="4">
        <v>45163</v>
      </c>
      <c r="B1596">
        <v>2023</v>
      </c>
      <c r="C1596">
        <v>8</v>
      </c>
      <c r="D1596" s="5" t="s">
        <v>54</v>
      </c>
      <c r="E1596" s="5" t="s">
        <v>55</v>
      </c>
      <c r="F1596" s="5" t="s">
        <v>55</v>
      </c>
      <c r="G1596" s="5" t="s">
        <v>56</v>
      </c>
      <c r="H1596" s="5" t="s">
        <v>74</v>
      </c>
      <c r="I1596" s="5" t="s">
        <v>40</v>
      </c>
      <c r="J1596" s="5" t="s">
        <v>49</v>
      </c>
      <c r="K1596">
        <v>14</v>
      </c>
      <c r="L1596">
        <v>635830</v>
      </c>
      <c r="M1596" s="26">
        <v>8901620</v>
      </c>
      <c r="N1596">
        <v>31435</v>
      </c>
      <c r="O1596" s="26">
        <v>859864.1</v>
      </c>
      <c r="P1596" s="5" t="s">
        <v>42</v>
      </c>
      <c r="Q1596" s="5" t="s">
        <v>43</v>
      </c>
      <c r="R1596">
        <v>4.5999999999999996</v>
      </c>
      <c r="S1596">
        <v>16</v>
      </c>
      <c r="T1596">
        <f t="shared" si="24"/>
        <v>1</v>
      </c>
    </row>
    <row r="1597" spans="1:20">
      <c r="A1597" s="4">
        <v>45151</v>
      </c>
      <c r="B1597">
        <v>2023</v>
      </c>
      <c r="C1597">
        <v>8</v>
      </c>
      <c r="D1597" s="5" t="s">
        <v>35</v>
      </c>
      <c r="E1597" s="5" t="s">
        <v>76</v>
      </c>
      <c r="F1597" s="5" t="s">
        <v>77</v>
      </c>
      <c r="G1597" s="5" t="s">
        <v>78</v>
      </c>
      <c r="H1597" s="5" t="s">
        <v>63</v>
      </c>
      <c r="I1597" s="5" t="s">
        <v>64</v>
      </c>
      <c r="J1597" s="5" t="s">
        <v>41</v>
      </c>
      <c r="K1597">
        <v>16</v>
      </c>
      <c r="L1597">
        <v>778592</v>
      </c>
      <c r="M1597" s="26">
        <v>12457472</v>
      </c>
      <c r="N1597">
        <v>38978</v>
      </c>
      <c r="O1597" s="26">
        <v>1600388.24</v>
      </c>
      <c r="P1597" s="5" t="s">
        <v>42</v>
      </c>
      <c r="Q1597" s="5" t="s">
        <v>43</v>
      </c>
      <c r="R1597">
        <v>4.5</v>
      </c>
      <c r="S1597">
        <v>6</v>
      </c>
      <c r="T1597">
        <f t="shared" si="24"/>
        <v>1</v>
      </c>
    </row>
    <row r="1598" spans="1:20">
      <c r="A1598" s="4">
        <v>45160</v>
      </c>
      <c r="B1598">
        <v>2023</v>
      </c>
      <c r="C1598">
        <v>8</v>
      </c>
      <c r="D1598" s="5" t="s">
        <v>66</v>
      </c>
      <c r="E1598" s="5" t="s">
        <v>67</v>
      </c>
      <c r="F1598" s="5" t="s">
        <v>68</v>
      </c>
      <c r="G1598" s="5" t="s">
        <v>69</v>
      </c>
      <c r="H1598" s="5" t="s">
        <v>80</v>
      </c>
      <c r="I1598" s="5" t="s">
        <v>81</v>
      </c>
      <c r="J1598" s="5" t="s">
        <v>41</v>
      </c>
      <c r="K1598">
        <v>44</v>
      </c>
      <c r="L1598">
        <v>567340</v>
      </c>
      <c r="M1598" s="26">
        <v>24962960</v>
      </c>
      <c r="N1598">
        <v>41505</v>
      </c>
      <c r="O1598" s="26">
        <v>2778063.23</v>
      </c>
      <c r="P1598" s="5" t="s">
        <v>42</v>
      </c>
      <c r="Q1598" s="5" t="s">
        <v>43</v>
      </c>
      <c r="R1598">
        <v>4.3</v>
      </c>
      <c r="S1598">
        <v>11</v>
      </c>
      <c r="T1598">
        <f t="shared" si="24"/>
        <v>1</v>
      </c>
    </row>
    <row r="1599" spans="1:20">
      <c r="A1599" s="4">
        <v>45166</v>
      </c>
      <c r="B1599">
        <v>2023</v>
      </c>
      <c r="C1599">
        <v>8</v>
      </c>
      <c r="D1599" s="5" t="s">
        <v>35</v>
      </c>
      <c r="E1599" s="5" t="s">
        <v>76</v>
      </c>
      <c r="F1599" s="5" t="s">
        <v>77</v>
      </c>
      <c r="G1599" s="5" t="s">
        <v>78</v>
      </c>
      <c r="H1599" s="5" t="s">
        <v>73</v>
      </c>
      <c r="I1599" s="5" t="s">
        <v>40</v>
      </c>
      <c r="J1599" s="5" t="s">
        <v>49</v>
      </c>
      <c r="K1599">
        <v>31</v>
      </c>
      <c r="L1599">
        <v>739780</v>
      </c>
      <c r="M1599" s="26">
        <v>22933180</v>
      </c>
      <c r="N1599">
        <v>16794</v>
      </c>
      <c r="O1599" s="26">
        <v>3178532.23</v>
      </c>
      <c r="P1599" s="5" t="s">
        <v>50</v>
      </c>
      <c r="Q1599" s="5" t="s">
        <v>51</v>
      </c>
      <c r="R1599">
        <v>4.5</v>
      </c>
      <c r="S1599">
        <v>16</v>
      </c>
      <c r="T1599">
        <f t="shared" si="24"/>
        <v>0</v>
      </c>
    </row>
    <row r="1600" spans="1:20">
      <c r="A1600" s="4">
        <v>45162</v>
      </c>
      <c r="B1600">
        <v>2023</v>
      </c>
      <c r="C1600">
        <v>8</v>
      </c>
      <c r="D1600" s="5" t="s">
        <v>66</v>
      </c>
      <c r="E1600" s="5" t="s">
        <v>67</v>
      </c>
      <c r="F1600" s="5" t="s">
        <v>68</v>
      </c>
      <c r="G1600" s="5" t="s">
        <v>69</v>
      </c>
      <c r="H1600" s="5" t="s">
        <v>65</v>
      </c>
      <c r="I1600" s="5" t="s">
        <v>53</v>
      </c>
      <c r="J1600" s="5" t="s">
        <v>49</v>
      </c>
      <c r="K1600">
        <v>35</v>
      </c>
      <c r="L1600">
        <v>1239299</v>
      </c>
      <c r="M1600" s="26">
        <v>43375465</v>
      </c>
      <c r="N1600">
        <v>33053</v>
      </c>
      <c r="O1600" s="26">
        <v>5151487.46</v>
      </c>
      <c r="P1600" s="5" t="s">
        <v>50</v>
      </c>
      <c r="Q1600" s="5" t="s">
        <v>43</v>
      </c>
      <c r="R1600">
        <v>4.7</v>
      </c>
      <c r="S1600">
        <v>15</v>
      </c>
      <c r="T1600">
        <f t="shared" si="24"/>
        <v>0</v>
      </c>
    </row>
    <row r="1601" spans="1:20">
      <c r="A1601" s="4">
        <v>45158</v>
      </c>
      <c r="B1601">
        <v>2023</v>
      </c>
      <c r="C1601">
        <v>8</v>
      </c>
      <c r="D1601" s="5" t="s">
        <v>44</v>
      </c>
      <c r="E1601" s="5" t="s">
        <v>82</v>
      </c>
      <c r="F1601" s="5" t="s">
        <v>83</v>
      </c>
      <c r="G1601" s="5" t="s">
        <v>84</v>
      </c>
      <c r="H1601" s="5" t="s">
        <v>86</v>
      </c>
      <c r="I1601" s="5" t="s">
        <v>40</v>
      </c>
      <c r="J1601" s="5" t="s">
        <v>41</v>
      </c>
      <c r="K1601">
        <v>26</v>
      </c>
      <c r="L1601">
        <v>608178</v>
      </c>
      <c r="M1601" s="26">
        <v>15812628</v>
      </c>
      <c r="N1601">
        <v>23070</v>
      </c>
      <c r="O1601" s="26">
        <v>2378296.9</v>
      </c>
      <c r="P1601" s="5" t="s">
        <v>42</v>
      </c>
      <c r="Q1601" s="5" t="s">
        <v>43</v>
      </c>
      <c r="R1601">
        <v>3.9</v>
      </c>
      <c r="S1601">
        <v>16</v>
      </c>
      <c r="T1601">
        <f t="shared" si="24"/>
        <v>1</v>
      </c>
    </row>
    <row r="1602" spans="1:20">
      <c r="A1602" s="4">
        <v>45189</v>
      </c>
      <c r="B1602">
        <v>2023</v>
      </c>
      <c r="C1602">
        <v>9</v>
      </c>
      <c r="D1602" s="5" t="s">
        <v>35</v>
      </c>
      <c r="E1602" s="5" t="s">
        <v>76</v>
      </c>
      <c r="F1602" s="5" t="s">
        <v>77</v>
      </c>
      <c r="G1602" s="5" t="s">
        <v>78</v>
      </c>
      <c r="H1602" s="5" t="s">
        <v>65</v>
      </c>
      <c r="I1602" s="5" t="s">
        <v>53</v>
      </c>
      <c r="J1602" s="5" t="s">
        <v>49</v>
      </c>
      <c r="K1602">
        <v>15</v>
      </c>
      <c r="L1602">
        <v>1245419</v>
      </c>
      <c r="M1602" s="26">
        <v>18681285</v>
      </c>
      <c r="N1602">
        <v>44541</v>
      </c>
      <c r="O1602" s="26">
        <v>2824134.25</v>
      </c>
      <c r="P1602" s="5" t="s">
        <v>50</v>
      </c>
      <c r="Q1602" s="5" t="s">
        <v>51</v>
      </c>
      <c r="R1602">
        <v>4.5999999999999996</v>
      </c>
      <c r="S1602">
        <v>17</v>
      </c>
      <c r="T1602">
        <f t="shared" ref="T1602:T1665" si="25">IF(AND(OR($B1602=Sel_Year,Sel_Year="All"),OR($C1602=Sel_Month,Sel_Month="All"),OR($D1602=Sel_Region,Sel_Region="All"),OR($E1602=Sel_State,Sel_State="All"),OR($F1602=Sel_City,Sel_City="All"),OR($G1602=Sel_Dealer,Sel_Dealer="All"),OR($H1602=Sel_Model,Sel_Model="All"),OR($I1602=Sel_Segment,Sel_Segment="All"),OR($J1602=Sel_Fuel,Sel_Fuel="All"),OR($P1602=Sel_CustType,Sel_CustType="All"),OR($Q1602=Sel_Payment,Sel_Payment="All")),1,0)</f>
        <v>0</v>
      </c>
    </row>
    <row r="1603" spans="1:20">
      <c r="A1603" s="4">
        <v>45195</v>
      </c>
      <c r="B1603">
        <v>2023</v>
      </c>
      <c r="C1603">
        <v>9</v>
      </c>
      <c r="D1603" s="5" t="s">
        <v>44</v>
      </c>
      <c r="E1603" s="5" t="s">
        <v>82</v>
      </c>
      <c r="F1603" s="5" t="s">
        <v>83</v>
      </c>
      <c r="G1603" s="5" t="s">
        <v>84</v>
      </c>
      <c r="H1603" s="5" t="s">
        <v>79</v>
      </c>
      <c r="I1603" s="5" t="s">
        <v>58</v>
      </c>
      <c r="J1603" s="5" t="s">
        <v>49</v>
      </c>
      <c r="K1603">
        <v>60</v>
      </c>
      <c r="L1603">
        <v>903041</v>
      </c>
      <c r="M1603" s="26">
        <v>54182460</v>
      </c>
      <c r="N1603">
        <v>5155</v>
      </c>
      <c r="O1603" s="26">
        <v>5620867.2800000003</v>
      </c>
      <c r="P1603" s="5" t="s">
        <v>42</v>
      </c>
      <c r="Q1603" s="5" t="s">
        <v>75</v>
      </c>
      <c r="R1603">
        <v>4.5999999999999996</v>
      </c>
      <c r="S1603">
        <v>11</v>
      </c>
      <c r="T1603">
        <f t="shared" si="25"/>
        <v>1</v>
      </c>
    </row>
    <row r="1604" spans="1:20">
      <c r="A1604" s="4">
        <v>45179</v>
      </c>
      <c r="B1604">
        <v>2023</v>
      </c>
      <c r="C1604">
        <v>9</v>
      </c>
      <c r="D1604" s="5" t="s">
        <v>54</v>
      </c>
      <c r="E1604" s="5" t="s">
        <v>55</v>
      </c>
      <c r="F1604" s="5" t="s">
        <v>55</v>
      </c>
      <c r="G1604" s="5" t="s">
        <v>56</v>
      </c>
      <c r="H1604" s="5" t="s">
        <v>57</v>
      </c>
      <c r="I1604" s="5" t="s">
        <v>58</v>
      </c>
      <c r="J1604" s="5" t="s">
        <v>59</v>
      </c>
      <c r="K1604">
        <v>15</v>
      </c>
      <c r="L1604">
        <v>1388610</v>
      </c>
      <c r="M1604" s="26">
        <v>20829150</v>
      </c>
      <c r="N1604">
        <v>7481</v>
      </c>
      <c r="O1604" s="26">
        <v>2647364.89</v>
      </c>
      <c r="P1604" s="5" t="s">
        <v>42</v>
      </c>
      <c r="Q1604" s="5" t="s">
        <v>43</v>
      </c>
      <c r="R1604">
        <v>4.5999999999999996</v>
      </c>
      <c r="S1604">
        <v>8</v>
      </c>
      <c r="T1604">
        <f t="shared" si="25"/>
        <v>1</v>
      </c>
    </row>
    <row r="1605" spans="1:20">
      <c r="A1605" s="4">
        <v>45181</v>
      </c>
      <c r="B1605">
        <v>2023</v>
      </c>
      <c r="C1605">
        <v>9</v>
      </c>
      <c r="D1605" s="5" t="s">
        <v>54</v>
      </c>
      <c r="E1605" s="5" t="s">
        <v>70</v>
      </c>
      <c r="F1605" s="5" t="s">
        <v>71</v>
      </c>
      <c r="G1605" s="5" t="s">
        <v>72</v>
      </c>
      <c r="H1605" s="5" t="s">
        <v>74</v>
      </c>
      <c r="I1605" s="5" t="s">
        <v>40</v>
      </c>
      <c r="J1605" s="5" t="s">
        <v>49</v>
      </c>
      <c r="K1605">
        <v>31</v>
      </c>
      <c r="L1605">
        <v>641634</v>
      </c>
      <c r="M1605" s="26">
        <v>19890654</v>
      </c>
      <c r="N1605">
        <v>45243</v>
      </c>
      <c r="O1605" s="26">
        <v>2391784.9700000002</v>
      </c>
      <c r="P1605" s="5" t="s">
        <v>42</v>
      </c>
      <c r="Q1605" s="5" t="s">
        <v>51</v>
      </c>
      <c r="R1605">
        <v>3.9</v>
      </c>
      <c r="S1605">
        <v>12</v>
      </c>
      <c r="T1605">
        <f t="shared" si="25"/>
        <v>1</v>
      </c>
    </row>
    <row r="1606" spans="1:20">
      <c r="A1606" s="4">
        <v>45175</v>
      </c>
      <c r="B1606">
        <v>2023</v>
      </c>
      <c r="C1606">
        <v>9</v>
      </c>
      <c r="D1606" s="5" t="s">
        <v>35</v>
      </c>
      <c r="E1606" s="5" t="s">
        <v>36</v>
      </c>
      <c r="F1606" s="5" t="s">
        <v>37</v>
      </c>
      <c r="G1606" s="5" t="s">
        <v>38</v>
      </c>
      <c r="H1606" s="5" t="s">
        <v>73</v>
      </c>
      <c r="I1606" s="5" t="s">
        <v>40</v>
      </c>
      <c r="J1606" s="5" t="s">
        <v>49</v>
      </c>
      <c r="K1606">
        <v>7</v>
      </c>
      <c r="L1606">
        <v>713030</v>
      </c>
      <c r="M1606" s="26">
        <v>4991210</v>
      </c>
      <c r="N1606">
        <v>37102</v>
      </c>
      <c r="O1606" s="26">
        <v>525257.19999999995</v>
      </c>
      <c r="P1606" s="5" t="s">
        <v>50</v>
      </c>
      <c r="Q1606" s="5" t="s">
        <v>43</v>
      </c>
      <c r="R1606">
        <v>3.7</v>
      </c>
      <c r="S1606">
        <v>20</v>
      </c>
      <c r="T1606">
        <f t="shared" si="25"/>
        <v>0</v>
      </c>
    </row>
    <row r="1607" spans="1:20">
      <c r="A1607" s="4">
        <v>45185</v>
      </c>
      <c r="B1607">
        <v>2023</v>
      </c>
      <c r="C1607">
        <v>9</v>
      </c>
      <c r="D1607" s="5" t="s">
        <v>35</v>
      </c>
      <c r="E1607" s="5" t="s">
        <v>36</v>
      </c>
      <c r="F1607" s="5" t="s">
        <v>37</v>
      </c>
      <c r="G1607" s="5" t="s">
        <v>38</v>
      </c>
      <c r="H1607" s="5" t="s">
        <v>73</v>
      </c>
      <c r="I1607" s="5" t="s">
        <v>40</v>
      </c>
      <c r="J1607" s="5" t="s">
        <v>49</v>
      </c>
      <c r="K1607">
        <v>49</v>
      </c>
      <c r="L1607">
        <v>722008</v>
      </c>
      <c r="M1607" s="26">
        <v>35378392</v>
      </c>
      <c r="N1607">
        <v>47681</v>
      </c>
      <c r="O1607" s="26">
        <v>3103803.48</v>
      </c>
      <c r="P1607" s="5" t="s">
        <v>50</v>
      </c>
      <c r="Q1607" s="5" t="s">
        <v>75</v>
      </c>
      <c r="R1607">
        <v>3.8</v>
      </c>
      <c r="S1607">
        <v>11</v>
      </c>
      <c r="T1607">
        <f t="shared" si="25"/>
        <v>0</v>
      </c>
    </row>
    <row r="1608" spans="1:20">
      <c r="A1608" s="4">
        <v>45173</v>
      </c>
      <c r="B1608">
        <v>2023</v>
      </c>
      <c r="C1608">
        <v>9</v>
      </c>
      <c r="D1608" s="5" t="s">
        <v>44</v>
      </c>
      <c r="E1608" s="5" t="s">
        <v>45</v>
      </c>
      <c r="F1608" s="5" t="s">
        <v>46</v>
      </c>
      <c r="G1608" s="5" t="s">
        <v>47</v>
      </c>
      <c r="H1608" s="5" t="s">
        <v>65</v>
      </c>
      <c r="I1608" s="5" t="s">
        <v>53</v>
      </c>
      <c r="J1608" s="5" t="s">
        <v>49</v>
      </c>
      <c r="K1608">
        <v>13</v>
      </c>
      <c r="L1608">
        <v>1276733</v>
      </c>
      <c r="M1608" s="26">
        <v>16597529</v>
      </c>
      <c r="N1608">
        <v>41833</v>
      </c>
      <c r="O1608" s="26">
        <v>1429909.07</v>
      </c>
      <c r="P1608" s="5" t="s">
        <v>50</v>
      </c>
      <c r="Q1608" s="5" t="s">
        <v>51</v>
      </c>
      <c r="R1608">
        <v>4.3</v>
      </c>
      <c r="S1608">
        <v>7</v>
      </c>
      <c r="T1608">
        <f t="shared" si="25"/>
        <v>0</v>
      </c>
    </row>
    <row r="1609" spans="1:20">
      <c r="A1609" s="4">
        <v>45179</v>
      </c>
      <c r="B1609">
        <v>2023</v>
      </c>
      <c r="C1609">
        <v>9</v>
      </c>
      <c r="D1609" s="5" t="s">
        <v>44</v>
      </c>
      <c r="E1609" s="5" t="s">
        <v>45</v>
      </c>
      <c r="F1609" s="5" t="s">
        <v>46</v>
      </c>
      <c r="G1609" s="5" t="s">
        <v>47</v>
      </c>
      <c r="H1609" s="5" t="s">
        <v>79</v>
      </c>
      <c r="I1609" s="5" t="s">
        <v>58</v>
      </c>
      <c r="J1609" s="5" t="s">
        <v>49</v>
      </c>
      <c r="K1609">
        <v>11</v>
      </c>
      <c r="L1609">
        <v>890385</v>
      </c>
      <c r="M1609" s="26">
        <v>9794235</v>
      </c>
      <c r="N1609">
        <v>24271</v>
      </c>
      <c r="O1609" s="26">
        <v>1307412.33</v>
      </c>
      <c r="P1609" s="5" t="s">
        <v>50</v>
      </c>
      <c r="Q1609" s="5" t="s">
        <v>43</v>
      </c>
      <c r="R1609">
        <v>4.8</v>
      </c>
      <c r="S1609">
        <v>7</v>
      </c>
      <c r="T1609">
        <f t="shared" si="25"/>
        <v>0</v>
      </c>
    </row>
    <row r="1610" spans="1:20">
      <c r="A1610" s="4">
        <v>45195</v>
      </c>
      <c r="B1610">
        <v>2023</v>
      </c>
      <c r="C1610">
        <v>9</v>
      </c>
      <c r="D1610" s="5" t="s">
        <v>35</v>
      </c>
      <c r="E1610" s="5" t="s">
        <v>60</v>
      </c>
      <c r="F1610" s="5" t="s">
        <v>61</v>
      </c>
      <c r="G1610" s="5" t="s">
        <v>62</v>
      </c>
      <c r="H1610" s="5" t="s">
        <v>57</v>
      </c>
      <c r="I1610" s="5" t="s">
        <v>58</v>
      </c>
      <c r="J1610" s="5" t="s">
        <v>59</v>
      </c>
      <c r="K1610">
        <v>27</v>
      </c>
      <c r="L1610">
        <v>1421163</v>
      </c>
      <c r="M1610" s="26">
        <v>38371401</v>
      </c>
      <c r="N1610">
        <v>13205</v>
      </c>
      <c r="O1610" s="26">
        <v>4199612.0999999996</v>
      </c>
      <c r="P1610" s="5" t="s">
        <v>50</v>
      </c>
      <c r="Q1610" s="5" t="s">
        <v>51</v>
      </c>
      <c r="R1610">
        <v>4.7</v>
      </c>
      <c r="S1610">
        <v>14</v>
      </c>
      <c r="T1610">
        <f t="shared" si="25"/>
        <v>0</v>
      </c>
    </row>
    <row r="1611" spans="1:20">
      <c r="A1611" s="4">
        <v>45185</v>
      </c>
      <c r="B1611">
        <v>2023</v>
      </c>
      <c r="C1611">
        <v>9</v>
      </c>
      <c r="D1611" s="5" t="s">
        <v>66</v>
      </c>
      <c r="E1611" s="5" t="s">
        <v>67</v>
      </c>
      <c r="F1611" s="5" t="s">
        <v>68</v>
      </c>
      <c r="G1611" s="5" t="s">
        <v>69</v>
      </c>
      <c r="H1611" s="5" t="s">
        <v>79</v>
      </c>
      <c r="I1611" s="5" t="s">
        <v>58</v>
      </c>
      <c r="J1611" s="5" t="s">
        <v>49</v>
      </c>
      <c r="K1611">
        <v>33</v>
      </c>
      <c r="L1611">
        <v>922213</v>
      </c>
      <c r="M1611" s="26">
        <v>30433029</v>
      </c>
      <c r="N1611">
        <v>14531</v>
      </c>
      <c r="O1611" s="26">
        <v>3919622.11</v>
      </c>
      <c r="P1611" s="5" t="s">
        <v>50</v>
      </c>
      <c r="Q1611" s="5" t="s">
        <v>75</v>
      </c>
      <c r="R1611">
        <v>3.9</v>
      </c>
      <c r="S1611">
        <v>14</v>
      </c>
      <c r="T1611">
        <f t="shared" si="25"/>
        <v>0</v>
      </c>
    </row>
    <row r="1612" spans="1:20">
      <c r="A1612" s="4">
        <v>45189</v>
      </c>
      <c r="B1612">
        <v>2023</v>
      </c>
      <c r="C1612">
        <v>9</v>
      </c>
      <c r="D1612" s="5" t="s">
        <v>35</v>
      </c>
      <c r="E1612" s="5" t="s">
        <v>36</v>
      </c>
      <c r="F1612" s="5" t="s">
        <v>37</v>
      </c>
      <c r="G1612" s="5" t="s">
        <v>38</v>
      </c>
      <c r="H1612" s="5" t="s">
        <v>57</v>
      </c>
      <c r="I1612" s="5" t="s">
        <v>58</v>
      </c>
      <c r="J1612" s="5" t="s">
        <v>59</v>
      </c>
      <c r="K1612">
        <v>49</v>
      </c>
      <c r="L1612">
        <v>1423268</v>
      </c>
      <c r="M1612" s="26">
        <v>69740132</v>
      </c>
      <c r="N1612">
        <v>23513</v>
      </c>
      <c r="O1612" s="26">
        <v>6573084.6699999999</v>
      </c>
      <c r="P1612" s="5" t="s">
        <v>50</v>
      </c>
      <c r="Q1612" s="5" t="s">
        <v>75</v>
      </c>
      <c r="R1612">
        <v>3.9</v>
      </c>
      <c r="S1612">
        <v>19</v>
      </c>
      <c r="T1612">
        <f t="shared" si="25"/>
        <v>0</v>
      </c>
    </row>
    <row r="1613" spans="1:20">
      <c r="A1613" s="4">
        <v>45188</v>
      </c>
      <c r="B1613">
        <v>2023</v>
      </c>
      <c r="C1613">
        <v>9</v>
      </c>
      <c r="D1613" s="5" t="s">
        <v>35</v>
      </c>
      <c r="E1613" s="5" t="s">
        <v>36</v>
      </c>
      <c r="F1613" s="5" t="s">
        <v>37</v>
      </c>
      <c r="G1613" s="5" t="s">
        <v>38</v>
      </c>
      <c r="H1613" s="5" t="s">
        <v>39</v>
      </c>
      <c r="I1613" s="5" t="s">
        <v>40</v>
      </c>
      <c r="J1613" s="5" t="s">
        <v>41</v>
      </c>
      <c r="K1613">
        <v>49</v>
      </c>
      <c r="L1613">
        <v>562257</v>
      </c>
      <c r="M1613" s="26">
        <v>27550593</v>
      </c>
      <c r="N1613">
        <v>44275</v>
      </c>
      <c r="O1613" s="26">
        <v>3590384.83</v>
      </c>
      <c r="P1613" s="5" t="s">
        <v>42</v>
      </c>
      <c r="Q1613" s="5" t="s">
        <v>51</v>
      </c>
      <c r="R1613">
        <v>5</v>
      </c>
      <c r="S1613">
        <v>17</v>
      </c>
      <c r="T1613">
        <f t="shared" si="25"/>
        <v>1</v>
      </c>
    </row>
    <row r="1614" spans="1:20">
      <c r="A1614" s="4">
        <v>45188</v>
      </c>
      <c r="B1614">
        <v>2023</v>
      </c>
      <c r="C1614">
        <v>9</v>
      </c>
      <c r="D1614" s="5" t="s">
        <v>35</v>
      </c>
      <c r="E1614" s="5" t="s">
        <v>36</v>
      </c>
      <c r="F1614" s="5" t="s">
        <v>37</v>
      </c>
      <c r="G1614" s="5" t="s">
        <v>38</v>
      </c>
      <c r="H1614" s="5" t="s">
        <v>39</v>
      </c>
      <c r="I1614" s="5" t="s">
        <v>40</v>
      </c>
      <c r="J1614" s="5" t="s">
        <v>41</v>
      </c>
      <c r="K1614">
        <v>37</v>
      </c>
      <c r="L1614">
        <v>601889</v>
      </c>
      <c r="M1614" s="26">
        <v>22269893</v>
      </c>
      <c r="N1614">
        <v>48863</v>
      </c>
      <c r="O1614" s="26">
        <v>1972697.45</v>
      </c>
      <c r="P1614" s="5" t="s">
        <v>50</v>
      </c>
      <c r="Q1614" s="5" t="s">
        <v>43</v>
      </c>
      <c r="R1614">
        <v>4</v>
      </c>
      <c r="S1614">
        <v>21</v>
      </c>
      <c r="T1614">
        <f t="shared" si="25"/>
        <v>0</v>
      </c>
    </row>
    <row r="1615" spans="1:20">
      <c r="A1615" s="4">
        <v>45179</v>
      </c>
      <c r="B1615">
        <v>2023</v>
      </c>
      <c r="C1615">
        <v>9</v>
      </c>
      <c r="D1615" s="5" t="s">
        <v>66</v>
      </c>
      <c r="E1615" s="5" t="s">
        <v>67</v>
      </c>
      <c r="F1615" s="5" t="s">
        <v>68</v>
      </c>
      <c r="G1615" s="5" t="s">
        <v>69</v>
      </c>
      <c r="H1615" s="5" t="s">
        <v>79</v>
      </c>
      <c r="I1615" s="5" t="s">
        <v>58</v>
      </c>
      <c r="J1615" s="5" t="s">
        <v>49</v>
      </c>
      <c r="K1615">
        <v>26</v>
      </c>
      <c r="L1615">
        <v>926907</v>
      </c>
      <c r="M1615" s="26">
        <v>24099582</v>
      </c>
      <c r="N1615">
        <v>36586</v>
      </c>
      <c r="O1615" s="26">
        <v>3745704.4</v>
      </c>
      <c r="P1615" s="5" t="s">
        <v>42</v>
      </c>
      <c r="Q1615" s="5" t="s">
        <v>75</v>
      </c>
      <c r="R1615">
        <v>4.9000000000000004</v>
      </c>
      <c r="S1615">
        <v>15</v>
      </c>
      <c r="T1615">
        <f t="shared" si="25"/>
        <v>1</v>
      </c>
    </row>
    <row r="1616" spans="1:20">
      <c r="A1616" s="4">
        <v>45197</v>
      </c>
      <c r="B1616">
        <v>2023</v>
      </c>
      <c r="C1616">
        <v>9</v>
      </c>
      <c r="D1616" s="5" t="s">
        <v>35</v>
      </c>
      <c r="E1616" s="5" t="s">
        <v>36</v>
      </c>
      <c r="F1616" s="5" t="s">
        <v>37</v>
      </c>
      <c r="G1616" s="5" t="s">
        <v>38</v>
      </c>
      <c r="H1616" s="5" t="s">
        <v>57</v>
      </c>
      <c r="I1616" s="5" t="s">
        <v>58</v>
      </c>
      <c r="J1616" s="5" t="s">
        <v>59</v>
      </c>
      <c r="K1616">
        <v>22</v>
      </c>
      <c r="L1616">
        <v>1409111</v>
      </c>
      <c r="M1616" s="26">
        <v>31000442</v>
      </c>
      <c r="N1616">
        <v>39375</v>
      </c>
      <c r="O1616" s="26">
        <v>3044859.47</v>
      </c>
      <c r="P1616" s="5" t="s">
        <v>42</v>
      </c>
      <c r="Q1616" s="5" t="s">
        <v>75</v>
      </c>
      <c r="R1616">
        <v>4.3</v>
      </c>
      <c r="S1616">
        <v>18</v>
      </c>
      <c r="T1616">
        <f t="shared" si="25"/>
        <v>1</v>
      </c>
    </row>
    <row r="1617" spans="1:20">
      <c r="A1617" s="4">
        <v>45179</v>
      </c>
      <c r="B1617">
        <v>2023</v>
      </c>
      <c r="C1617">
        <v>9</v>
      </c>
      <c r="D1617" s="5" t="s">
        <v>35</v>
      </c>
      <c r="E1617" s="5" t="s">
        <v>60</v>
      </c>
      <c r="F1617" s="5" t="s">
        <v>61</v>
      </c>
      <c r="G1617" s="5" t="s">
        <v>62</v>
      </c>
      <c r="H1617" s="5" t="s">
        <v>85</v>
      </c>
      <c r="I1617" s="5" t="s">
        <v>58</v>
      </c>
      <c r="J1617" s="5" t="s">
        <v>49</v>
      </c>
      <c r="K1617">
        <v>19</v>
      </c>
      <c r="L1617">
        <v>981440</v>
      </c>
      <c r="M1617" s="26">
        <v>18647360</v>
      </c>
      <c r="N1617">
        <v>15582</v>
      </c>
      <c r="O1617" s="26">
        <v>2062065.26</v>
      </c>
      <c r="P1617" s="5" t="s">
        <v>50</v>
      </c>
      <c r="Q1617" s="5" t="s">
        <v>51</v>
      </c>
      <c r="R1617">
        <v>4.7</v>
      </c>
      <c r="S1617">
        <v>3</v>
      </c>
      <c r="T1617">
        <f t="shared" si="25"/>
        <v>0</v>
      </c>
    </row>
    <row r="1618" spans="1:20">
      <c r="A1618" s="4">
        <v>45196</v>
      </c>
      <c r="B1618">
        <v>2023</v>
      </c>
      <c r="C1618">
        <v>9</v>
      </c>
      <c r="D1618" s="5" t="s">
        <v>44</v>
      </c>
      <c r="E1618" s="5" t="s">
        <v>82</v>
      </c>
      <c r="F1618" s="5" t="s">
        <v>83</v>
      </c>
      <c r="G1618" s="5" t="s">
        <v>84</v>
      </c>
      <c r="H1618" s="5" t="s">
        <v>39</v>
      </c>
      <c r="I1618" s="5" t="s">
        <v>40</v>
      </c>
      <c r="J1618" s="5" t="s">
        <v>41</v>
      </c>
      <c r="K1618">
        <v>14</v>
      </c>
      <c r="L1618">
        <v>566674</v>
      </c>
      <c r="M1618" s="26">
        <v>7933436</v>
      </c>
      <c r="N1618">
        <v>25953</v>
      </c>
      <c r="O1618" s="26">
        <v>1210287.1000000001</v>
      </c>
      <c r="P1618" s="5" t="s">
        <v>42</v>
      </c>
      <c r="Q1618" s="5" t="s">
        <v>51</v>
      </c>
      <c r="R1618">
        <v>3.8</v>
      </c>
      <c r="S1618">
        <v>2</v>
      </c>
      <c r="T1618">
        <f t="shared" si="25"/>
        <v>1</v>
      </c>
    </row>
    <row r="1619" spans="1:20">
      <c r="A1619" s="4">
        <v>45181</v>
      </c>
      <c r="B1619">
        <v>2023</v>
      </c>
      <c r="C1619">
        <v>9</v>
      </c>
      <c r="D1619" s="5" t="s">
        <v>66</v>
      </c>
      <c r="E1619" s="5" t="s">
        <v>67</v>
      </c>
      <c r="F1619" s="5" t="s">
        <v>68</v>
      </c>
      <c r="G1619" s="5" t="s">
        <v>69</v>
      </c>
      <c r="H1619" s="5" t="s">
        <v>73</v>
      </c>
      <c r="I1619" s="5" t="s">
        <v>40</v>
      </c>
      <c r="J1619" s="5" t="s">
        <v>49</v>
      </c>
      <c r="K1619">
        <v>34</v>
      </c>
      <c r="L1619">
        <v>725068</v>
      </c>
      <c r="M1619" s="26">
        <v>24652312</v>
      </c>
      <c r="N1619">
        <v>36882</v>
      </c>
      <c r="O1619" s="26">
        <v>2177792.61</v>
      </c>
      <c r="P1619" s="5" t="s">
        <v>50</v>
      </c>
      <c r="Q1619" s="5" t="s">
        <v>51</v>
      </c>
      <c r="R1619">
        <v>4.0999999999999996</v>
      </c>
      <c r="S1619">
        <v>18</v>
      </c>
      <c r="T1619">
        <f t="shared" si="25"/>
        <v>0</v>
      </c>
    </row>
    <row r="1620" spans="1:20">
      <c r="A1620" s="4">
        <v>45174</v>
      </c>
      <c r="B1620">
        <v>2023</v>
      </c>
      <c r="C1620">
        <v>9</v>
      </c>
      <c r="D1620" s="5" t="s">
        <v>54</v>
      </c>
      <c r="E1620" s="5" t="s">
        <v>70</v>
      </c>
      <c r="F1620" s="5" t="s">
        <v>71</v>
      </c>
      <c r="G1620" s="5" t="s">
        <v>72</v>
      </c>
      <c r="H1620" s="5" t="s">
        <v>63</v>
      </c>
      <c r="I1620" s="5" t="s">
        <v>64</v>
      </c>
      <c r="J1620" s="5" t="s">
        <v>41</v>
      </c>
      <c r="K1620">
        <v>45</v>
      </c>
      <c r="L1620">
        <v>761631</v>
      </c>
      <c r="M1620" s="26">
        <v>34273395</v>
      </c>
      <c r="N1620">
        <v>45636</v>
      </c>
      <c r="O1620" s="26">
        <v>4261151.42</v>
      </c>
      <c r="P1620" s="5" t="s">
        <v>50</v>
      </c>
      <c r="Q1620" s="5" t="s">
        <v>51</v>
      </c>
      <c r="R1620">
        <v>4.3</v>
      </c>
      <c r="S1620">
        <v>6</v>
      </c>
      <c r="T1620">
        <f t="shared" si="25"/>
        <v>0</v>
      </c>
    </row>
    <row r="1621" spans="1:20">
      <c r="A1621" s="4">
        <v>45183</v>
      </c>
      <c r="B1621">
        <v>2023</v>
      </c>
      <c r="C1621">
        <v>9</v>
      </c>
      <c r="D1621" s="5" t="s">
        <v>66</v>
      </c>
      <c r="E1621" s="5" t="s">
        <v>67</v>
      </c>
      <c r="F1621" s="5" t="s">
        <v>68</v>
      </c>
      <c r="G1621" s="5" t="s">
        <v>69</v>
      </c>
      <c r="H1621" s="5" t="s">
        <v>57</v>
      </c>
      <c r="I1621" s="5" t="s">
        <v>58</v>
      </c>
      <c r="J1621" s="5" t="s">
        <v>59</v>
      </c>
      <c r="K1621">
        <v>58</v>
      </c>
      <c r="L1621">
        <v>1386174</v>
      </c>
      <c r="M1621" s="26">
        <v>80398092</v>
      </c>
      <c r="N1621">
        <v>9293</v>
      </c>
      <c r="O1621" s="26">
        <v>7320725.0199999996</v>
      </c>
      <c r="P1621" s="5" t="s">
        <v>42</v>
      </c>
      <c r="Q1621" s="5" t="s">
        <v>75</v>
      </c>
      <c r="R1621">
        <v>4.8</v>
      </c>
      <c r="S1621">
        <v>6</v>
      </c>
      <c r="T1621">
        <f t="shared" si="25"/>
        <v>1</v>
      </c>
    </row>
    <row r="1622" spans="1:20">
      <c r="A1622" s="4">
        <v>45188</v>
      </c>
      <c r="B1622">
        <v>2023</v>
      </c>
      <c r="C1622">
        <v>9</v>
      </c>
      <c r="D1622" s="5" t="s">
        <v>35</v>
      </c>
      <c r="E1622" s="5" t="s">
        <v>36</v>
      </c>
      <c r="F1622" s="5" t="s">
        <v>37</v>
      </c>
      <c r="G1622" s="5" t="s">
        <v>38</v>
      </c>
      <c r="H1622" s="5" t="s">
        <v>79</v>
      </c>
      <c r="I1622" s="5" t="s">
        <v>58</v>
      </c>
      <c r="J1622" s="5" t="s">
        <v>49</v>
      </c>
      <c r="K1622">
        <v>38</v>
      </c>
      <c r="L1622">
        <v>912532</v>
      </c>
      <c r="M1622" s="26">
        <v>34676216</v>
      </c>
      <c r="N1622">
        <v>18635</v>
      </c>
      <c r="O1622" s="26">
        <v>4996633.0599999996</v>
      </c>
      <c r="P1622" s="5" t="s">
        <v>42</v>
      </c>
      <c r="Q1622" s="5" t="s">
        <v>51</v>
      </c>
      <c r="R1622">
        <v>4.0999999999999996</v>
      </c>
      <c r="S1622">
        <v>20</v>
      </c>
      <c r="T1622">
        <f t="shared" si="25"/>
        <v>1</v>
      </c>
    </row>
    <row r="1623" spans="1:20">
      <c r="A1623" s="4">
        <v>45180</v>
      </c>
      <c r="B1623">
        <v>2023</v>
      </c>
      <c r="C1623">
        <v>9</v>
      </c>
      <c r="D1623" s="5" t="s">
        <v>35</v>
      </c>
      <c r="E1623" s="5" t="s">
        <v>36</v>
      </c>
      <c r="F1623" s="5" t="s">
        <v>37</v>
      </c>
      <c r="G1623" s="5" t="s">
        <v>38</v>
      </c>
      <c r="H1623" s="5" t="s">
        <v>80</v>
      </c>
      <c r="I1623" s="5" t="s">
        <v>81</v>
      </c>
      <c r="J1623" s="5" t="s">
        <v>41</v>
      </c>
      <c r="K1623">
        <v>18</v>
      </c>
      <c r="L1623">
        <v>544767</v>
      </c>
      <c r="M1623" s="26">
        <v>9805806</v>
      </c>
      <c r="N1623">
        <v>32850</v>
      </c>
      <c r="O1623" s="26">
        <v>1346809.62</v>
      </c>
      <c r="P1623" s="5" t="s">
        <v>50</v>
      </c>
      <c r="Q1623" s="5" t="s">
        <v>75</v>
      </c>
      <c r="R1623">
        <v>4.5999999999999996</v>
      </c>
      <c r="S1623">
        <v>17</v>
      </c>
      <c r="T1623">
        <f t="shared" si="25"/>
        <v>0</v>
      </c>
    </row>
    <row r="1624" spans="1:20">
      <c r="A1624" s="4">
        <v>45193</v>
      </c>
      <c r="B1624">
        <v>2023</v>
      </c>
      <c r="C1624">
        <v>9</v>
      </c>
      <c r="D1624" s="5" t="s">
        <v>54</v>
      </c>
      <c r="E1624" s="5" t="s">
        <v>70</v>
      </c>
      <c r="F1624" s="5" t="s">
        <v>71</v>
      </c>
      <c r="G1624" s="5" t="s">
        <v>72</v>
      </c>
      <c r="H1624" s="5" t="s">
        <v>39</v>
      </c>
      <c r="I1624" s="5" t="s">
        <v>40</v>
      </c>
      <c r="J1624" s="5" t="s">
        <v>41</v>
      </c>
      <c r="K1624">
        <v>31</v>
      </c>
      <c r="L1624">
        <v>560753</v>
      </c>
      <c r="M1624" s="26">
        <v>17383343</v>
      </c>
      <c r="N1624">
        <v>49460</v>
      </c>
      <c r="O1624" s="26">
        <v>2656386.7000000002</v>
      </c>
      <c r="P1624" s="5" t="s">
        <v>50</v>
      </c>
      <c r="Q1624" s="5" t="s">
        <v>75</v>
      </c>
      <c r="R1624">
        <v>3.8</v>
      </c>
      <c r="S1624">
        <v>15</v>
      </c>
      <c r="T1624">
        <f t="shared" si="25"/>
        <v>0</v>
      </c>
    </row>
    <row r="1625" spans="1:20">
      <c r="A1625" s="4">
        <v>45196</v>
      </c>
      <c r="B1625">
        <v>2023</v>
      </c>
      <c r="C1625">
        <v>9</v>
      </c>
      <c r="D1625" s="5" t="s">
        <v>54</v>
      </c>
      <c r="E1625" s="5" t="s">
        <v>55</v>
      </c>
      <c r="F1625" s="5" t="s">
        <v>55</v>
      </c>
      <c r="G1625" s="5" t="s">
        <v>56</v>
      </c>
      <c r="H1625" s="5" t="s">
        <v>85</v>
      </c>
      <c r="I1625" s="5" t="s">
        <v>58</v>
      </c>
      <c r="J1625" s="5" t="s">
        <v>49</v>
      </c>
      <c r="K1625">
        <v>53</v>
      </c>
      <c r="L1625">
        <v>954047</v>
      </c>
      <c r="M1625" s="26">
        <v>50564491</v>
      </c>
      <c r="N1625">
        <v>17722</v>
      </c>
      <c r="O1625" s="26">
        <v>6310523.6699999999</v>
      </c>
      <c r="P1625" s="5" t="s">
        <v>50</v>
      </c>
      <c r="Q1625" s="5" t="s">
        <v>43</v>
      </c>
      <c r="R1625">
        <v>3.6</v>
      </c>
      <c r="S1625">
        <v>8</v>
      </c>
      <c r="T1625">
        <f t="shared" si="25"/>
        <v>0</v>
      </c>
    </row>
    <row r="1626" spans="1:20">
      <c r="A1626" s="4">
        <v>45184</v>
      </c>
      <c r="B1626">
        <v>2023</v>
      </c>
      <c r="C1626">
        <v>9</v>
      </c>
      <c r="D1626" s="5" t="s">
        <v>54</v>
      </c>
      <c r="E1626" s="5" t="s">
        <v>70</v>
      </c>
      <c r="F1626" s="5" t="s">
        <v>71</v>
      </c>
      <c r="G1626" s="5" t="s">
        <v>72</v>
      </c>
      <c r="H1626" s="5" t="s">
        <v>52</v>
      </c>
      <c r="I1626" s="5" t="s">
        <v>53</v>
      </c>
      <c r="J1626" s="5" t="s">
        <v>41</v>
      </c>
      <c r="K1626">
        <v>58</v>
      </c>
      <c r="L1626">
        <v>963286</v>
      </c>
      <c r="M1626" s="26">
        <v>55870588</v>
      </c>
      <c r="N1626">
        <v>38406</v>
      </c>
      <c r="O1626" s="26">
        <v>6062210.4100000001</v>
      </c>
      <c r="P1626" s="5" t="s">
        <v>42</v>
      </c>
      <c r="Q1626" s="5" t="s">
        <v>51</v>
      </c>
      <c r="R1626">
        <v>4.7</v>
      </c>
      <c r="S1626">
        <v>21</v>
      </c>
      <c r="T1626">
        <f t="shared" si="25"/>
        <v>1</v>
      </c>
    </row>
    <row r="1627" spans="1:20">
      <c r="A1627" s="4">
        <v>45176</v>
      </c>
      <c r="B1627">
        <v>2023</v>
      </c>
      <c r="C1627">
        <v>9</v>
      </c>
      <c r="D1627" s="5" t="s">
        <v>35</v>
      </c>
      <c r="E1627" s="5" t="s">
        <v>36</v>
      </c>
      <c r="F1627" s="5" t="s">
        <v>37</v>
      </c>
      <c r="G1627" s="5" t="s">
        <v>38</v>
      </c>
      <c r="H1627" s="5" t="s">
        <v>86</v>
      </c>
      <c r="I1627" s="5" t="s">
        <v>40</v>
      </c>
      <c r="J1627" s="5" t="s">
        <v>41</v>
      </c>
      <c r="K1627">
        <v>33</v>
      </c>
      <c r="L1627">
        <v>570638</v>
      </c>
      <c r="M1627" s="26">
        <v>18831054</v>
      </c>
      <c r="N1627">
        <v>29542</v>
      </c>
      <c r="O1627" s="26">
        <v>2021181.45</v>
      </c>
      <c r="P1627" s="5" t="s">
        <v>50</v>
      </c>
      <c r="Q1627" s="5" t="s">
        <v>43</v>
      </c>
      <c r="R1627">
        <v>4.9000000000000004</v>
      </c>
      <c r="S1627">
        <v>14</v>
      </c>
      <c r="T1627">
        <f t="shared" si="25"/>
        <v>0</v>
      </c>
    </row>
    <row r="1628" spans="1:20">
      <c r="A1628" s="4">
        <v>45188</v>
      </c>
      <c r="B1628">
        <v>2023</v>
      </c>
      <c r="C1628">
        <v>9</v>
      </c>
      <c r="D1628" s="5" t="s">
        <v>35</v>
      </c>
      <c r="E1628" s="5" t="s">
        <v>36</v>
      </c>
      <c r="F1628" s="5" t="s">
        <v>37</v>
      </c>
      <c r="G1628" s="5" t="s">
        <v>38</v>
      </c>
      <c r="H1628" s="5" t="s">
        <v>65</v>
      </c>
      <c r="I1628" s="5" t="s">
        <v>53</v>
      </c>
      <c r="J1628" s="5" t="s">
        <v>49</v>
      </c>
      <c r="K1628">
        <v>40</v>
      </c>
      <c r="L1628">
        <v>1240593</v>
      </c>
      <c r="M1628" s="26">
        <v>49623720</v>
      </c>
      <c r="N1628">
        <v>6703</v>
      </c>
      <c r="O1628" s="26">
        <v>5819378.5300000003</v>
      </c>
      <c r="P1628" s="5" t="s">
        <v>50</v>
      </c>
      <c r="Q1628" s="5" t="s">
        <v>75</v>
      </c>
      <c r="R1628">
        <v>4.5999999999999996</v>
      </c>
      <c r="S1628">
        <v>7</v>
      </c>
      <c r="T1628">
        <f t="shared" si="25"/>
        <v>0</v>
      </c>
    </row>
    <row r="1629" spans="1:20">
      <c r="A1629" s="4">
        <v>45184</v>
      </c>
      <c r="B1629">
        <v>2023</v>
      </c>
      <c r="C1629">
        <v>9</v>
      </c>
      <c r="D1629" s="5" t="s">
        <v>35</v>
      </c>
      <c r="E1629" s="5" t="s">
        <v>36</v>
      </c>
      <c r="F1629" s="5" t="s">
        <v>37</v>
      </c>
      <c r="G1629" s="5" t="s">
        <v>38</v>
      </c>
      <c r="H1629" s="5" t="s">
        <v>52</v>
      </c>
      <c r="I1629" s="5" t="s">
        <v>53</v>
      </c>
      <c r="J1629" s="5" t="s">
        <v>41</v>
      </c>
      <c r="K1629">
        <v>16</v>
      </c>
      <c r="L1629">
        <v>966232</v>
      </c>
      <c r="M1629" s="26">
        <v>15459712</v>
      </c>
      <c r="N1629">
        <v>48501</v>
      </c>
      <c r="O1629" s="26">
        <v>2085498.07</v>
      </c>
      <c r="P1629" s="5" t="s">
        <v>42</v>
      </c>
      <c r="Q1629" s="5" t="s">
        <v>43</v>
      </c>
      <c r="R1629">
        <v>3.6</v>
      </c>
      <c r="S1629">
        <v>15</v>
      </c>
      <c r="T1629">
        <f t="shared" si="25"/>
        <v>1</v>
      </c>
    </row>
    <row r="1630" spans="1:20">
      <c r="A1630" s="4">
        <v>45193</v>
      </c>
      <c r="B1630">
        <v>2023</v>
      </c>
      <c r="C1630">
        <v>9</v>
      </c>
      <c r="D1630" s="5" t="s">
        <v>44</v>
      </c>
      <c r="E1630" s="5" t="s">
        <v>82</v>
      </c>
      <c r="F1630" s="5" t="s">
        <v>83</v>
      </c>
      <c r="G1630" s="5" t="s">
        <v>84</v>
      </c>
      <c r="H1630" s="5" t="s">
        <v>79</v>
      </c>
      <c r="I1630" s="5" t="s">
        <v>58</v>
      </c>
      <c r="J1630" s="5" t="s">
        <v>49</v>
      </c>
      <c r="K1630">
        <v>57</v>
      </c>
      <c r="L1630">
        <v>883143</v>
      </c>
      <c r="M1630" s="26">
        <v>50339151</v>
      </c>
      <c r="N1630">
        <v>38397</v>
      </c>
      <c r="O1630" s="26">
        <v>5090599.8899999997</v>
      </c>
      <c r="P1630" s="5" t="s">
        <v>50</v>
      </c>
      <c r="Q1630" s="5" t="s">
        <v>51</v>
      </c>
      <c r="R1630">
        <v>4.2</v>
      </c>
      <c r="S1630">
        <v>3</v>
      </c>
      <c r="T1630">
        <f t="shared" si="25"/>
        <v>0</v>
      </c>
    </row>
    <row r="1631" spans="1:20">
      <c r="A1631" s="4">
        <v>45182</v>
      </c>
      <c r="B1631">
        <v>2023</v>
      </c>
      <c r="C1631">
        <v>9</v>
      </c>
      <c r="D1631" s="5" t="s">
        <v>35</v>
      </c>
      <c r="E1631" s="5" t="s">
        <v>60</v>
      </c>
      <c r="F1631" s="5" t="s">
        <v>61</v>
      </c>
      <c r="G1631" s="5" t="s">
        <v>62</v>
      </c>
      <c r="H1631" s="5" t="s">
        <v>63</v>
      </c>
      <c r="I1631" s="5" t="s">
        <v>64</v>
      </c>
      <c r="J1631" s="5" t="s">
        <v>41</v>
      </c>
      <c r="K1631">
        <v>32</v>
      </c>
      <c r="L1631">
        <v>735545</v>
      </c>
      <c r="M1631" s="26">
        <v>23537440</v>
      </c>
      <c r="N1631">
        <v>5178</v>
      </c>
      <c r="O1631" s="26">
        <v>2690201.03</v>
      </c>
      <c r="P1631" s="5" t="s">
        <v>50</v>
      </c>
      <c r="Q1631" s="5" t="s">
        <v>75</v>
      </c>
      <c r="R1631">
        <v>3.8</v>
      </c>
      <c r="S1631">
        <v>5</v>
      </c>
      <c r="T1631">
        <f t="shared" si="25"/>
        <v>0</v>
      </c>
    </row>
    <row r="1632" spans="1:20">
      <c r="A1632" s="4">
        <v>45187</v>
      </c>
      <c r="B1632">
        <v>2023</v>
      </c>
      <c r="C1632">
        <v>9</v>
      </c>
      <c r="D1632" s="5" t="s">
        <v>35</v>
      </c>
      <c r="E1632" s="5" t="s">
        <v>60</v>
      </c>
      <c r="F1632" s="5" t="s">
        <v>61</v>
      </c>
      <c r="G1632" s="5" t="s">
        <v>62</v>
      </c>
      <c r="H1632" s="5" t="s">
        <v>39</v>
      </c>
      <c r="I1632" s="5" t="s">
        <v>40</v>
      </c>
      <c r="J1632" s="5" t="s">
        <v>41</v>
      </c>
      <c r="K1632">
        <v>58</v>
      </c>
      <c r="L1632">
        <v>570954</v>
      </c>
      <c r="M1632" s="26">
        <v>33115332</v>
      </c>
      <c r="N1632">
        <v>23286</v>
      </c>
      <c r="O1632" s="26">
        <v>3230147.64</v>
      </c>
      <c r="P1632" s="5" t="s">
        <v>50</v>
      </c>
      <c r="Q1632" s="5" t="s">
        <v>51</v>
      </c>
      <c r="R1632">
        <v>4.2</v>
      </c>
      <c r="S1632">
        <v>17</v>
      </c>
      <c r="T1632">
        <f t="shared" si="25"/>
        <v>0</v>
      </c>
    </row>
    <row r="1633" spans="1:20">
      <c r="A1633" s="4">
        <v>45196</v>
      </c>
      <c r="B1633">
        <v>2023</v>
      </c>
      <c r="C1633">
        <v>9</v>
      </c>
      <c r="D1633" s="5" t="s">
        <v>54</v>
      </c>
      <c r="E1633" s="5" t="s">
        <v>55</v>
      </c>
      <c r="F1633" s="5" t="s">
        <v>55</v>
      </c>
      <c r="G1633" s="5" t="s">
        <v>56</v>
      </c>
      <c r="H1633" s="5" t="s">
        <v>48</v>
      </c>
      <c r="I1633" s="5" t="s">
        <v>40</v>
      </c>
      <c r="J1633" s="5" t="s">
        <v>49</v>
      </c>
      <c r="K1633">
        <v>59</v>
      </c>
      <c r="L1633">
        <v>455797</v>
      </c>
      <c r="M1633" s="26">
        <v>26892023</v>
      </c>
      <c r="N1633">
        <v>32078</v>
      </c>
      <c r="O1633" s="26">
        <v>3026113.24</v>
      </c>
      <c r="P1633" s="5" t="s">
        <v>42</v>
      </c>
      <c r="Q1633" s="5" t="s">
        <v>43</v>
      </c>
      <c r="R1633">
        <v>4.9000000000000004</v>
      </c>
      <c r="S1633">
        <v>15</v>
      </c>
      <c r="T1633">
        <f t="shared" si="25"/>
        <v>1</v>
      </c>
    </row>
    <row r="1634" spans="1:20">
      <c r="A1634" s="4">
        <v>45186</v>
      </c>
      <c r="B1634">
        <v>2023</v>
      </c>
      <c r="C1634">
        <v>9</v>
      </c>
      <c r="D1634" s="5" t="s">
        <v>54</v>
      </c>
      <c r="E1634" s="5" t="s">
        <v>55</v>
      </c>
      <c r="F1634" s="5" t="s">
        <v>55</v>
      </c>
      <c r="G1634" s="5" t="s">
        <v>56</v>
      </c>
      <c r="H1634" s="5" t="s">
        <v>74</v>
      </c>
      <c r="I1634" s="5" t="s">
        <v>40</v>
      </c>
      <c r="J1634" s="5" t="s">
        <v>49</v>
      </c>
      <c r="K1634">
        <v>30</v>
      </c>
      <c r="L1634">
        <v>625066</v>
      </c>
      <c r="M1634" s="26">
        <v>18751980</v>
      </c>
      <c r="N1634">
        <v>6780</v>
      </c>
      <c r="O1634" s="26">
        <v>1572882.09</v>
      </c>
      <c r="P1634" s="5" t="s">
        <v>50</v>
      </c>
      <c r="Q1634" s="5" t="s">
        <v>51</v>
      </c>
      <c r="R1634">
        <v>3.5</v>
      </c>
      <c r="S1634">
        <v>18</v>
      </c>
      <c r="T1634">
        <f t="shared" si="25"/>
        <v>0</v>
      </c>
    </row>
    <row r="1635" spans="1:20">
      <c r="A1635" s="4">
        <v>45191</v>
      </c>
      <c r="B1635">
        <v>2023</v>
      </c>
      <c r="C1635">
        <v>9</v>
      </c>
      <c r="D1635" s="5" t="s">
        <v>35</v>
      </c>
      <c r="E1635" s="5" t="s">
        <v>60</v>
      </c>
      <c r="F1635" s="5" t="s">
        <v>61</v>
      </c>
      <c r="G1635" s="5" t="s">
        <v>62</v>
      </c>
      <c r="H1635" s="5" t="s">
        <v>85</v>
      </c>
      <c r="I1635" s="5" t="s">
        <v>58</v>
      </c>
      <c r="J1635" s="5" t="s">
        <v>49</v>
      </c>
      <c r="K1635">
        <v>16</v>
      </c>
      <c r="L1635">
        <v>968160</v>
      </c>
      <c r="M1635" s="26">
        <v>15490560</v>
      </c>
      <c r="N1635">
        <v>46529</v>
      </c>
      <c r="O1635" s="26">
        <v>2302121.36</v>
      </c>
      <c r="P1635" s="5" t="s">
        <v>42</v>
      </c>
      <c r="Q1635" s="5" t="s">
        <v>51</v>
      </c>
      <c r="R1635">
        <v>3.5</v>
      </c>
      <c r="S1635">
        <v>10</v>
      </c>
      <c r="T1635">
        <f t="shared" si="25"/>
        <v>1</v>
      </c>
    </row>
    <row r="1636" spans="1:20">
      <c r="A1636" s="4">
        <v>45188</v>
      </c>
      <c r="B1636">
        <v>2023</v>
      </c>
      <c r="C1636">
        <v>9</v>
      </c>
      <c r="D1636" s="5" t="s">
        <v>54</v>
      </c>
      <c r="E1636" s="5" t="s">
        <v>70</v>
      </c>
      <c r="F1636" s="5" t="s">
        <v>71</v>
      </c>
      <c r="G1636" s="5" t="s">
        <v>72</v>
      </c>
      <c r="H1636" s="5" t="s">
        <v>57</v>
      </c>
      <c r="I1636" s="5" t="s">
        <v>58</v>
      </c>
      <c r="J1636" s="5" t="s">
        <v>59</v>
      </c>
      <c r="K1636">
        <v>12</v>
      </c>
      <c r="L1636">
        <v>1396957</v>
      </c>
      <c r="M1636" s="26">
        <v>16763484</v>
      </c>
      <c r="N1636">
        <v>6123</v>
      </c>
      <c r="O1636" s="26">
        <v>2063508.08</v>
      </c>
      <c r="P1636" s="5" t="s">
        <v>42</v>
      </c>
      <c r="Q1636" s="5" t="s">
        <v>43</v>
      </c>
      <c r="R1636">
        <v>4.4000000000000004</v>
      </c>
      <c r="S1636">
        <v>14</v>
      </c>
      <c r="T1636">
        <f t="shared" si="25"/>
        <v>1</v>
      </c>
    </row>
    <row r="1637" spans="1:20">
      <c r="A1637" s="4">
        <v>45173</v>
      </c>
      <c r="B1637">
        <v>2023</v>
      </c>
      <c r="C1637">
        <v>9</v>
      </c>
      <c r="D1637" s="5" t="s">
        <v>44</v>
      </c>
      <c r="E1637" s="5" t="s">
        <v>45</v>
      </c>
      <c r="F1637" s="5" t="s">
        <v>46</v>
      </c>
      <c r="G1637" s="5" t="s">
        <v>47</v>
      </c>
      <c r="H1637" s="5" t="s">
        <v>52</v>
      </c>
      <c r="I1637" s="5" t="s">
        <v>53</v>
      </c>
      <c r="J1637" s="5" t="s">
        <v>41</v>
      </c>
      <c r="K1637">
        <v>53</v>
      </c>
      <c r="L1637">
        <v>971561</v>
      </c>
      <c r="M1637" s="26">
        <v>51492733</v>
      </c>
      <c r="N1637">
        <v>22192</v>
      </c>
      <c r="O1637" s="26">
        <v>5935114.9800000004</v>
      </c>
      <c r="P1637" s="5" t="s">
        <v>42</v>
      </c>
      <c r="Q1637" s="5" t="s">
        <v>51</v>
      </c>
      <c r="R1637">
        <v>4.9000000000000004</v>
      </c>
      <c r="S1637">
        <v>21</v>
      </c>
      <c r="T1637">
        <f t="shared" si="25"/>
        <v>1</v>
      </c>
    </row>
    <row r="1638" spans="1:20">
      <c r="A1638" s="4">
        <v>45173</v>
      </c>
      <c r="B1638">
        <v>2023</v>
      </c>
      <c r="C1638">
        <v>9</v>
      </c>
      <c r="D1638" s="5" t="s">
        <v>44</v>
      </c>
      <c r="E1638" s="5" t="s">
        <v>82</v>
      </c>
      <c r="F1638" s="5" t="s">
        <v>83</v>
      </c>
      <c r="G1638" s="5" t="s">
        <v>84</v>
      </c>
      <c r="H1638" s="5" t="s">
        <v>85</v>
      </c>
      <c r="I1638" s="5" t="s">
        <v>58</v>
      </c>
      <c r="J1638" s="5" t="s">
        <v>49</v>
      </c>
      <c r="K1638">
        <v>46</v>
      </c>
      <c r="L1638">
        <v>977359</v>
      </c>
      <c r="M1638" s="26">
        <v>44958514</v>
      </c>
      <c r="N1638">
        <v>48879</v>
      </c>
      <c r="O1638" s="26">
        <v>6341648.3499999996</v>
      </c>
      <c r="P1638" s="5" t="s">
        <v>42</v>
      </c>
      <c r="Q1638" s="5" t="s">
        <v>43</v>
      </c>
      <c r="R1638">
        <v>3.6</v>
      </c>
      <c r="S1638">
        <v>13</v>
      </c>
      <c r="T1638">
        <f t="shared" si="25"/>
        <v>1</v>
      </c>
    </row>
    <row r="1639" spans="1:20">
      <c r="A1639" s="4">
        <v>45179</v>
      </c>
      <c r="B1639">
        <v>2023</v>
      </c>
      <c r="C1639">
        <v>9</v>
      </c>
      <c r="D1639" s="5" t="s">
        <v>44</v>
      </c>
      <c r="E1639" s="5" t="s">
        <v>82</v>
      </c>
      <c r="F1639" s="5" t="s">
        <v>83</v>
      </c>
      <c r="G1639" s="5" t="s">
        <v>84</v>
      </c>
      <c r="H1639" s="5" t="s">
        <v>79</v>
      </c>
      <c r="I1639" s="5" t="s">
        <v>58</v>
      </c>
      <c r="J1639" s="5" t="s">
        <v>49</v>
      </c>
      <c r="K1639">
        <v>35</v>
      </c>
      <c r="L1639">
        <v>904655</v>
      </c>
      <c r="M1639" s="26">
        <v>31662925</v>
      </c>
      <c r="N1639">
        <v>43467</v>
      </c>
      <c r="O1639" s="26">
        <v>4850752.93</v>
      </c>
      <c r="P1639" s="5" t="s">
        <v>42</v>
      </c>
      <c r="Q1639" s="5" t="s">
        <v>43</v>
      </c>
      <c r="R1639">
        <v>3.6</v>
      </c>
      <c r="S1639">
        <v>16</v>
      </c>
      <c r="T1639">
        <f t="shared" si="25"/>
        <v>1</v>
      </c>
    </row>
    <row r="1640" spans="1:20">
      <c r="A1640" s="4">
        <v>45178</v>
      </c>
      <c r="B1640">
        <v>2023</v>
      </c>
      <c r="C1640">
        <v>9</v>
      </c>
      <c r="D1640" s="5" t="s">
        <v>54</v>
      </c>
      <c r="E1640" s="5" t="s">
        <v>55</v>
      </c>
      <c r="F1640" s="5" t="s">
        <v>55</v>
      </c>
      <c r="G1640" s="5" t="s">
        <v>56</v>
      </c>
      <c r="H1640" s="5" t="s">
        <v>80</v>
      </c>
      <c r="I1640" s="5" t="s">
        <v>81</v>
      </c>
      <c r="J1640" s="5" t="s">
        <v>41</v>
      </c>
      <c r="K1640">
        <v>39</v>
      </c>
      <c r="L1640">
        <v>547313</v>
      </c>
      <c r="M1640" s="26">
        <v>21345207</v>
      </c>
      <c r="N1640">
        <v>19046</v>
      </c>
      <c r="O1640" s="26">
        <v>3236754.28</v>
      </c>
      <c r="P1640" s="5" t="s">
        <v>50</v>
      </c>
      <c r="Q1640" s="5" t="s">
        <v>75</v>
      </c>
      <c r="R1640">
        <v>4</v>
      </c>
      <c r="S1640">
        <v>16</v>
      </c>
      <c r="T1640">
        <f t="shared" si="25"/>
        <v>0</v>
      </c>
    </row>
    <row r="1641" spans="1:20">
      <c r="A1641" s="4">
        <v>45179</v>
      </c>
      <c r="B1641">
        <v>2023</v>
      </c>
      <c r="C1641">
        <v>9</v>
      </c>
      <c r="D1641" s="5" t="s">
        <v>66</v>
      </c>
      <c r="E1641" s="5" t="s">
        <v>67</v>
      </c>
      <c r="F1641" s="5" t="s">
        <v>68</v>
      </c>
      <c r="G1641" s="5" t="s">
        <v>69</v>
      </c>
      <c r="H1641" s="5" t="s">
        <v>63</v>
      </c>
      <c r="I1641" s="5" t="s">
        <v>64</v>
      </c>
      <c r="J1641" s="5" t="s">
        <v>41</v>
      </c>
      <c r="K1641">
        <v>60</v>
      </c>
      <c r="L1641">
        <v>751053</v>
      </c>
      <c r="M1641" s="26">
        <v>45063180</v>
      </c>
      <c r="N1641">
        <v>27746</v>
      </c>
      <c r="O1641" s="26">
        <v>4219066.9000000004</v>
      </c>
      <c r="P1641" s="5" t="s">
        <v>42</v>
      </c>
      <c r="Q1641" s="5" t="s">
        <v>75</v>
      </c>
      <c r="R1641">
        <v>3.5</v>
      </c>
      <c r="S1641">
        <v>20</v>
      </c>
      <c r="T1641">
        <f t="shared" si="25"/>
        <v>1</v>
      </c>
    </row>
    <row r="1642" spans="1:20">
      <c r="A1642" s="4">
        <v>45177</v>
      </c>
      <c r="B1642">
        <v>2023</v>
      </c>
      <c r="C1642">
        <v>9</v>
      </c>
      <c r="D1642" s="5" t="s">
        <v>35</v>
      </c>
      <c r="E1642" s="5" t="s">
        <v>76</v>
      </c>
      <c r="F1642" s="5" t="s">
        <v>77</v>
      </c>
      <c r="G1642" s="5" t="s">
        <v>78</v>
      </c>
      <c r="H1642" s="5" t="s">
        <v>52</v>
      </c>
      <c r="I1642" s="5" t="s">
        <v>53</v>
      </c>
      <c r="J1642" s="5" t="s">
        <v>41</v>
      </c>
      <c r="K1642">
        <v>58</v>
      </c>
      <c r="L1642">
        <v>926608</v>
      </c>
      <c r="M1642" s="26">
        <v>53743264</v>
      </c>
      <c r="N1642">
        <v>29053</v>
      </c>
      <c r="O1642" s="26">
        <v>5734641.0999999996</v>
      </c>
      <c r="P1642" s="5" t="s">
        <v>42</v>
      </c>
      <c r="Q1642" s="5" t="s">
        <v>75</v>
      </c>
      <c r="R1642">
        <v>4.5</v>
      </c>
      <c r="S1642">
        <v>10</v>
      </c>
      <c r="T1642">
        <f t="shared" si="25"/>
        <v>1</v>
      </c>
    </row>
    <row r="1643" spans="1:20">
      <c r="A1643" s="4">
        <v>45178</v>
      </c>
      <c r="B1643">
        <v>2023</v>
      </c>
      <c r="C1643">
        <v>9</v>
      </c>
      <c r="D1643" s="5" t="s">
        <v>35</v>
      </c>
      <c r="E1643" s="5" t="s">
        <v>60</v>
      </c>
      <c r="F1643" s="5" t="s">
        <v>61</v>
      </c>
      <c r="G1643" s="5" t="s">
        <v>62</v>
      </c>
      <c r="H1643" s="5" t="s">
        <v>80</v>
      </c>
      <c r="I1643" s="5" t="s">
        <v>81</v>
      </c>
      <c r="J1643" s="5" t="s">
        <v>41</v>
      </c>
      <c r="K1643">
        <v>30</v>
      </c>
      <c r="L1643">
        <v>552654</v>
      </c>
      <c r="M1643" s="26">
        <v>16579620</v>
      </c>
      <c r="N1643">
        <v>5813</v>
      </c>
      <c r="O1643" s="26">
        <v>1772799.42</v>
      </c>
      <c r="P1643" s="5" t="s">
        <v>50</v>
      </c>
      <c r="Q1643" s="5" t="s">
        <v>43</v>
      </c>
      <c r="R1643">
        <v>4</v>
      </c>
      <c r="S1643">
        <v>12</v>
      </c>
      <c r="T1643">
        <f t="shared" si="25"/>
        <v>0</v>
      </c>
    </row>
    <row r="1644" spans="1:20">
      <c r="A1644" s="4">
        <v>45185</v>
      </c>
      <c r="B1644">
        <v>2023</v>
      </c>
      <c r="C1644">
        <v>9</v>
      </c>
      <c r="D1644" s="5" t="s">
        <v>54</v>
      </c>
      <c r="E1644" s="5" t="s">
        <v>70</v>
      </c>
      <c r="F1644" s="5" t="s">
        <v>71</v>
      </c>
      <c r="G1644" s="5" t="s">
        <v>72</v>
      </c>
      <c r="H1644" s="5" t="s">
        <v>63</v>
      </c>
      <c r="I1644" s="5" t="s">
        <v>64</v>
      </c>
      <c r="J1644" s="5" t="s">
        <v>41</v>
      </c>
      <c r="K1644">
        <v>37</v>
      </c>
      <c r="L1644">
        <v>770479</v>
      </c>
      <c r="M1644" s="26">
        <v>28507723</v>
      </c>
      <c r="N1644">
        <v>18585</v>
      </c>
      <c r="O1644" s="26">
        <v>3258767.62</v>
      </c>
      <c r="P1644" s="5" t="s">
        <v>50</v>
      </c>
      <c r="Q1644" s="5" t="s">
        <v>75</v>
      </c>
      <c r="R1644">
        <v>4.7</v>
      </c>
      <c r="S1644">
        <v>7</v>
      </c>
      <c r="T1644">
        <f t="shared" si="25"/>
        <v>0</v>
      </c>
    </row>
    <row r="1645" spans="1:20">
      <c r="A1645" s="4">
        <v>45190</v>
      </c>
      <c r="B1645">
        <v>2023</v>
      </c>
      <c r="C1645">
        <v>9</v>
      </c>
      <c r="D1645" s="5" t="s">
        <v>66</v>
      </c>
      <c r="E1645" s="5" t="s">
        <v>67</v>
      </c>
      <c r="F1645" s="5" t="s">
        <v>68</v>
      </c>
      <c r="G1645" s="5" t="s">
        <v>69</v>
      </c>
      <c r="H1645" s="5" t="s">
        <v>52</v>
      </c>
      <c r="I1645" s="5" t="s">
        <v>53</v>
      </c>
      <c r="J1645" s="5" t="s">
        <v>41</v>
      </c>
      <c r="K1645">
        <v>13</v>
      </c>
      <c r="L1645">
        <v>932738</v>
      </c>
      <c r="M1645" s="26">
        <v>12125594</v>
      </c>
      <c r="N1645">
        <v>37921</v>
      </c>
      <c r="O1645" s="26">
        <v>1193442.1000000001</v>
      </c>
      <c r="P1645" s="5" t="s">
        <v>50</v>
      </c>
      <c r="Q1645" s="5" t="s">
        <v>75</v>
      </c>
      <c r="R1645">
        <v>3.5</v>
      </c>
      <c r="S1645">
        <v>5</v>
      </c>
      <c r="T1645">
        <f t="shared" si="25"/>
        <v>0</v>
      </c>
    </row>
    <row r="1646" spans="1:20">
      <c r="A1646" s="4">
        <v>45196</v>
      </c>
      <c r="B1646">
        <v>2023</v>
      </c>
      <c r="C1646">
        <v>9</v>
      </c>
      <c r="D1646" s="5" t="s">
        <v>35</v>
      </c>
      <c r="E1646" s="5" t="s">
        <v>60</v>
      </c>
      <c r="F1646" s="5" t="s">
        <v>61</v>
      </c>
      <c r="G1646" s="5" t="s">
        <v>62</v>
      </c>
      <c r="H1646" s="5" t="s">
        <v>48</v>
      </c>
      <c r="I1646" s="5" t="s">
        <v>40</v>
      </c>
      <c r="J1646" s="5" t="s">
        <v>49</v>
      </c>
      <c r="K1646">
        <v>16</v>
      </c>
      <c r="L1646">
        <v>474267</v>
      </c>
      <c r="M1646" s="26">
        <v>7588272</v>
      </c>
      <c r="N1646">
        <v>6323</v>
      </c>
      <c r="O1646" s="26">
        <v>963853.9</v>
      </c>
      <c r="P1646" s="5" t="s">
        <v>42</v>
      </c>
      <c r="Q1646" s="5" t="s">
        <v>43</v>
      </c>
      <c r="R1646">
        <v>4.2</v>
      </c>
      <c r="S1646">
        <v>20</v>
      </c>
      <c r="T1646">
        <f t="shared" si="25"/>
        <v>1</v>
      </c>
    </row>
    <row r="1647" spans="1:20">
      <c r="A1647" s="4">
        <v>45187</v>
      </c>
      <c r="B1647">
        <v>2023</v>
      </c>
      <c r="C1647">
        <v>9</v>
      </c>
      <c r="D1647" s="5" t="s">
        <v>44</v>
      </c>
      <c r="E1647" s="5" t="s">
        <v>45</v>
      </c>
      <c r="F1647" s="5" t="s">
        <v>46</v>
      </c>
      <c r="G1647" s="5" t="s">
        <v>47</v>
      </c>
      <c r="H1647" s="5" t="s">
        <v>80</v>
      </c>
      <c r="I1647" s="5" t="s">
        <v>81</v>
      </c>
      <c r="J1647" s="5" t="s">
        <v>41</v>
      </c>
      <c r="K1647">
        <v>5</v>
      </c>
      <c r="L1647">
        <v>536721</v>
      </c>
      <c r="M1647" s="26">
        <v>2683605</v>
      </c>
      <c r="N1647">
        <v>14171</v>
      </c>
      <c r="O1647" s="26">
        <v>262361.48</v>
      </c>
      <c r="P1647" s="5" t="s">
        <v>50</v>
      </c>
      <c r="Q1647" s="5" t="s">
        <v>51</v>
      </c>
      <c r="R1647">
        <v>3.6</v>
      </c>
      <c r="S1647">
        <v>11</v>
      </c>
      <c r="T1647">
        <f t="shared" si="25"/>
        <v>0</v>
      </c>
    </row>
    <row r="1648" spans="1:20">
      <c r="A1648" s="4">
        <v>45179</v>
      </c>
      <c r="B1648">
        <v>2023</v>
      </c>
      <c r="C1648">
        <v>9</v>
      </c>
      <c r="D1648" s="5" t="s">
        <v>35</v>
      </c>
      <c r="E1648" s="5" t="s">
        <v>36</v>
      </c>
      <c r="F1648" s="5" t="s">
        <v>37</v>
      </c>
      <c r="G1648" s="5" t="s">
        <v>38</v>
      </c>
      <c r="H1648" s="5" t="s">
        <v>74</v>
      </c>
      <c r="I1648" s="5" t="s">
        <v>40</v>
      </c>
      <c r="J1648" s="5" t="s">
        <v>49</v>
      </c>
      <c r="K1648">
        <v>29</v>
      </c>
      <c r="L1648">
        <v>629375</v>
      </c>
      <c r="M1648" s="26">
        <v>18251875</v>
      </c>
      <c r="N1648">
        <v>13322</v>
      </c>
      <c r="O1648" s="26">
        <v>1982928.78</v>
      </c>
      <c r="P1648" s="5" t="s">
        <v>42</v>
      </c>
      <c r="Q1648" s="5" t="s">
        <v>75</v>
      </c>
      <c r="R1648">
        <v>3.6</v>
      </c>
      <c r="S1648">
        <v>17</v>
      </c>
      <c r="T1648">
        <f t="shared" si="25"/>
        <v>1</v>
      </c>
    </row>
    <row r="1649" spans="1:20">
      <c r="A1649" s="4">
        <v>45194</v>
      </c>
      <c r="B1649">
        <v>2023</v>
      </c>
      <c r="C1649">
        <v>9</v>
      </c>
      <c r="D1649" s="5" t="s">
        <v>54</v>
      </c>
      <c r="E1649" s="5" t="s">
        <v>55</v>
      </c>
      <c r="F1649" s="5" t="s">
        <v>55</v>
      </c>
      <c r="G1649" s="5" t="s">
        <v>56</v>
      </c>
      <c r="H1649" s="5" t="s">
        <v>57</v>
      </c>
      <c r="I1649" s="5" t="s">
        <v>58</v>
      </c>
      <c r="J1649" s="5" t="s">
        <v>59</v>
      </c>
      <c r="K1649">
        <v>37</v>
      </c>
      <c r="L1649">
        <v>1427436</v>
      </c>
      <c r="M1649" s="26">
        <v>52815132</v>
      </c>
      <c r="N1649">
        <v>44136</v>
      </c>
      <c r="O1649" s="26">
        <v>6022347.6100000003</v>
      </c>
      <c r="P1649" s="5" t="s">
        <v>42</v>
      </c>
      <c r="Q1649" s="5" t="s">
        <v>75</v>
      </c>
      <c r="R1649">
        <v>4.3</v>
      </c>
      <c r="S1649">
        <v>14</v>
      </c>
      <c r="T1649">
        <f t="shared" si="25"/>
        <v>1</v>
      </c>
    </row>
    <row r="1650" spans="1:20">
      <c r="A1650" s="4">
        <v>45175</v>
      </c>
      <c r="B1650">
        <v>2023</v>
      </c>
      <c r="C1650">
        <v>9</v>
      </c>
      <c r="D1650" s="5" t="s">
        <v>44</v>
      </c>
      <c r="E1650" s="5" t="s">
        <v>45</v>
      </c>
      <c r="F1650" s="5" t="s">
        <v>46</v>
      </c>
      <c r="G1650" s="5" t="s">
        <v>47</v>
      </c>
      <c r="H1650" s="5" t="s">
        <v>63</v>
      </c>
      <c r="I1650" s="5" t="s">
        <v>64</v>
      </c>
      <c r="J1650" s="5" t="s">
        <v>41</v>
      </c>
      <c r="K1650">
        <v>51</v>
      </c>
      <c r="L1650">
        <v>752551</v>
      </c>
      <c r="M1650" s="26">
        <v>38380101</v>
      </c>
      <c r="N1650">
        <v>39269</v>
      </c>
      <c r="O1650" s="26">
        <v>3214857.89</v>
      </c>
      <c r="P1650" s="5" t="s">
        <v>50</v>
      </c>
      <c r="Q1650" s="5" t="s">
        <v>51</v>
      </c>
      <c r="R1650">
        <v>4.4000000000000004</v>
      </c>
      <c r="S1650">
        <v>15</v>
      </c>
      <c r="T1650">
        <f t="shared" si="25"/>
        <v>0</v>
      </c>
    </row>
    <row r="1651" spans="1:20">
      <c r="A1651" s="4">
        <v>45187</v>
      </c>
      <c r="B1651">
        <v>2023</v>
      </c>
      <c r="C1651">
        <v>9</v>
      </c>
      <c r="D1651" s="5" t="s">
        <v>44</v>
      </c>
      <c r="E1651" s="5" t="s">
        <v>82</v>
      </c>
      <c r="F1651" s="5" t="s">
        <v>83</v>
      </c>
      <c r="G1651" s="5" t="s">
        <v>84</v>
      </c>
      <c r="H1651" s="5" t="s">
        <v>79</v>
      </c>
      <c r="I1651" s="5" t="s">
        <v>58</v>
      </c>
      <c r="J1651" s="5" t="s">
        <v>49</v>
      </c>
      <c r="K1651">
        <v>31</v>
      </c>
      <c r="L1651">
        <v>906605</v>
      </c>
      <c r="M1651" s="26">
        <v>28104755</v>
      </c>
      <c r="N1651">
        <v>32062</v>
      </c>
      <c r="O1651" s="26">
        <v>3210747.83</v>
      </c>
      <c r="P1651" s="5" t="s">
        <v>42</v>
      </c>
      <c r="Q1651" s="5" t="s">
        <v>51</v>
      </c>
      <c r="R1651">
        <v>4.8</v>
      </c>
      <c r="S1651">
        <v>15</v>
      </c>
      <c r="T1651">
        <f t="shared" si="25"/>
        <v>1</v>
      </c>
    </row>
    <row r="1652" spans="1:20">
      <c r="A1652" s="4">
        <v>45206</v>
      </c>
      <c r="B1652">
        <v>2023</v>
      </c>
      <c r="C1652">
        <v>10</v>
      </c>
      <c r="D1652" s="5" t="s">
        <v>54</v>
      </c>
      <c r="E1652" s="5" t="s">
        <v>70</v>
      </c>
      <c r="F1652" s="5" t="s">
        <v>71</v>
      </c>
      <c r="G1652" s="5" t="s">
        <v>72</v>
      </c>
      <c r="H1652" s="5" t="s">
        <v>73</v>
      </c>
      <c r="I1652" s="5" t="s">
        <v>40</v>
      </c>
      <c r="J1652" s="5" t="s">
        <v>49</v>
      </c>
      <c r="K1652">
        <v>44</v>
      </c>
      <c r="L1652">
        <v>718233</v>
      </c>
      <c r="M1652" s="26">
        <v>31602252</v>
      </c>
      <c r="N1652">
        <v>27630</v>
      </c>
      <c r="O1652" s="26">
        <v>2592432.81</v>
      </c>
      <c r="P1652" s="5" t="s">
        <v>50</v>
      </c>
      <c r="Q1652" s="5" t="s">
        <v>51</v>
      </c>
      <c r="R1652">
        <v>4.5999999999999996</v>
      </c>
      <c r="S1652">
        <v>10</v>
      </c>
      <c r="T1652">
        <f t="shared" si="25"/>
        <v>0</v>
      </c>
    </row>
    <row r="1653" spans="1:20">
      <c r="A1653" s="4">
        <v>45218</v>
      </c>
      <c r="B1653">
        <v>2023</v>
      </c>
      <c r="C1653">
        <v>10</v>
      </c>
      <c r="D1653" s="5" t="s">
        <v>35</v>
      </c>
      <c r="E1653" s="5" t="s">
        <v>36</v>
      </c>
      <c r="F1653" s="5" t="s">
        <v>37</v>
      </c>
      <c r="G1653" s="5" t="s">
        <v>38</v>
      </c>
      <c r="H1653" s="5" t="s">
        <v>52</v>
      </c>
      <c r="I1653" s="5" t="s">
        <v>53</v>
      </c>
      <c r="J1653" s="5" t="s">
        <v>41</v>
      </c>
      <c r="K1653">
        <v>46</v>
      </c>
      <c r="L1653">
        <v>920553</v>
      </c>
      <c r="M1653" s="26">
        <v>42345438</v>
      </c>
      <c r="N1653">
        <v>48679</v>
      </c>
      <c r="O1653" s="26">
        <v>4820161.5199999996</v>
      </c>
      <c r="P1653" s="5" t="s">
        <v>42</v>
      </c>
      <c r="Q1653" s="5" t="s">
        <v>43</v>
      </c>
      <c r="R1653">
        <v>4.5</v>
      </c>
      <c r="S1653">
        <v>4</v>
      </c>
      <c r="T1653">
        <f t="shared" si="25"/>
        <v>1</v>
      </c>
    </row>
    <row r="1654" spans="1:20">
      <c r="A1654" s="4">
        <v>45204</v>
      </c>
      <c r="B1654">
        <v>2023</v>
      </c>
      <c r="C1654">
        <v>10</v>
      </c>
      <c r="D1654" s="5" t="s">
        <v>44</v>
      </c>
      <c r="E1654" s="5" t="s">
        <v>45</v>
      </c>
      <c r="F1654" s="5" t="s">
        <v>46</v>
      </c>
      <c r="G1654" s="5" t="s">
        <v>47</v>
      </c>
      <c r="H1654" s="5" t="s">
        <v>85</v>
      </c>
      <c r="I1654" s="5" t="s">
        <v>58</v>
      </c>
      <c r="J1654" s="5" t="s">
        <v>49</v>
      </c>
      <c r="K1654">
        <v>30</v>
      </c>
      <c r="L1654">
        <v>1004303</v>
      </c>
      <c r="M1654" s="26">
        <v>30129090</v>
      </c>
      <c r="N1654">
        <v>22464</v>
      </c>
      <c r="O1654" s="26">
        <v>3297378.44</v>
      </c>
      <c r="P1654" s="5" t="s">
        <v>50</v>
      </c>
      <c r="Q1654" s="5" t="s">
        <v>75</v>
      </c>
      <c r="R1654">
        <v>3.6</v>
      </c>
      <c r="S1654">
        <v>14</v>
      </c>
      <c r="T1654">
        <f t="shared" si="25"/>
        <v>0</v>
      </c>
    </row>
    <row r="1655" spans="1:20">
      <c r="A1655" s="4">
        <v>45223</v>
      </c>
      <c r="B1655">
        <v>2023</v>
      </c>
      <c r="C1655">
        <v>10</v>
      </c>
      <c r="D1655" s="5" t="s">
        <v>66</v>
      </c>
      <c r="E1655" s="5" t="s">
        <v>67</v>
      </c>
      <c r="F1655" s="5" t="s">
        <v>68</v>
      </c>
      <c r="G1655" s="5" t="s">
        <v>69</v>
      </c>
      <c r="H1655" s="5" t="s">
        <v>39</v>
      </c>
      <c r="I1655" s="5" t="s">
        <v>40</v>
      </c>
      <c r="J1655" s="5" t="s">
        <v>41</v>
      </c>
      <c r="K1655">
        <v>44</v>
      </c>
      <c r="L1655">
        <v>595780</v>
      </c>
      <c r="M1655" s="26">
        <v>26214320</v>
      </c>
      <c r="N1655">
        <v>18128</v>
      </c>
      <c r="O1655" s="26">
        <v>2351290.7599999998</v>
      </c>
      <c r="P1655" s="5" t="s">
        <v>50</v>
      </c>
      <c r="Q1655" s="5" t="s">
        <v>43</v>
      </c>
      <c r="R1655">
        <v>4.7</v>
      </c>
      <c r="S1655">
        <v>4</v>
      </c>
      <c r="T1655">
        <f t="shared" si="25"/>
        <v>0</v>
      </c>
    </row>
    <row r="1656" spans="1:20">
      <c r="A1656" s="4">
        <v>45210</v>
      </c>
      <c r="B1656">
        <v>2023</v>
      </c>
      <c r="C1656">
        <v>10</v>
      </c>
      <c r="D1656" s="5" t="s">
        <v>44</v>
      </c>
      <c r="E1656" s="5" t="s">
        <v>82</v>
      </c>
      <c r="F1656" s="5" t="s">
        <v>83</v>
      </c>
      <c r="G1656" s="5" t="s">
        <v>84</v>
      </c>
      <c r="H1656" s="5" t="s">
        <v>85</v>
      </c>
      <c r="I1656" s="5" t="s">
        <v>58</v>
      </c>
      <c r="J1656" s="5" t="s">
        <v>49</v>
      </c>
      <c r="K1656">
        <v>28</v>
      </c>
      <c r="L1656">
        <v>960833</v>
      </c>
      <c r="M1656" s="26">
        <v>26903324</v>
      </c>
      <c r="N1656">
        <v>14451</v>
      </c>
      <c r="O1656" s="26">
        <v>3705432.2</v>
      </c>
      <c r="P1656" s="5" t="s">
        <v>42</v>
      </c>
      <c r="Q1656" s="5" t="s">
        <v>75</v>
      </c>
      <c r="R1656">
        <v>4.5</v>
      </c>
      <c r="S1656">
        <v>7</v>
      </c>
      <c r="T1656">
        <f t="shared" si="25"/>
        <v>1</v>
      </c>
    </row>
    <row r="1657" spans="1:20">
      <c r="A1657" s="4">
        <v>45216</v>
      </c>
      <c r="B1657">
        <v>2023</v>
      </c>
      <c r="C1657">
        <v>10</v>
      </c>
      <c r="D1657" s="5" t="s">
        <v>44</v>
      </c>
      <c r="E1657" s="5" t="s">
        <v>82</v>
      </c>
      <c r="F1657" s="5" t="s">
        <v>83</v>
      </c>
      <c r="G1657" s="5" t="s">
        <v>84</v>
      </c>
      <c r="H1657" s="5" t="s">
        <v>57</v>
      </c>
      <c r="I1657" s="5" t="s">
        <v>58</v>
      </c>
      <c r="J1657" s="5" t="s">
        <v>59</v>
      </c>
      <c r="K1657">
        <v>37</v>
      </c>
      <c r="L1657">
        <v>1387118</v>
      </c>
      <c r="M1657" s="26">
        <v>51323366</v>
      </c>
      <c r="N1657">
        <v>6416</v>
      </c>
      <c r="O1657" s="26">
        <v>5043790.67</v>
      </c>
      <c r="P1657" s="5" t="s">
        <v>42</v>
      </c>
      <c r="Q1657" s="5" t="s">
        <v>43</v>
      </c>
      <c r="R1657">
        <v>4.2</v>
      </c>
      <c r="S1657">
        <v>13</v>
      </c>
      <c r="T1657">
        <f t="shared" si="25"/>
        <v>1</v>
      </c>
    </row>
    <row r="1658" spans="1:20">
      <c r="A1658" s="4">
        <v>45209</v>
      </c>
      <c r="B1658">
        <v>2023</v>
      </c>
      <c r="C1658">
        <v>10</v>
      </c>
      <c r="D1658" s="5" t="s">
        <v>54</v>
      </c>
      <c r="E1658" s="5" t="s">
        <v>55</v>
      </c>
      <c r="F1658" s="5" t="s">
        <v>55</v>
      </c>
      <c r="G1658" s="5" t="s">
        <v>56</v>
      </c>
      <c r="H1658" s="5" t="s">
        <v>73</v>
      </c>
      <c r="I1658" s="5" t="s">
        <v>40</v>
      </c>
      <c r="J1658" s="5" t="s">
        <v>49</v>
      </c>
      <c r="K1658">
        <v>46</v>
      </c>
      <c r="L1658">
        <v>715871</v>
      </c>
      <c r="M1658" s="26">
        <v>32930066</v>
      </c>
      <c r="N1658">
        <v>31755</v>
      </c>
      <c r="O1658" s="26">
        <v>2991383.62</v>
      </c>
      <c r="P1658" s="5" t="s">
        <v>50</v>
      </c>
      <c r="Q1658" s="5" t="s">
        <v>51</v>
      </c>
      <c r="R1658">
        <v>4.3</v>
      </c>
      <c r="S1658">
        <v>20</v>
      </c>
      <c r="T1658">
        <f t="shared" si="25"/>
        <v>0</v>
      </c>
    </row>
    <row r="1659" spans="1:20">
      <c r="A1659" s="4">
        <v>45219</v>
      </c>
      <c r="B1659">
        <v>2023</v>
      </c>
      <c r="C1659">
        <v>10</v>
      </c>
      <c r="D1659" s="5" t="s">
        <v>54</v>
      </c>
      <c r="E1659" s="5" t="s">
        <v>70</v>
      </c>
      <c r="F1659" s="5" t="s">
        <v>71</v>
      </c>
      <c r="G1659" s="5" t="s">
        <v>72</v>
      </c>
      <c r="H1659" s="5" t="s">
        <v>63</v>
      </c>
      <c r="I1659" s="5" t="s">
        <v>64</v>
      </c>
      <c r="J1659" s="5" t="s">
        <v>41</v>
      </c>
      <c r="K1659">
        <v>55</v>
      </c>
      <c r="L1659">
        <v>772446</v>
      </c>
      <c r="M1659" s="26">
        <v>42484530</v>
      </c>
      <c r="N1659">
        <v>30937</v>
      </c>
      <c r="O1659" s="26">
        <v>4255935.96</v>
      </c>
      <c r="P1659" s="5" t="s">
        <v>50</v>
      </c>
      <c r="Q1659" s="5" t="s">
        <v>51</v>
      </c>
      <c r="R1659">
        <v>4.5</v>
      </c>
      <c r="S1659">
        <v>4</v>
      </c>
      <c r="T1659">
        <f t="shared" si="25"/>
        <v>0</v>
      </c>
    </row>
    <row r="1660" spans="1:20">
      <c r="A1660" s="4">
        <v>45215</v>
      </c>
      <c r="B1660">
        <v>2023</v>
      </c>
      <c r="C1660">
        <v>10</v>
      </c>
      <c r="D1660" s="5" t="s">
        <v>35</v>
      </c>
      <c r="E1660" s="5" t="s">
        <v>60</v>
      </c>
      <c r="F1660" s="5" t="s">
        <v>61</v>
      </c>
      <c r="G1660" s="5" t="s">
        <v>62</v>
      </c>
      <c r="H1660" s="5" t="s">
        <v>63</v>
      </c>
      <c r="I1660" s="5" t="s">
        <v>64</v>
      </c>
      <c r="J1660" s="5" t="s">
        <v>41</v>
      </c>
      <c r="K1660">
        <v>23</v>
      </c>
      <c r="L1660">
        <v>751750</v>
      </c>
      <c r="M1660" s="26">
        <v>17290250</v>
      </c>
      <c r="N1660">
        <v>25162</v>
      </c>
      <c r="O1660" s="26">
        <v>1692917.18</v>
      </c>
      <c r="P1660" s="5" t="s">
        <v>42</v>
      </c>
      <c r="Q1660" s="5" t="s">
        <v>51</v>
      </c>
      <c r="R1660">
        <v>4.3</v>
      </c>
      <c r="S1660">
        <v>21</v>
      </c>
      <c r="T1660">
        <f t="shared" si="25"/>
        <v>1</v>
      </c>
    </row>
    <row r="1661" spans="1:20">
      <c r="A1661" s="4">
        <v>45201</v>
      </c>
      <c r="B1661">
        <v>2023</v>
      </c>
      <c r="C1661">
        <v>10</v>
      </c>
      <c r="D1661" s="5" t="s">
        <v>54</v>
      </c>
      <c r="E1661" s="5" t="s">
        <v>70</v>
      </c>
      <c r="F1661" s="5" t="s">
        <v>71</v>
      </c>
      <c r="G1661" s="5" t="s">
        <v>72</v>
      </c>
      <c r="H1661" s="5" t="s">
        <v>86</v>
      </c>
      <c r="I1661" s="5" t="s">
        <v>40</v>
      </c>
      <c r="J1661" s="5" t="s">
        <v>41</v>
      </c>
      <c r="K1661">
        <v>9</v>
      </c>
      <c r="L1661">
        <v>616071</v>
      </c>
      <c r="M1661" s="26">
        <v>5544639</v>
      </c>
      <c r="N1661">
        <v>10414</v>
      </c>
      <c r="O1661" s="26">
        <v>477153.52</v>
      </c>
      <c r="P1661" s="5" t="s">
        <v>50</v>
      </c>
      <c r="Q1661" s="5" t="s">
        <v>43</v>
      </c>
      <c r="R1661">
        <v>4.4000000000000004</v>
      </c>
      <c r="S1661">
        <v>15</v>
      </c>
      <c r="T1661">
        <f t="shared" si="25"/>
        <v>0</v>
      </c>
    </row>
    <row r="1662" spans="1:20">
      <c r="A1662" s="4">
        <v>45221</v>
      </c>
      <c r="B1662">
        <v>2023</v>
      </c>
      <c r="C1662">
        <v>10</v>
      </c>
      <c r="D1662" s="5" t="s">
        <v>35</v>
      </c>
      <c r="E1662" s="5" t="s">
        <v>60</v>
      </c>
      <c r="F1662" s="5" t="s">
        <v>61</v>
      </c>
      <c r="G1662" s="5" t="s">
        <v>62</v>
      </c>
      <c r="H1662" s="5" t="s">
        <v>57</v>
      </c>
      <c r="I1662" s="5" t="s">
        <v>58</v>
      </c>
      <c r="J1662" s="5" t="s">
        <v>59</v>
      </c>
      <c r="K1662">
        <v>29</v>
      </c>
      <c r="L1662">
        <v>1408971</v>
      </c>
      <c r="M1662" s="26">
        <v>40860159</v>
      </c>
      <c r="N1662">
        <v>16606</v>
      </c>
      <c r="O1662" s="26">
        <v>5516133.5599999996</v>
      </c>
      <c r="P1662" s="5" t="s">
        <v>50</v>
      </c>
      <c r="Q1662" s="5" t="s">
        <v>43</v>
      </c>
      <c r="R1662">
        <v>4.3</v>
      </c>
      <c r="S1662">
        <v>9</v>
      </c>
      <c r="T1662">
        <f t="shared" si="25"/>
        <v>0</v>
      </c>
    </row>
    <row r="1663" spans="1:20">
      <c r="A1663" s="4">
        <v>45206</v>
      </c>
      <c r="B1663">
        <v>2023</v>
      </c>
      <c r="C1663">
        <v>10</v>
      </c>
      <c r="D1663" s="5" t="s">
        <v>54</v>
      </c>
      <c r="E1663" s="5" t="s">
        <v>70</v>
      </c>
      <c r="F1663" s="5" t="s">
        <v>71</v>
      </c>
      <c r="G1663" s="5" t="s">
        <v>72</v>
      </c>
      <c r="H1663" s="5" t="s">
        <v>73</v>
      </c>
      <c r="I1663" s="5" t="s">
        <v>40</v>
      </c>
      <c r="J1663" s="5" t="s">
        <v>49</v>
      </c>
      <c r="K1663">
        <v>29</v>
      </c>
      <c r="L1663">
        <v>737185</v>
      </c>
      <c r="M1663" s="26">
        <v>21378365</v>
      </c>
      <c r="N1663">
        <v>6485</v>
      </c>
      <c r="O1663" s="26">
        <v>2221815.46</v>
      </c>
      <c r="P1663" s="5" t="s">
        <v>42</v>
      </c>
      <c r="Q1663" s="5" t="s">
        <v>75</v>
      </c>
      <c r="R1663">
        <v>4.0999999999999996</v>
      </c>
      <c r="S1663">
        <v>19</v>
      </c>
      <c r="T1663">
        <f t="shared" si="25"/>
        <v>1</v>
      </c>
    </row>
    <row r="1664" spans="1:20">
      <c r="A1664" s="4">
        <v>45208</v>
      </c>
      <c r="B1664">
        <v>2023</v>
      </c>
      <c r="C1664">
        <v>10</v>
      </c>
      <c r="D1664" s="5" t="s">
        <v>35</v>
      </c>
      <c r="E1664" s="5" t="s">
        <v>36</v>
      </c>
      <c r="F1664" s="5" t="s">
        <v>37</v>
      </c>
      <c r="G1664" s="5" t="s">
        <v>38</v>
      </c>
      <c r="H1664" s="5" t="s">
        <v>85</v>
      </c>
      <c r="I1664" s="5" t="s">
        <v>58</v>
      </c>
      <c r="J1664" s="5" t="s">
        <v>49</v>
      </c>
      <c r="K1664">
        <v>13</v>
      </c>
      <c r="L1664">
        <v>989295</v>
      </c>
      <c r="M1664" s="26">
        <v>12860835</v>
      </c>
      <c r="N1664">
        <v>42202</v>
      </c>
      <c r="O1664" s="26">
        <v>1029087.13</v>
      </c>
      <c r="P1664" s="5" t="s">
        <v>42</v>
      </c>
      <c r="Q1664" s="5" t="s">
        <v>43</v>
      </c>
      <c r="R1664">
        <v>4.4000000000000004</v>
      </c>
      <c r="S1664">
        <v>10</v>
      </c>
      <c r="T1664">
        <f t="shared" si="25"/>
        <v>1</v>
      </c>
    </row>
    <row r="1665" spans="1:20">
      <c r="A1665" s="4">
        <v>45216</v>
      </c>
      <c r="B1665">
        <v>2023</v>
      </c>
      <c r="C1665">
        <v>10</v>
      </c>
      <c r="D1665" s="5" t="s">
        <v>54</v>
      </c>
      <c r="E1665" s="5" t="s">
        <v>55</v>
      </c>
      <c r="F1665" s="5" t="s">
        <v>55</v>
      </c>
      <c r="G1665" s="5" t="s">
        <v>56</v>
      </c>
      <c r="H1665" s="5" t="s">
        <v>86</v>
      </c>
      <c r="I1665" s="5" t="s">
        <v>40</v>
      </c>
      <c r="J1665" s="5" t="s">
        <v>41</v>
      </c>
      <c r="K1665">
        <v>31</v>
      </c>
      <c r="L1665">
        <v>614224</v>
      </c>
      <c r="M1665" s="26">
        <v>19040944</v>
      </c>
      <c r="N1665">
        <v>5211</v>
      </c>
      <c r="O1665" s="26">
        <v>1927582.02</v>
      </c>
      <c r="P1665" s="5" t="s">
        <v>50</v>
      </c>
      <c r="Q1665" s="5" t="s">
        <v>75</v>
      </c>
      <c r="R1665">
        <v>3.9</v>
      </c>
      <c r="S1665">
        <v>17</v>
      </c>
      <c r="T1665">
        <f t="shared" si="25"/>
        <v>0</v>
      </c>
    </row>
    <row r="1666" spans="1:20">
      <c r="A1666" s="4">
        <v>45219</v>
      </c>
      <c r="B1666">
        <v>2023</v>
      </c>
      <c r="C1666">
        <v>10</v>
      </c>
      <c r="D1666" s="5" t="s">
        <v>35</v>
      </c>
      <c r="E1666" s="5" t="s">
        <v>36</v>
      </c>
      <c r="F1666" s="5" t="s">
        <v>37</v>
      </c>
      <c r="G1666" s="5" t="s">
        <v>38</v>
      </c>
      <c r="H1666" s="5" t="s">
        <v>52</v>
      </c>
      <c r="I1666" s="5" t="s">
        <v>53</v>
      </c>
      <c r="J1666" s="5" t="s">
        <v>41</v>
      </c>
      <c r="K1666">
        <v>60</v>
      </c>
      <c r="L1666">
        <v>960596</v>
      </c>
      <c r="M1666" s="26">
        <v>57635760</v>
      </c>
      <c r="N1666">
        <v>17570</v>
      </c>
      <c r="O1666" s="26">
        <v>6982708.79</v>
      </c>
      <c r="P1666" s="5" t="s">
        <v>42</v>
      </c>
      <c r="Q1666" s="5" t="s">
        <v>75</v>
      </c>
      <c r="R1666">
        <v>3.8</v>
      </c>
      <c r="S1666">
        <v>9</v>
      </c>
      <c r="T1666">
        <f t="shared" ref="T1666:T1729" si="26">IF(AND(OR($B1666=Sel_Year,Sel_Year="All"),OR($C1666=Sel_Month,Sel_Month="All"),OR($D1666=Sel_Region,Sel_Region="All"),OR($E1666=Sel_State,Sel_State="All"),OR($F1666=Sel_City,Sel_City="All"),OR($G1666=Sel_Dealer,Sel_Dealer="All"),OR($H1666=Sel_Model,Sel_Model="All"),OR($I1666=Sel_Segment,Sel_Segment="All"),OR($J1666=Sel_Fuel,Sel_Fuel="All"),OR($P1666=Sel_CustType,Sel_CustType="All"),OR($Q1666=Sel_Payment,Sel_Payment="All")),1,0)</f>
        <v>1</v>
      </c>
    </row>
    <row r="1667" spans="1:20">
      <c r="A1667" s="4">
        <v>45226</v>
      </c>
      <c r="B1667">
        <v>2023</v>
      </c>
      <c r="C1667">
        <v>10</v>
      </c>
      <c r="D1667" s="5" t="s">
        <v>44</v>
      </c>
      <c r="E1667" s="5" t="s">
        <v>82</v>
      </c>
      <c r="F1667" s="5" t="s">
        <v>83</v>
      </c>
      <c r="G1667" s="5" t="s">
        <v>84</v>
      </c>
      <c r="H1667" s="5" t="s">
        <v>79</v>
      </c>
      <c r="I1667" s="5" t="s">
        <v>58</v>
      </c>
      <c r="J1667" s="5" t="s">
        <v>49</v>
      </c>
      <c r="K1667">
        <v>45</v>
      </c>
      <c r="L1667">
        <v>880359</v>
      </c>
      <c r="M1667" s="26">
        <v>39616155</v>
      </c>
      <c r="N1667">
        <v>43636</v>
      </c>
      <c r="O1667" s="26">
        <v>4033250.13</v>
      </c>
      <c r="P1667" s="5" t="s">
        <v>50</v>
      </c>
      <c r="Q1667" s="5" t="s">
        <v>43</v>
      </c>
      <c r="R1667">
        <v>4.7</v>
      </c>
      <c r="S1667">
        <v>14</v>
      </c>
      <c r="T1667">
        <f t="shared" si="26"/>
        <v>0</v>
      </c>
    </row>
    <row r="1668" spans="1:20">
      <c r="A1668" s="4">
        <v>45223</v>
      </c>
      <c r="B1668">
        <v>2023</v>
      </c>
      <c r="C1668">
        <v>10</v>
      </c>
      <c r="D1668" s="5" t="s">
        <v>44</v>
      </c>
      <c r="E1668" s="5" t="s">
        <v>45</v>
      </c>
      <c r="F1668" s="5" t="s">
        <v>46</v>
      </c>
      <c r="G1668" s="5" t="s">
        <v>47</v>
      </c>
      <c r="H1668" s="5" t="s">
        <v>79</v>
      </c>
      <c r="I1668" s="5" t="s">
        <v>58</v>
      </c>
      <c r="J1668" s="5" t="s">
        <v>49</v>
      </c>
      <c r="K1668">
        <v>56</v>
      </c>
      <c r="L1668">
        <v>903160</v>
      </c>
      <c r="M1668" s="26">
        <v>50576960</v>
      </c>
      <c r="N1668">
        <v>43115</v>
      </c>
      <c r="O1668" s="26">
        <v>7338835.5800000001</v>
      </c>
      <c r="P1668" s="5" t="s">
        <v>50</v>
      </c>
      <c r="Q1668" s="5" t="s">
        <v>51</v>
      </c>
      <c r="R1668">
        <v>4</v>
      </c>
      <c r="S1668">
        <v>5</v>
      </c>
      <c r="T1668">
        <f t="shared" si="26"/>
        <v>0</v>
      </c>
    </row>
    <row r="1669" spans="1:20">
      <c r="A1669" s="4">
        <v>45202</v>
      </c>
      <c r="B1669">
        <v>2023</v>
      </c>
      <c r="C1669">
        <v>10</v>
      </c>
      <c r="D1669" s="5" t="s">
        <v>35</v>
      </c>
      <c r="E1669" s="5" t="s">
        <v>76</v>
      </c>
      <c r="F1669" s="5" t="s">
        <v>77</v>
      </c>
      <c r="G1669" s="5" t="s">
        <v>78</v>
      </c>
      <c r="H1669" s="5" t="s">
        <v>79</v>
      </c>
      <c r="I1669" s="5" t="s">
        <v>58</v>
      </c>
      <c r="J1669" s="5" t="s">
        <v>49</v>
      </c>
      <c r="K1669">
        <v>26</v>
      </c>
      <c r="L1669">
        <v>927234</v>
      </c>
      <c r="M1669" s="26">
        <v>24108084</v>
      </c>
      <c r="N1669">
        <v>15433</v>
      </c>
      <c r="O1669" s="26">
        <v>2232319.7000000002</v>
      </c>
      <c r="P1669" s="5" t="s">
        <v>50</v>
      </c>
      <c r="Q1669" s="5" t="s">
        <v>51</v>
      </c>
      <c r="R1669">
        <v>3.7</v>
      </c>
      <c r="S1669">
        <v>12</v>
      </c>
      <c r="T1669">
        <f t="shared" si="26"/>
        <v>0</v>
      </c>
    </row>
    <row r="1670" spans="1:20">
      <c r="A1670" s="4">
        <v>45212</v>
      </c>
      <c r="B1670">
        <v>2023</v>
      </c>
      <c r="C1670">
        <v>10</v>
      </c>
      <c r="D1670" s="5" t="s">
        <v>44</v>
      </c>
      <c r="E1670" s="5" t="s">
        <v>82</v>
      </c>
      <c r="F1670" s="5" t="s">
        <v>83</v>
      </c>
      <c r="G1670" s="5" t="s">
        <v>84</v>
      </c>
      <c r="H1670" s="5" t="s">
        <v>80</v>
      </c>
      <c r="I1670" s="5" t="s">
        <v>81</v>
      </c>
      <c r="J1670" s="5" t="s">
        <v>41</v>
      </c>
      <c r="K1670">
        <v>35</v>
      </c>
      <c r="L1670">
        <v>578150</v>
      </c>
      <c r="M1670" s="26">
        <v>20235250</v>
      </c>
      <c r="N1670">
        <v>16706</v>
      </c>
      <c r="O1670" s="26">
        <v>3017802.81</v>
      </c>
      <c r="P1670" s="5" t="s">
        <v>50</v>
      </c>
      <c r="Q1670" s="5" t="s">
        <v>43</v>
      </c>
      <c r="R1670">
        <v>4.9000000000000004</v>
      </c>
      <c r="S1670">
        <v>16</v>
      </c>
      <c r="T1670">
        <f t="shared" si="26"/>
        <v>0</v>
      </c>
    </row>
    <row r="1671" spans="1:20">
      <c r="A1671" s="4">
        <v>45208</v>
      </c>
      <c r="B1671">
        <v>2023</v>
      </c>
      <c r="C1671">
        <v>10</v>
      </c>
      <c r="D1671" s="5" t="s">
        <v>44</v>
      </c>
      <c r="E1671" s="5" t="s">
        <v>45</v>
      </c>
      <c r="F1671" s="5" t="s">
        <v>46</v>
      </c>
      <c r="G1671" s="5" t="s">
        <v>47</v>
      </c>
      <c r="H1671" s="5" t="s">
        <v>73</v>
      </c>
      <c r="I1671" s="5" t="s">
        <v>40</v>
      </c>
      <c r="J1671" s="5" t="s">
        <v>49</v>
      </c>
      <c r="K1671">
        <v>53</v>
      </c>
      <c r="L1671">
        <v>709958</v>
      </c>
      <c r="M1671" s="26">
        <v>37627774</v>
      </c>
      <c r="N1671">
        <v>40838</v>
      </c>
      <c r="O1671" s="26">
        <v>5800563.1299999999</v>
      </c>
      <c r="P1671" s="5" t="s">
        <v>50</v>
      </c>
      <c r="Q1671" s="5" t="s">
        <v>75</v>
      </c>
      <c r="R1671">
        <v>3.8</v>
      </c>
      <c r="S1671">
        <v>11</v>
      </c>
      <c r="T1671">
        <f t="shared" si="26"/>
        <v>0</v>
      </c>
    </row>
    <row r="1672" spans="1:20">
      <c r="A1672" s="4">
        <v>45215</v>
      </c>
      <c r="B1672">
        <v>2023</v>
      </c>
      <c r="C1672">
        <v>10</v>
      </c>
      <c r="D1672" s="5" t="s">
        <v>35</v>
      </c>
      <c r="E1672" s="5" t="s">
        <v>60</v>
      </c>
      <c r="F1672" s="5" t="s">
        <v>61</v>
      </c>
      <c r="G1672" s="5" t="s">
        <v>62</v>
      </c>
      <c r="H1672" s="5" t="s">
        <v>80</v>
      </c>
      <c r="I1672" s="5" t="s">
        <v>81</v>
      </c>
      <c r="J1672" s="5" t="s">
        <v>41</v>
      </c>
      <c r="K1672">
        <v>49</v>
      </c>
      <c r="L1672">
        <v>532628</v>
      </c>
      <c r="M1672" s="26">
        <v>26098772</v>
      </c>
      <c r="N1672">
        <v>13053</v>
      </c>
      <c r="O1672" s="26">
        <v>3496809.41</v>
      </c>
      <c r="P1672" s="5" t="s">
        <v>42</v>
      </c>
      <c r="Q1672" s="5" t="s">
        <v>43</v>
      </c>
      <c r="R1672">
        <v>4.8</v>
      </c>
      <c r="S1672">
        <v>7</v>
      </c>
      <c r="T1672">
        <f t="shared" si="26"/>
        <v>1</v>
      </c>
    </row>
    <row r="1673" spans="1:20">
      <c r="A1673" s="4">
        <v>45210</v>
      </c>
      <c r="B1673">
        <v>2023</v>
      </c>
      <c r="C1673">
        <v>10</v>
      </c>
      <c r="D1673" s="5" t="s">
        <v>66</v>
      </c>
      <c r="E1673" s="5" t="s">
        <v>67</v>
      </c>
      <c r="F1673" s="5" t="s">
        <v>68</v>
      </c>
      <c r="G1673" s="5" t="s">
        <v>69</v>
      </c>
      <c r="H1673" s="5" t="s">
        <v>73</v>
      </c>
      <c r="I1673" s="5" t="s">
        <v>40</v>
      </c>
      <c r="J1673" s="5" t="s">
        <v>49</v>
      </c>
      <c r="K1673">
        <v>8</v>
      </c>
      <c r="L1673">
        <v>741127</v>
      </c>
      <c r="M1673" s="26">
        <v>5929016</v>
      </c>
      <c r="N1673">
        <v>42296</v>
      </c>
      <c r="O1673" s="26">
        <v>596931.37</v>
      </c>
      <c r="P1673" s="5" t="s">
        <v>42</v>
      </c>
      <c r="Q1673" s="5" t="s">
        <v>43</v>
      </c>
      <c r="R1673">
        <v>3.8</v>
      </c>
      <c r="S1673">
        <v>4</v>
      </c>
      <c r="T1673">
        <f t="shared" si="26"/>
        <v>1</v>
      </c>
    </row>
    <row r="1674" spans="1:20">
      <c r="A1674" s="4">
        <v>45222</v>
      </c>
      <c r="B1674">
        <v>2023</v>
      </c>
      <c r="C1674">
        <v>10</v>
      </c>
      <c r="D1674" s="5" t="s">
        <v>66</v>
      </c>
      <c r="E1674" s="5" t="s">
        <v>67</v>
      </c>
      <c r="F1674" s="5" t="s">
        <v>68</v>
      </c>
      <c r="G1674" s="5" t="s">
        <v>69</v>
      </c>
      <c r="H1674" s="5" t="s">
        <v>52</v>
      </c>
      <c r="I1674" s="5" t="s">
        <v>53</v>
      </c>
      <c r="J1674" s="5" t="s">
        <v>41</v>
      </c>
      <c r="K1674">
        <v>42</v>
      </c>
      <c r="L1674">
        <v>931403</v>
      </c>
      <c r="M1674" s="26">
        <v>39118926</v>
      </c>
      <c r="N1674">
        <v>40043</v>
      </c>
      <c r="O1674" s="26">
        <v>4120612.01</v>
      </c>
      <c r="P1674" s="5" t="s">
        <v>42</v>
      </c>
      <c r="Q1674" s="5" t="s">
        <v>51</v>
      </c>
      <c r="R1674">
        <v>3.7</v>
      </c>
      <c r="S1674">
        <v>3</v>
      </c>
      <c r="T1674">
        <f t="shared" si="26"/>
        <v>1</v>
      </c>
    </row>
    <row r="1675" spans="1:20">
      <c r="A1675" s="4">
        <v>45224</v>
      </c>
      <c r="B1675">
        <v>2023</v>
      </c>
      <c r="C1675">
        <v>10</v>
      </c>
      <c r="D1675" s="5" t="s">
        <v>35</v>
      </c>
      <c r="E1675" s="5" t="s">
        <v>76</v>
      </c>
      <c r="F1675" s="5" t="s">
        <v>77</v>
      </c>
      <c r="G1675" s="5" t="s">
        <v>78</v>
      </c>
      <c r="H1675" s="5" t="s">
        <v>57</v>
      </c>
      <c r="I1675" s="5" t="s">
        <v>58</v>
      </c>
      <c r="J1675" s="5" t="s">
        <v>59</v>
      </c>
      <c r="K1675">
        <v>9</v>
      </c>
      <c r="L1675">
        <v>1386792</v>
      </c>
      <c r="M1675" s="26">
        <v>12481128</v>
      </c>
      <c r="N1675">
        <v>12673</v>
      </c>
      <c r="O1675" s="26">
        <v>1066511.32</v>
      </c>
      <c r="P1675" s="5" t="s">
        <v>42</v>
      </c>
      <c r="Q1675" s="5" t="s">
        <v>43</v>
      </c>
      <c r="R1675">
        <v>3.7</v>
      </c>
      <c r="S1675">
        <v>12</v>
      </c>
      <c r="T1675">
        <f t="shared" si="26"/>
        <v>1</v>
      </c>
    </row>
    <row r="1676" spans="1:20">
      <c r="A1676" s="4">
        <v>45211</v>
      </c>
      <c r="B1676">
        <v>2023</v>
      </c>
      <c r="C1676">
        <v>10</v>
      </c>
      <c r="D1676" s="5" t="s">
        <v>54</v>
      </c>
      <c r="E1676" s="5" t="s">
        <v>70</v>
      </c>
      <c r="F1676" s="5" t="s">
        <v>71</v>
      </c>
      <c r="G1676" s="5" t="s">
        <v>72</v>
      </c>
      <c r="H1676" s="5" t="s">
        <v>48</v>
      </c>
      <c r="I1676" s="5" t="s">
        <v>40</v>
      </c>
      <c r="J1676" s="5" t="s">
        <v>49</v>
      </c>
      <c r="K1676">
        <v>28</v>
      </c>
      <c r="L1676">
        <v>447517</v>
      </c>
      <c r="M1676" s="26">
        <v>12530476</v>
      </c>
      <c r="N1676">
        <v>33495</v>
      </c>
      <c r="O1676" s="26">
        <v>1726802.96</v>
      </c>
      <c r="P1676" s="5" t="s">
        <v>50</v>
      </c>
      <c r="Q1676" s="5" t="s">
        <v>43</v>
      </c>
      <c r="R1676">
        <v>5</v>
      </c>
      <c r="S1676">
        <v>9</v>
      </c>
      <c r="T1676">
        <f t="shared" si="26"/>
        <v>0</v>
      </c>
    </row>
    <row r="1677" spans="1:20">
      <c r="A1677" s="4">
        <v>45225</v>
      </c>
      <c r="B1677">
        <v>2023</v>
      </c>
      <c r="C1677">
        <v>10</v>
      </c>
      <c r="D1677" s="5" t="s">
        <v>54</v>
      </c>
      <c r="E1677" s="5" t="s">
        <v>55</v>
      </c>
      <c r="F1677" s="5" t="s">
        <v>55</v>
      </c>
      <c r="G1677" s="5" t="s">
        <v>56</v>
      </c>
      <c r="H1677" s="5" t="s">
        <v>65</v>
      </c>
      <c r="I1677" s="5" t="s">
        <v>53</v>
      </c>
      <c r="J1677" s="5" t="s">
        <v>49</v>
      </c>
      <c r="K1677">
        <v>30</v>
      </c>
      <c r="L1677">
        <v>1228757</v>
      </c>
      <c r="M1677" s="26">
        <v>36862710</v>
      </c>
      <c r="N1677">
        <v>46891</v>
      </c>
      <c r="O1677" s="26">
        <v>4821666.5</v>
      </c>
      <c r="P1677" s="5" t="s">
        <v>42</v>
      </c>
      <c r="Q1677" s="5" t="s">
        <v>75</v>
      </c>
      <c r="R1677">
        <v>4</v>
      </c>
      <c r="S1677">
        <v>2</v>
      </c>
      <c r="T1677">
        <f t="shared" si="26"/>
        <v>1</v>
      </c>
    </row>
    <row r="1678" spans="1:20">
      <c r="A1678" s="4">
        <v>45220</v>
      </c>
      <c r="B1678">
        <v>2023</v>
      </c>
      <c r="C1678">
        <v>10</v>
      </c>
      <c r="D1678" s="5" t="s">
        <v>35</v>
      </c>
      <c r="E1678" s="5" t="s">
        <v>76</v>
      </c>
      <c r="F1678" s="5" t="s">
        <v>77</v>
      </c>
      <c r="G1678" s="5" t="s">
        <v>78</v>
      </c>
      <c r="H1678" s="5" t="s">
        <v>63</v>
      </c>
      <c r="I1678" s="5" t="s">
        <v>64</v>
      </c>
      <c r="J1678" s="5" t="s">
        <v>41</v>
      </c>
      <c r="K1678">
        <v>52</v>
      </c>
      <c r="L1678">
        <v>775262</v>
      </c>
      <c r="M1678" s="26">
        <v>40313624</v>
      </c>
      <c r="N1678">
        <v>34493</v>
      </c>
      <c r="O1678" s="26">
        <v>4905907.6399999997</v>
      </c>
      <c r="P1678" s="5" t="s">
        <v>42</v>
      </c>
      <c r="Q1678" s="5" t="s">
        <v>51</v>
      </c>
      <c r="R1678">
        <v>4.4000000000000004</v>
      </c>
      <c r="S1678">
        <v>8</v>
      </c>
      <c r="T1678">
        <f t="shared" si="26"/>
        <v>1</v>
      </c>
    </row>
    <row r="1679" spans="1:20">
      <c r="A1679" s="4">
        <v>45208</v>
      </c>
      <c r="B1679">
        <v>2023</v>
      </c>
      <c r="C1679">
        <v>10</v>
      </c>
      <c r="D1679" s="5" t="s">
        <v>44</v>
      </c>
      <c r="E1679" s="5" t="s">
        <v>82</v>
      </c>
      <c r="F1679" s="5" t="s">
        <v>83</v>
      </c>
      <c r="G1679" s="5" t="s">
        <v>84</v>
      </c>
      <c r="H1679" s="5" t="s">
        <v>65</v>
      </c>
      <c r="I1679" s="5" t="s">
        <v>53</v>
      </c>
      <c r="J1679" s="5" t="s">
        <v>49</v>
      </c>
      <c r="K1679">
        <v>34</v>
      </c>
      <c r="L1679">
        <v>1236556</v>
      </c>
      <c r="M1679" s="26">
        <v>42042904</v>
      </c>
      <c r="N1679">
        <v>40782</v>
      </c>
      <c r="O1679" s="26">
        <v>6368238.9500000002</v>
      </c>
      <c r="P1679" s="5" t="s">
        <v>50</v>
      </c>
      <c r="Q1679" s="5" t="s">
        <v>75</v>
      </c>
      <c r="R1679">
        <v>4.8</v>
      </c>
      <c r="S1679">
        <v>2</v>
      </c>
      <c r="T1679">
        <f t="shared" si="26"/>
        <v>0</v>
      </c>
    </row>
    <row r="1680" spans="1:20">
      <c r="A1680" s="4">
        <v>45205</v>
      </c>
      <c r="B1680">
        <v>2023</v>
      </c>
      <c r="C1680">
        <v>10</v>
      </c>
      <c r="D1680" s="5" t="s">
        <v>35</v>
      </c>
      <c r="E1680" s="5" t="s">
        <v>60</v>
      </c>
      <c r="F1680" s="5" t="s">
        <v>61</v>
      </c>
      <c r="G1680" s="5" t="s">
        <v>62</v>
      </c>
      <c r="H1680" s="5" t="s">
        <v>57</v>
      </c>
      <c r="I1680" s="5" t="s">
        <v>58</v>
      </c>
      <c r="J1680" s="5" t="s">
        <v>59</v>
      </c>
      <c r="K1680">
        <v>60</v>
      </c>
      <c r="L1680">
        <v>1420640</v>
      </c>
      <c r="M1680" s="26">
        <v>85238400</v>
      </c>
      <c r="N1680">
        <v>33429</v>
      </c>
      <c r="O1680" s="26">
        <v>12506157.6</v>
      </c>
      <c r="P1680" s="5" t="s">
        <v>42</v>
      </c>
      <c r="Q1680" s="5" t="s">
        <v>75</v>
      </c>
      <c r="R1680">
        <v>3.9</v>
      </c>
      <c r="S1680">
        <v>9</v>
      </c>
      <c r="T1680">
        <f t="shared" si="26"/>
        <v>1</v>
      </c>
    </row>
    <row r="1681" spans="1:20">
      <c r="A1681" s="4">
        <v>45220</v>
      </c>
      <c r="B1681">
        <v>2023</v>
      </c>
      <c r="C1681">
        <v>10</v>
      </c>
      <c r="D1681" s="5" t="s">
        <v>35</v>
      </c>
      <c r="E1681" s="5" t="s">
        <v>76</v>
      </c>
      <c r="F1681" s="5" t="s">
        <v>77</v>
      </c>
      <c r="G1681" s="5" t="s">
        <v>78</v>
      </c>
      <c r="H1681" s="5" t="s">
        <v>52</v>
      </c>
      <c r="I1681" s="5" t="s">
        <v>53</v>
      </c>
      <c r="J1681" s="5" t="s">
        <v>41</v>
      </c>
      <c r="K1681">
        <v>19</v>
      </c>
      <c r="L1681">
        <v>954646</v>
      </c>
      <c r="M1681" s="26">
        <v>18138274</v>
      </c>
      <c r="N1681">
        <v>39031</v>
      </c>
      <c r="O1681" s="26">
        <v>1909528.04</v>
      </c>
      <c r="P1681" s="5" t="s">
        <v>50</v>
      </c>
      <c r="Q1681" s="5" t="s">
        <v>51</v>
      </c>
      <c r="R1681">
        <v>4.3</v>
      </c>
      <c r="S1681">
        <v>5</v>
      </c>
      <c r="T1681">
        <f t="shared" si="26"/>
        <v>0</v>
      </c>
    </row>
    <row r="1682" spans="1:20">
      <c r="A1682" s="4">
        <v>45208</v>
      </c>
      <c r="B1682">
        <v>2023</v>
      </c>
      <c r="C1682">
        <v>10</v>
      </c>
      <c r="D1682" s="5" t="s">
        <v>35</v>
      </c>
      <c r="E1682" s="5" t="s">
        <v>36</v>
      </c>
      <c r="F1682" s="5" t="s">
        <v>37</v>
      </c>
      <c r="G1682" s="5" t="s">
        <v>38</v>
      </c>
      <c r="H1682" s="5" t="s">
        <v>85</v>
      </c>
      <c r="I1682" s="5" t="s">
        <v>58</v>
      </c>
      <c r="J1682" s="5" t="s">
        <v>49</v>
      </c>
      <c r="K1682">
        <v>38</v>
      </c>
      <c r="L1682">
        <v>1006419</v>
      </c>
      <c r="M1682" s="26">
        <v>38243922</v>
      </c>
      <c r="N1682">
        <v>29226</v>
      </c>
      <c r="O1682" s="26">
        <v>4431808.96</v>
      </c>
      <c r="P1682" s="5" t="s">
        <v>50</v>
      </c>
      <c r="Q1682" s="5" t="s">
        <v>51</v>
      </c>
      <c r="R1682">
        <v>4.7</v>
      </c>
      <c r="S1682">
        <v>2</v>
      </c>
      <c r="T1682">
        <f t="shared" si="26"/>
        <v>0</v>
      </c>
    </row>
    <row r="1683" spans="1:20">
      <c r="A1683" s="4">
        <v>45206</v>
      </c>
      <c r="B1683">
        <v>2023</v>
      </c>
      <c r="C1683">
        <v>10</v>
      </c>
      <c r="D1683" s="5" t="s">
        <v>54</v>
      </c>
      <c r="E1683" s="5" t="s">
        <v>55</v>
      </c>
      <c r="F1683" s="5" t="s">
        <v>55</v>
      </c>
      <c r="G1683" s="5" t="s">
        <v>56</v>
      </c>
      <c r="H1683" s="5" t="s">
        <v>39</v>
      </c>
      <c r="I1683" s="5" t="s">
        <v>40</v>
      </c>
      <c r="J1683" s="5" t="s">
        <v>41</v>
      </c>
      <c r="K1683">
        <v>27</v>
      </c>
      <c r="L1683">
        <v>561793</v>
      </c>
      <c r="M1683" s="26">
        <v>15168411</v>
      </c>
      <c r="N1683">
        <v>27567</v>
      </c>
      <c r="O1683" s="26">
        <v>1356888.47</v>
      </c>
      <c r="P1683" s="5" t="s">
        <v>42</v>
      </c>
      <c r="Q1683" s="5" t="s">
        <v>51</v>
      </c>
      <c r="R1683">
        <v>4.0999999999999996</v>
      </c>
      <c r="S1683">
        <v>2</v>
      </c>
      <c r="T1683">
        <f t="shared" si="26"/>
        <v>1</v>
      </c>
    </row>
    <row r="1684" spans="1:20">
      <c r="A1684" s="4">
        <v>45205</v>
      </c>
      <c r="B1684">
        <v>2023</v>
      </c>
      <c r="C1684">
        <v>10</v>
      </c>
      <c r="D1684" s="5" t="s">
        <v>44</v>
      </c>
      <c r="E1684" s="5" t="s">
        <v>45</v>
      </c>
      <c r="F1684" s="5" t="s">
        <v>46</v>
      </c>
      <c r="G1684" s="5" t="s">
        <v>47</v>
      </c>
      <c r="H1684" s="5" t="s">
        <v>74</v>
      </c>
      <c r="I1684" s="5" t="s">
        <v>40</v>
      </c>
      <c r="J1684" s="5" t="s">
        <v>49</v>
      </c>
      <c r="K1684">
        <v>39</v>
      </c>
      <c r="L1684">
        <v>625940</v>
      </c>
      <c r="M1684" s="26">
        <v>24411660</v>
      </c>
      <c r="N1684">
        <v>24767</v>
      </c>
      <c r="O1684" s="26">
        <v>2942471.4</v>
      </c>
      <c r="P1684" s="5" t="s">
        <v>50</v>
      </c>
      <c r="Q1684" s="5" t="s">
        <v>43</v>
      </c>
      <c r="R1684">
        <v>4.3</v>
      </c>
      <c r="S1684">
        <v>9</v>
      </c>
      <c r="T1684">
        <f t="shared" si="26"/>
        <v>0</v>
      </c>
    </row>
    <row r="1685" spans="1:20">
      <c r="A1685" s="4">
        <v>45226</v>
      </c>
      <c r="B1685">
        <v>2023</v>
      </c>
      <c r="C1685">
        <v>10</v>
      </c>
      <c r="D1685" s="5" t="s">
        <v>35</v>
      </c>
      <c r="E1685" s="5" t="s">
        <v>60</v>
      </c>
      <c r="F1685" s="5" t="s">
        <v>61</v>
      </c>
      <c r="G1685" s="5" t="s">
        <v>62</v>
      </c>
      <c r="H1685" s="5" t="s">
        <v>80</v>
      </c>
      <c r="I1685" s="5" t="s">
        <v>81</v>
      </c>
      <c r="J1685" s="5" t="s">
        <v>41</v>
      </c>
      <c r="K1685">
        <v>34</v>
      </c>
      <c r="L1685">
        <v>531862</v>
      </c>
      <c r="M1685" s="26">
        <v>18083308</v>
      </c>
      <c r="N1685">
        <v>11730</v>
      </c>
      <c r="O1685" s="26">
        <v>1511581.9</v>
      </c>
      <c r="P1685" s="5" t="s">
        <v>42</v>
      </c>
      <c r="Q1685" s="5" t="s">
        <v>51</v>
      </c>
      <c r="R1685">
        <v>4.0999999999999996</v>
      </c>
      <c r="S1685">
        <v>9</v>
      </c>
      <c r="T1685">
        <f t="shared" si="26"/>
        <v>1</v>
      </c>
    </row>
    <row r="1686" spans="1:20">
      <c r="A1686" s="4">
        <v>45208</v>
      </c>
      <c r="B1686">
        <v>2023</v>
      </c>
      <c r="C1686">
        <v>10</v>
      </c>
      <c r="D1686" s="5" t="s">
        <v>54</v>
      </c>
      <c r="E1686" s="5" t="s">
        <v>55</v>
      </c>
      <c r="F1686" s="5" t="s">
        <v>55</v>
      </c>
      <c r="G1686" s="5" t="s">
        <v>56</v>
      </c>
      <c r="H1686" s="5" t="s">
        <v>73</v>
      </c>
      <c r="I1686" s="5" t="s">
        <v>40</v>
      </c>
      <c r="J1686" s="5" t="s">
        <v>49</v>
      </c>
      <c r="K1686">
        <v>7</v>
      </c>
      <c r="L1686">
        <v>691089</v>
      </c>
      <c r="M1686" s="26">
        <v>4837623</v>
      </c>
      <c r="N1686">
        <v>16787</v>
      </c>
      <c r="O1686" s="26">
        <v>503765.79</v>
      </c>
      <c r="P1686" s="5" t="s">
        <v>50</v>
      </c>
      <c r="Q1686" s="5" t="s">
        <v>51</v>
      </c>
      <c r="R1686">
        <v>4.5999999999999996</v>
      </c>
      <c r="S1686">
        <v>5</v>
      </c>
      <c r="T1686">
        <f t="shared" si="26"/>
        <v>0</v>
      </c>
    </row>
    <row r="1687" spans="1:20">
      <c r="A1687" s="4">
        <v>45227</v>
      </c>
      <c r="B1687">
        <v>2023</v>
      </c>
      <c r="C1687">
        <v>10</v>
      </c>
      <c r="D1687" s="5" t="s">
        <v>44</v>
      </c>
      <c r="E1687" s="5" t="s">
        <v>45</v>
      </c>
      <c r="F1687" s="5" t="s">
        <v>46</v>
      </c>
      <c r="G1687" s="5" t="s">
        <v>47</v>
      </c>
      <c r="H1687" s="5" t="s">
        <v>48</v>
      </c>
      <c r="I1687" s="5" t="s">
        <v>40</v>
      </c>
      <c r="J1687" s="5" t="s">
        <v>49</v>
      </c>
      <c r="K1687">
        <v>16</v>
      </c>
      <c r="L1687">
        <v>476912</v>
      </c>
      <c r="M1687" s="26">
        <v>7630592</v>
      </c>
      <c r="N1687">
        <v>46510</v>
      </c>
      <c r="O1687" s="26">
        <v>657657.32999999996</v>
      </c>
      <c r="P1687" s="5" t="s">
        <v>50</v>
      </c>
      <c r="Q1687" s="5" t="s">
        <v>75</v>
      </c>
      <c r="R1687">
        <v>3.7</v>
      </c>
      <c r="S1687">
        <v>21</v>
      </c>
      <c r="T1687">
        <f t="shared" si="26"/>
        <v>0</v>
      </c>
    </row>
    <row r="1688" spans="1:20">
      <c r="A1688" s="4">
        <v>45226</v>
      </c>
      <c r="B1688">
        <v>2023</v>
      </c>
      <c r="C1688">
        <v>10</v>
      </c>
      <c r="D1688" s="5" t="s">
        <v>35</v>
      </c>
      <c r="E1688" s="5" t="s">
        <v>76</v>
      </c>
      <c r="F1688" s="5" t="s">
        <v>77</v>
      </c>
      <c r="G1688" s="5" t="s">
        <v>78</v>
      </c>
      <c r="H1688" s="5" t="s">
        <v>48</v>
      </c>
      <c r="I1688" s="5" t="s">
        <v>40</v>
      </c>
      <c r="J1688" s="5" t="s">
        <v>49</v>
      </c>
      <c r="K1688">
        <v>41</v>
      </c>
      <c r="L1688">
        <v>440102</v>
      </c>
      <c r="M1688" s="26">
        <v>18044182</v>
      </c>
      <c r="N1688">
        <v>10413</v>
      </c>
      <c r="O1688" s="26">
        <v>1722314.13</v>
      </c>
      <c r="P1688" s="5" t="s">
        <v>50</v>
      </c>
      <c r="Q1688" s="5" t="s">
        <v>51</v>
      </c>
      <c r="R1688">
        <v>3.8</v>
      </c>
      <c r="S1688">
        <v>2</v>
      </c>
      <c r="T1688">
        <f t="shared" si="26"/>
        <v>0</v>
      </c>
    </row>
    <row r="1689" spans="1:20">
      <c r="A1689" s="4">
        <v>45222</v>
      </c>
      <c r="B1689">
        <v>2023</v>
      </c>
      <c r="C1689">
        <v>10</v>
      </c>
      <c r="D1689" s="5" t="s">
        <v>54</v>
      </c>
      <c r="E1689" s="5" t="s">
        <v>70</v>
      </c>
      <c r="F1689" s="5" t="s">
        <v>71</v>
      </c>
      <c r="G1689" s="5" t="s">
        <v>72</v>
      </c>
      <c r="H1689" s="5" t="s">
        <v>86</v>
      </c>
      <c r="I1689" s="5" t="s">
        <v>40</v>
      </c>
      <c r="J1689" s="5" t="s">
        <v>41</v>
      </c>
      <c r="K1689">
        <v>39</v>
      </c>
      <c r="L1689">
        <v>608941</v>
      </c>
      <c r="M1689" s="26">
        <v>23748699</v>
      </c>
      <c r="N1689">
        <v>14595</v>
      </c>
      <c r="O1689" s="26">
        <v>3351361.16</v>
      </c>
      <c r="P1689" s="5" t="s">
        <v>42</v>
      </c>
      <c r="Q1689" s="5" t="s">
        <v>43</v>
      </c>
      <c r="R1689">
        <v>4.8</v>
      </c>
      <c r="S1689">
        <v>10</v>
      </c>
      <c r="T1689">
        <f t="shared" si="26"/>
        <v>1</v>
      </c>
    </row>
    <row r="1690" spans="1:20">
      <c r="A1690" s="4">
        <v>45205</v>
      </c>
      <c r="B1690">
        <v>2023</v>
      </c>
      <c r="C1690">
        <v>10</v>
      </c>
      <c r="D1690" s="5" t="s">
        <v>35</v>
      </c>
      <c r="E1690" s="5" t="s">
        <v>60</v>
      </c>
      <c r="F1690" s="5" t="s">
        <v>61</v>
      </c>
      <c r="G1690" s="5" t="s">
        <v>62</v>
      </c>
      <c r="H1690" s="5" t="s">
        <v>39</v>
      </c>
      <c r="I1690" s="5" t="s">
        <v>40</v>
      </c>
      <c r="J1690" s="5" t="s">
        <v>41</v>
      </c>
      <c r="K1690">
        <v>26</v>
      </c>
      <c r="L1690">
        <v>578144</v>
      </c>
      <c r="M1690" s="26">
        <v>15031744</v>
      </c>
      <c r="N1690">
        <v>38281</v>
      </c>
      <c r="O1690" s="26">
        <v>2289682.42</v>
      </c>
      <c r="P1690" s="5" t="s">
        <v>50</v>
      </c>
      <c r="Q1690" s="5" t="s">
        <v>75</v>
      </c>
      <c r="R1690">
        <v>4.8</v>
      </c>
      <c r="S1690">
        <v>2</v>
      </c>
      <c r="T1690">
        <f t="shared" si="26"/>
        <v>0</v>
      </c>
    </row>
    <row r="1691" spans="1:20">
      <c r="A1691" s="4">
        <v>45212</v>
      </c>
      <c r="B1691">
        <v>2023</v>
      </c>
      <c r="C1691">
        <v>10</v>
      </c>
      <c r="D1691" s="5" t="s">
        <v>54</v>
      </c>
      <c r="E1691" s="5" t="s">
        <v>55</v>
      </c>
      <c r="F1691" s="5" t="s">
        <v>55</v>
      </c>
      <c r="G1691" s="5" t="s">
        <v>56</v>
      </c>
      <c r="H1691" s="5" t="s">
        <v>74</v>
      </c>
      <c r="I1691" s="5" t="s">
        <v>40</v>
      </c>
      <c r="J1691" s="5" t="s">
        <v>49</v>
      </c>
      <c r="K1691">
        <v>32</v>
      </c>
      <c r="L1691">
        <v>673206</v>
      </c>
      <c r="M1691" s="26">
        <v>21542592</v>
      </c>
      <c r="N1691">
        <v>32065</v>
      </c>
      <c r="O1691" s="26">
        <v>2870757.63</v>
      </c>
      <c r="P1691" s="5" t="s">
        <v>42</v>
      </c>
      <c r="Q1691" s="5" t="s">
        <v>43</v>
      </c>
      <c r="R1691">
        <v>4.8</v>
      </c>
      <c r="S1691">
        <v>20</v>
      </c>
      <c r="T1691">
        <f t="shared" si="26"/>
        <v>1</v>
      </c>
    </row>
    <row r="1692" spans="1:20">
      <c r="A1692" s="4">
        <v>45212</v>
      </c>
      <c r="B1692">
        <v>2023</v>
      </c>
      <c r="C1692">
        <v>10</v>
      </c>
      <c r="D1692" s="5" t="s">
        <v>66</v>
      </c>
      <c r="E1692" s="5" t="s">
        <v>67</v>
      </c>
      <c r="F1692" s="5" t="s">
        <v>68</v>
      </c>
      <c r="G1692" s="5" t="s">
        <v>69</v>
      </c>
      <c r="H1692" s="5" t="s">
        <v>63</v>
      </c>
      <c r="I1692" s="5" t="s">
        <v>64</v>
      </c>
      <c r="J1692" s="5" t="s">
        <v>41</v>
      </c>
      <c r="K1692">
        <v>36</v>
      </c>
      <c r="L1692">
        <v>760770</v>
      </c>
      <c r="M1692" s="26">
        <v>27387720</v>
      </c>
      <c r="N1692">
        <v>18628</v>
      </c>
      <c r="O1692" s="26">
        <v>2908446.09</v>
      </c>
      <c r="P1692" s="5" t="s">
        <v>50</v>
      </c>
      <c r="Q1692" s="5" t="s">
        <v>43</v>
      </c>
      <c r="R1692">
        <v>4.5999999999999996</v>
      </c>
      <c r="S1692">
        <v>4</v>
      </c>
      <c r="T1692">
        <f t="shared" si="26"/>
        <v>0</v>
      </c>
    </row>
    <row r="1693" spans="1:20">
      <c r="A1693" s="4">
        <v>45221</v>
      </c>
      <c r="B1693">
        <v>2023</v>
      </c>
      <c r="C1693">
        <v>10</v>
      </c>
      <c r="D1693" s="5" t="s">
        <v>54</v>
      </c>
      <c r="E1693" s="5" t="s">
        <v>70</v>
      </c>
      <c r="F1693" s="5" t="s">
        <v>71</v>
      </c>
      <c r="G1693" s="5" t="s">
        <v>72</v>
      </c>
      <c r="H1693" s="5" t="s">
        <v>86</v>
      </c>
      <c r="I1693" s="5" t="s">
        <v>40</v>
      </c>
      <c r="J1693" s="5" t="s">
        <v>41</v>
      </c>
      <c r="K1693">
        <v>13</v>
      </c>
      <c r="L1693">
        <v>606832</v>
      </c>
      <c r="M1693" s="26">
        <v>7888816</v>
      </c>
      <c r="N1693">
        <v>9467</v>
      </c>
      <c r="O1693" s="26">
        <v>1192569.3500000001</v>
      </c>
      <c r="P1693" s="5" t="s">
        <v>42</v>
      </c>
      <c r="Q1693" s="5" t="s">
        <v>75</v>
      </c>
      <c r="R1693">
        <v>3.9</v>
      </c>
      <c r="S1693">
        <v>10</v>
      </c>
      <c r="T1693">
        <f t="shared" si="26"/>
        <v>1</v>
      </c>
    </row>
    <row r="1694" spans="1:20">
      <c r="A1694" s="4">
        <v>45225</v>
      </c>
      <c r="B1694">
        <v>2023</v>
      </c>
      <c r="C1694">
        <v>10</v>
      </c>
      <c r="D1694" s="5" t="s">
        <v>35</v>
      </c>
      <c r="E1694" s="5" t="s">
        <v>60</v>
      </c>
      <c r="F1694" s="5" t="s">
        <v>61</v>
      </c>
      <c r="G1694" s="5" t="s">
        <v>62</v>
      </c>
      <c r="H1694" s="5" t="s">
        <v>52</v>
      </c>
      <c r="I1694" s="5" t="s">
        <v>53</v>
      </c>
      <c r="J1694" s="5" t="s">
        <v>41</v>
      </c>
      <c r="K1694">
        <v>45</v>
      </c>
      <c r="L1694">
        <v>923161</v>
      </c>
      <c r="M1694" s="26">
        <v>41542245</v>
      </c>
      <c r="N1694">
        <v>36741</v>
      </c>
      <c r="O1694" s="26">
        <v>5532925.0499999998</v>
      </c>
      <c r="P1694" s="5" t="s">
        <v>42</v>
      </c>
      <c r="Q1694" s="5" t="s">
        <v>43</v>
      </c>
      <c r="R1694">
        <v>3.8</v>
      </c>
      <c r="S1694">
        <v>2</v>
      </c>
      <c r="T1694">
        <f t="shared" si="26"/>
        <v>1</v>
      </c>
    </row>
    <row r="1695" spans="1:20">
      <c r="A1695" s="4">
        <v>45227</v>
      </c>
      <c r="B1695">
        <v>2023</v>
      </c>
      <c r="C1695">
        <v>10</v>
      </c>
      <c r="D1695" s="5" t="s">
        <v>54</v>
      </c>
      <c r="E1695" s="5" t="s">
        <v>70</v>
      </c>
      <c r="F1695" s="5" t="s">
        <v>71</v>
      </c>
      <c r="G1695" s="5" t="s">
        <v>72</v>
      </c>
      <c r="H1695" s="5" t="s">
        <v>39</v>
      </c>
      <c r="I1695" s="5" t="s">
        <v>40</v>
      </c>
      <c r="J1695" s="5" t="s">
        <v>41</v>
      </c>
      <c r="K1695">
        <v>12</v>
      </c>
      <c r="L1695">
        <v>570992</v>
      </c>
      <c r="M1695" s="26">
        <v>6851904</v>
      </c>
      <c r="N1695">
        <v>29245</v>
      </c>
      <c r="O1695" s="26">
        <v>880173.43</v>
      </c>
      <c r="P1695" s="5" t="s">
        <v>50</v>
      </c>
      <c r="Q1695" s="5" t="s">
        <v>51</v>
      </c>
      <c r="R1695">
        <v>4.5999999999999996</v>
      </c>
      <c r="S1695">
        <v>20</v>
      </c>
      <c r="T1695">
        <f t="shared" si="26"/>
        <v>0</v>
      </c>
    </row>
    <row r="1696" spans="1:20">
      <c r="A1696" s="4">
        <v>45208</v>
      </c>
      <c r="B1696">
        <v>2023</v>
      </c>
      <c r="C1696">
        <v>10</v>
      </c>
      <c r="D1696" s="5" t="s">
        <v>44</v>
      </c>
      <c r="E1696" s="5" t="s">
        <v>45</v>
      </c>
      <c r="F1696" s="5" t="s">
        <v>46</v>
      </c>
      <c r="G1696" s="5" t="s">
        <v>47</v>
      </c>
      <c r="H1696" s="5" t="s">
        <v>65</v>
      </c>
      <c r="I1696" s="5" t="s">
        <v>53</v>
      </c>
      <c r="J1696" s="5" t="s">
        <v>49</v>
      </c>
      <c r="K1696">
        <v>55</v>
      </c>
      <c r="L1696">
        <v>1222931</v>
      </c>
      <c r="M1696" s="26">
        <v>67261205</v>
      </c>
      <c r="N1696">
        <v>7374</v>
      </c>
      <c r="O1696" s="26">
        <v>5998559.54</v>
      </c>
      <c r="P1696" s="5" t="s">
        <v>42</v>
      </c>
      <c r="Q1696" s="5" t="s">
        <v>75</v>
      </c>
      <c r="R1696">
        <v>4.2</v>
      </c>
      <c r="S1696">
        <v>12</v>
      </c>
      <c r="T1696">
        <f t="shared" si="26"/>
        <v>1</v>
      </c>
    </row>
    <row r="1697" spans="1:20">
      <c r="A1697" s="4">
        <v>45211</v>
      </c>
      <c r="B1697">
        <v>2023</v>
      </c>
      <c r="C1697">
        <v>10</v>
      </c>
      <c r="D1697" s="5" t="s">
        <v>35</v>
      </c>
      <c r="E1697" s="5" t="s">
        <v>36</v>
      </c>
      <c r="F1697" s="5" t="s">
        <v>37</v>
      </c>
      <c r="G1697" s="5" t="s">
        <v>38</v>
      </c>
      <c r="H1697" s="5" t="s">
        <v>52</v>
      </c>
      <c r="I1697" s="5" t="s">
        <v>53</v>
      </c>
      <c r="J1697" s="5" t="s">
        <v>41</v>
      </c>
      <c r="K1697">
        <v>58</v>
      </c>
      <c r="L1697">
        <v>948267</v>
      </c>
      <c r="M1697" s="26">
        <v>54999486</v>
      </c>
      <c r="N1697">
        <v>31350</v>
      </c>
      <c r="O1697" s="26">
        <v>5462023.1500000004</v>
      </c>
      <c r="P1697" s="5" t="s">
        <v>50</v>
      </c>
      <c r="Q1697" s="5" t="s">
        <v>75</v>
      </c>
      <c r="R1697">
        <v>4.2</v>
      </c>
      <c r="S1697">
        <v>15</v>
      </c>
      <c r="T1697">
        <f t="shared" si="26"/>
        <v>0</v>
      </c>
    </row>
    <row r="1698" spans="1:20">
      <c r="A1698" s="4">
        <v>45222</v>
      </c>
      <c r="B1698">
        <v>2023</v>
      </c>
      <c r="C1698">
        <v>10</v>
      </c>
      <c r="D1698" s="5" t="s">
        <v>54</v>
      </c>
      <c r="E1698" s="5" t="s">
        <v>55</v>
      </c>
      <c r="F1698" s="5" t="s">
        <v>55</v>
      </c>
      <c r="G1698" s="5" t="s">
        <v>56</v>
      </c>
      <c r="H1698" s="5" t="s">
        <v>85</v>
      </c>
      <c r="I1698" s="5" t="s">
        <v>58</v>
      </c>
      <c r="J1698" s="5" t="s">
        <v>49</v>
      </c>
      <c r="K1698">
        <v>56</v>
      </c>
      <c r="L1698">
        <v>983189</v>
      </c>
      <c r="M1698" s="26">
        <v>55058584</v>
      </c>
      <c r="N1698">
        <v>41670</v>
      </c>
      <c r="O1698" s="26">
        <v>7963136.7699999996</v>
      </c>
      <c r="P1698" s="5" t="s">
        <v>42</v>
      </c>
      <c r="Q1698" s="5" t="s">
        <v>75</v>
      </c>
      <c r="R1698">
        <v>3.8</v>
      </c>
      <c r="S1698">
        <v>7</v>
      </c>
      <c r="T1698">
        <f t="shared" si="26"/>
        <v>1</v>
      </c>
    </row>
    <row r="1699" spans="1:20">
      <c r="A1699" s="4">
        <v>45216</v>
      </c>
      <c r="B1699">
        <v>2023</v>
      </c>
      <c r="C1699">
        <v>10</v>
      </c>
      <c r="D1699" s="5" t="s">
        <v>35</v>
      </c>
      <c r="E1699" s="5" t="s">
        <v>60</v>
      </c>
      <c r="F1699" s="5" t="s">
        <v>61</v>
      </c>
      <c r="G1699" s="5" t="s">
        <v>62</v>
      </c>
      <c r="H1699" s="5" t="s">
        <v>52</v>
      </c>
      <c r="I1699" s="5" t="s">
        <v>53</v>
      </c>
      <c r="J1699" s="5" t="s">
        <v>41</v>
      </c>
      <c r="K1699">
        <v>32</v>
      </c>
      <c r="L1699">
        <v>934421</v>
      </c>
      <c r="M1699" s="26">
        <v>29901472</v>
      </c>
      <c r="N1699">
        <v>35656</v>
      </c>
      <c r="O1699" s="26">
        <v>4237438.75</v>
      </c>
      <c r="P1699" s="5" t="s">
        <v>50</v>
      </c>
      <c r="Q1699" s="5" t="s">
        <v>75</v>
      </c>
      <c r="R1699">
        <v>4.8</v>
      </c>
      <c r="S1699">
        <v>6</v>
      </c>
      <c r="T1699">
        <f t="shared" si="26"/>
        <v>0</v>
      </c>
    </row>
    <row r="1700" spans="1:20">
      <c r="A1700" s="4">
        <v>45219</v>
      </c>
      <c r="B1700">
        <v>2023</v>
      </c>
      <c r="C1700">
        <v>10</v>
      </c>
      <c r="D1700" s="5" t="s">
        <v>35</v>
      </c>
      <c r="E1700" s="5" t="s">
        <v>60</v>
      </c>
      <c r="F1700" s="5" t="s">
        <v>61</v>
      </c>
      <c r="G1700" s="5" t="s">
        <v>62</v>
      </c>
      <c r="H1700" s="5" t="s">
        <v>86</v>
      </c>
      <c r="I1700" s="5" t="s">
        <v>40</v>
      </c>
      <c r="J1700" s="5" t="s">
        <v>41</v>
      </c>
      <c r="K1700">
        <v>26</v>
      </c>
      <c r="L1700">
        <v>622001</v>
      </c>
      <c r="M1700" s="26">
        <v>16172026</v>
      </c>
      <c r="N1700">
        <v>20522</v>
      </c>
      <c r="O1700" s="26">
        <v>2339606.02</v>
      </c>
      <c r="P1700" s="5" t="s">
        <v>42</v>
      </c>
      <c r="Q1700" s="5" t="s">
        <v>43</v>
      </c>
      <c r="R1700">
        <v>4.7</v>
      </c>
      <c r="S1700">
        <v>5</v>
      </c>
      <c r="T1700">
        <f t="shared" si="26"/>
        <v>1</v>
      </c>
    </row>
    <row r="1701" spans="1:20">
      <c r="A1701" s="4">
        <v>45222</v>
      </c>
      <c r="B1701">
        <v>2023</v>
      </c>
      <c r="C1701">
        <v>10</v>
      </c>
      <c r="D1701" s="5" t="s">
        <v>35</v>
      </c>
      <c r="E1701" s="5" t="s">
        <v>36</v>
      </c>
      <c r="F1701" s="5" t="s">
        <v>37</v>
      </c>
      <c r="G1701" s="5" t="s">
        <v>38</v>
      </c>
      <c r="H1701" s="5" t="s">
        <v>74</v>
      </c>
      <c r="I1701" s="5" t="s">
        <v>40</v>
      </c>
      <c r="J1701" s="5" t="s">
        <v>49</v>
      </c>
      <c r="K1701">
        <v>43</v>
      </c>
      <c r="L1701">
        <v>659161</v>
      </c>
      <c r="M1701" s="26">
        <v>28343923</v>
      </c>
      <c r="N1701">
        <v>14669</v>
      </c>
      <c r="O1701" s="26">
        <v>2836536.68</v>
      </c>
      <c r="P1701" s="5" t="s">
        <v>42</v>
      </c>
      <c r="Q1701" s="5" t="s">
        <v>75</v>
      </c>
      <c r="R1701">
        <v>4.3</v>
      </c>
      <c r="S1701">
        <v>20</v>
      </c>
      <c r="T1701">
        <f t="shared" si="26"/>
        <v>1</v>
      </c>
    </row>
    <row r="1702" spans="1:20">
      <c r="A1702" s="4">
        <v>45241</v>
      </c>
      <c r="B1702">
        <v>2023</v>
      </c>
      <c r="C1702">
        <v>11</v>
      </c>
      <c r="D1702" s="5" t="s">
        <v>66</v>
      </c>
      <c r="E1702" s="5" t="s">
        <v>67</v>
      </c>
      <c r="F1702" s="5" t="s">
        <v>68</v>
      </c>
      <c r="G1702" s="5" t="s">
        <v>69</v>
      </c>
      <c r="H1702" s="5" t="s">
        <v>39</v>
      </c>
      <c r="I1702" s="5" t="s">
        <v>40</v>
      </c>
      <c r="J1702" s="5" t="s">
        <v>41</v>
      </c>
      <c r="K1702">
        <v>20</v>
      </c>
      <c r="L1702">
        <v>584111</v>
      </c>
      <c r="M1702" s="26">
        <v>11682220</v>
      </c>
      <c r="N1702">
        <v>17270</v>
      </c>
      <c r="O1702" s="26">
        <v>1104916.8400000001</v>
      </c>
      <c r="P1702" s="5" t="s">
        <v>42</v>
      </c>
      <c r="Q1702" s="5" t="s">
        <v>75</v>
      </c>
      <c r="R1702">
        <v>4.5</v>
      </c>
      <c r="S1702">
        <v>11</v>
      </c>
      <c r="T1702">
        <f t="shared" si="26"/>
        <v>1</v>
      </c>
    </row>
    <row r="1703" spans="1:20">
      <c r="A1703" s="4">
        <v>45258</v>
      </c>
      <c r="B1703">
        <v>2023</v>
      </c>
      <c r="C1703">
        <v>11</v>
      </c>
      <c r="D1703" s="5" t="s">
        <v>44</v>
      </c>
      <c r="E1703" s="5" t="s">
        <v>45</v>
      </c>
      <c r="F1703" s="5" t="s">
        <v>46</v>
      </c>
      <c r="G1703" s="5" t="s">
        <v>47</v>
      </c>
      <c r="H1703" s="5" t="s">
        <v>80</v>
      </c>
      <c r="I1703" s="5" t="s">
        <v>81</v>
      </c>
      <c r="J1703" s="5" t="s">
        <v>41</v>
      </c>
      <c r="K1703">
        <v>27</v>
      </c>
      <c r="L1703">
        <v>529997</v>
      </c>
      <c r="M1703" s="26">
        <v>14309919</v>
      </c>
      <c r="N1703">
        <v>15208</v>
      </c>
      <c r="O1703" s="26">
        <v>2251057.54</v>
      </c>
      <c r="P1703" s="5" t="s">
        <v>50</v>
      </c>
      <c r="Q1703" s="5" t="s">
        <v>51</v>
      </c>
      <c r="R1703">
        <v>4.5999999999999996</v>
      </c>
      <c r="S1703">
        <v>6</v>
      </c>
      <c r="T1703">
        <f t="shared" si="26"/>
        <v>0</v>
      </c>
    </row>
    <row r="1704" spans="1:20">
      <c r="A1704" s="4">
        <v>45233</v>
      </c>
      <c r="B1704">
        <v>2023</v>
      </c>
      <c r="C1704">
        <v>11</v>
      </c>
      <c r="D1704" s="5" t="s">
        <v>54</v>
      </c>
      <c r="E1704" s="5" t="s">
        <v>55</v>
      </c>
      <c r="F1704" s="5" t="s">
        <v>55</v>
      </c>
      <c r="G1704" s="5" t="s">
        <v>56</v>
      </c>
      <c r="H1704" s="5" t="s">
        <v>80</v>
      </c>
      <c r="I1704" s="5" t="s">
        <v>81</v>
      </c>
      <c r="J1704" s="5" t="s">
        <v>41</v>
      </c>
      <c r="K1704">
        <v>11</v>
      </c>
      <c r="L1704">
        <v>550686</v>
      </c>
      <c r="M1704" s="26">
        <v>6057546</v>
      </c>
      <c r="N1704">
        <v>39098</v>
      </c>
      <c r="O1704" s="26">
        <v>677429.84</v>
      </c>
      <c r="P1704" s="5" t="s">
        <v>50</v>
      </c>
      <c r="Q1704" s="5" t="s">
        <v>75</v>
      </c>
      <c r="R1704">
        <v>4.2</v>
      </c>
      <c r="S1704">
        <v>18</v>
      </c>
      <c r="T1704">
        <f t="shared" si="26"/>
        <v>0</v>
      </c>
    </row>
    <row r="1705" spans="1:20">
      <c r="A1705" s="4">
        <v>45233</v>
      </c>
      <c r="B1705">
        <v>2023</v>
      </c>
      <c r="C1705">
        <v>11</v>
      </c>
      <c r="D1705" s="5" t="s">
        <v>66</v>
      </c>
      <c r="E1705" s="5" t="s">
        <v>67</v>
      </c>
      <c r="F1705" s="5" t="s">
        <v>68</v>
      </c>
      <c r="G1705" s="5" t="s">
        <v>69</v>
      </c>
      <c r="H1705" s="5" t="s">
        <v>57</v>
      </c>
      <c r="I1705" s="5" t="s">
        <v>58</v>
      </c>
      <c r="J1705" s="5" t="s">
        <v>59</v>
      </c>
      <c r="K1705">
        <v>12</v>
      </c>
      <c r="L1705">
        <v>1384188</v>
      </c>
      <c r="M1705" s="26">
        <v>16610256</v>
      </c>
      <c r="N1705">
        <v>31004</v>
      </c>
      <c r="O1705" s="26">
        <v>2331586.02</v>
      </c>
      <c r="P1705" s="5" t="s">
        <v>42</v>
      </c>
      <c r="Q1705" s="5" t="s">
        <v>43</v>
      </c>
      <c r="R1705">
        <v>3.9</v>
      </c>
      <c r="S1705">
        <v>14</v>
      </c>
      <c r="T1705">
        <f t="shared" si="26"/>
        <v>1</v>
      </c>
    </row>
    <row r="1706" spans="1:20">
      <c r="A1706" s="4">
        <v>45232</v>
      </c>
      <c r="B1706">
        <v>2023</v>
      </c>
      <c r="C1706">
        <v>11</v>
      </c>
      <c r="D1706" s="5" t="s">
        <v>54</v>
      </c>
      <c r="E1706" s="5" t="s">
        <v>70</v>
      </c>
      <c r="F1706" s="5" t="s">
        <v>71</v>
      </c>
      <c r="G1706" s="5" t="s">
        <v>72</v>
      </c>
      <c r="H1706" s="5" t="s">
        <v>74</v>
      </c>
      <c r="I1706" s="5" t="s">
        <v>40</v>
      </c>
      <c r="J1706" s="5" t="s">
        <v>49</v>
      </c>
      <c r="K1706">
        <v>7</v>
      </c>
      <c r="L1706">
        <v>678428</v>
      </c>
      <c r="M1706" s="26">
        <v>4748996</v>
      </c>
      <c r="N1706">
        <v>12817</v>
      </c>
      <c r="O1706" s="26">
        <v>664375.07999999996</v>
      </c>
      <c r="P1706" s="5" t="s">
        <v>50</v>
      </c>
      <c r="Q1706" s="5" t="s">
        <v>75</v>
      </c>
      <c r="R1706">
        <v>4.2</v>
      </c>
      <c r="S1706">
        <v>3</v>
      </c>
      <c r="T1706">
        <f t="shared" si="26"/>
        <v>0</v>
      </c>
    </row>
    <row r="1707" spans="1:20">
      <c r="A1707" s="4">
        <v>45233</v>
      </c>
      <c r="B1707">
        <v>2023</v>
      </c>
      <c r="C1707">
        <v>11</v>
      </c>
      <c r="D1707" s="5" t="s">
        <v>66</v>
      </c>
      <c r="E1707" s="5" t="s">
        <v>67</v>
      </c>
      <c r="F1707" s="5" t="s">
        <v>68</v>
      </c>
      <c r="G1707" s="5" t="s">
        <v>69</v>
      </c>
      <c r="H1707" s="5" t="s">
        <v>65</v>
      </c>
      <c r="I1707" s="5" t="s">
        <v>53</v>
      </c>
      <c r="J1707" s="5" t="s">
        <v>49</v>
      </c>
      <c r="K1707">
        <v>41</v>
      </c>
      <c r="L1707">
        <v>1230385</v>
      </c>
      <c r="M1707" s="26">
        <v>50445785</v>
      </c>
      <c r="N1707">
        <v>32926</v>
      </c>
      <c r="O1707" s="26">
        <v>8031551.1200000001</v>
      </c>
      <c r="P1707" s="5" t="s">
        <v>42</v>
      </c>
      <c r="Q1707" s="5" t="s">
        <v>51</v>
      </c>
      <c r="R1707">
        <v>4.5</v>
      </c>
      <c r="S1707">
        <v>9</v>
      </c>
      <c r="T1707">
        <f t="shared" si="26"/>
        <v>1</v>
      </c>
    </row>
    <row r="1708" spans="1:20">
      <c r="A1708" s="4">
        <v>45241</v>
      </c>
      <c r="B1708">
        <v>2023</v>
      </c>
      <c r="C1708">
        <v>11</v>
      </c>
      <c r="D1708" s="5" t="s">
        <v>44</v>
      </c>
      <c r="E1708" s="5" t="s">
        <v>45</v>
      </c>
      <c r="F1708" s="5" t="s">
        <v>46</v>
      </c>
      <c r="G1708" s="5" t="s">
        <v>47</v>
      </c>
      <c r="H1708" s="5" t="s">
        <v>73</v>
      </c>
      <c r="I1708" s="5" t="s">
        <v>40</v>
      </c>
      <c r="J1708" s="5" t="s">
        <v>49</v>
      </c>
      <c r="K1708">
        <v>17</v>
      </c>
      <c r="L1708">
        <v>707147</v>
      </c>
      <c r="M1708" s="26">
        <v>12021499</v>
      </c>
      <c r="N1708">
        <v>48218</v>
      </c>
      <c r="O1708" s="26">
        <v>1185507.32</v>
      </c>
      <c r="P1708" s="5" t="s">
        <v>50</v>
      </c>
      <c r="Q1708" s="5" t="s">
        <v>75</v>
      </c>
      <c r="R1708">
        <v>3.8</v>
      </c>
      <c r="S1708">
        <v>14</v>
      </c>
      <c r="T1708">
        <f t="shared" si="26"/>
        <v>0</v>
      </c>
    </row>
    <row r="1709" spans="1:20">
      <c r="A1709" s="4">
        <v>45246</v>
      </c>
      <c r="B1709">
        <v>2023</v>
      </c>
      <c r="C1709">
        <v>11</v>
      </c>
      <c r="D1709" s="5" t="s">
        <v>66</v>
      </c>
      <c r="E1709" s="5" t="s">
        <v>67</v>
      </c>
      <c r="F1709" s="5" t="s">
        <v>68</v>
      </c>
      <c r="G1709" s="5" t="s">
        <v>69</v>
      </c>
      <c r="H1709" s="5" t="s">
        <v>52</v>
      </c>
      <c r="I1709" s="5" t="s">
        <v>53</v>
      </c>
      <c r="J1709" s="5" t="s">
        <v>41</v>
      </c>
      <c r="K1709">
        <v>48</v>
      </c>
      <c r="L1709">
        <v>966236</v>
      </c>
      <c r="M1709" s="26">
        <v>46379328</v>
      </c>
      <c r="N1709">
        <v>21612</v>
      </c>
      <c r="O1709" s="26">
        <v>5693296.7599999998</v>
      </c>
      <c r="P1709" s="5" t="s">
        <v>50</v>
      </c>
      <c r="Q1709" s="5" t="s">
        <v>43</v>
      </c>
      <c r="R1709">
        <v>4.9000000000000004</v>
      </c>
      <c r="S1709">
        <v>10</v>
      </c>
      <c r="T1709">
        <f t="shared" si="26"/>
        <v>0</v>
      </c>
    </row>
    <row r="1710" spans="1:20">
      <c r="A1710" s="4">
        <v>45235</v>
      </c>
      <c r="B1710">
        <v>2023</v>
      </c>
      <c r="C1710">
        <v>11</v>
      </c>
      <c r="D1710" s="5" t="s">
        <v>35</v>
      </c>
      <c r="E1710" s="5" t="s">
        <v>60</v>
      </c>
      <c r="F1710" s="5" t="s">
        <v>61</v>
      </c>
      <c r="G1710" s="5" t="s">
        <v>62</v>
      </c>
      <c r="H1710" s="5" t="s">
        <v>39</v>
      </c>
      <c r="I1710" s="5" t="s">
        <v>40</v>
      </c>
      <c r="J1710" s="5" t="s">
        <v>41</v>
      </c>
      <c r="K1710">
        <v>54</v>
      </c>
      <c r="L1710">
        <v>587991</v>
      </c>
      <c r="M1710" s="26">
        <v>31751514</v>
      </c>
      <c r="N1710">
        <v>8339</v>
      </c>
      <c r="O1710" s="26">
        <v>4051697.47</v>
      </c>
      <c r="P1710" s="5" t="s">
        <v>42</v>
      </c>
      <c r="Q1710" s="5" t="s">
        <v>75</v>
      </c>
      <c r="R1710">
        <v>4.8</v>
      </c>
      <c r="S1710">
        <v>15</v>
      </c>
      <c r="T1710">
        <f t="shared" si="26"/>
        <v>1</v>
      </c>
    </row>
    <row r="1711" spans="1:20">
      <c r="A1711" s="4">
        <v>45231</v>
      </c>
      <c r="B1711">
        <v>2023</v>
      </c>
      <c r="C1711">
        <v>11</v>
      </c>
      <c r="D1711" s="5" t="s">
        <v>35</v>
      </c>
      <c r="E1711" s="5" t="s">
        <v>60</v>
      </c>
      <c r="F1711" s="5" t="s">
        <v>61</v>
      </c>
      <c r="G1711" s="5" t="s">
        <v>62</v>
      </c>
      <c r="H1711" s="5" t="s">
        <v>57</v>
      </c>
      <c r="I1711" s="5" t="s">
        <v>58</v>
      </c>
      <c r="J1711" s="5" t="s">
        <v>59</v>
      </c>
      <c r="K1711">
        <v>5</v>
      </c>
      <c r="L1711">
        <v>1396443</v>
      </c>
      <c r="M1711" s="26">
        <v>6982215</v>
      </c>
      <c r="N1711">
        <v>28118</v>
      </c>
      <c r="O1711" s="26">
        <v>747152.7</v>
      </c>
      <c r="P1711" s="5" t="s">
        <v>42</v>
      </c>
      <c r="Q1711" s="5" t="s">
        <v>75</v>
      </c>
      <c r="R1711">
        <v>4.0999999999999996</v>
      </c>
      <c r="S1711">
        <v>4</v>
      </c>
      <c r="T1711">
        <f t="shared" si="26"/>
        <v>1</v>
      </c>
    </row>
    <row r="1712" spans="1:20">
      <c r="A1712" s="4">
        <v>45234</v>
      </c>
      <c r="B1712">
        <v>2023</v>
      </c>
      <c r="C1712">
        <v>11</v>
      </c>
      <c r="D1712" s="5" t="s">
        <v>44</v>
      </c>
      <c r="E1712" s="5" t="s">
        <v>82</v>
      </c>
      <c r="F1712" s="5" t="s">
        <v>83</v>
      </c>
      <c r="G1712" s="5" t="s">
        <v>84</v>
      </c>
      <c r="H1712" s="5" t="s">
        <v>74</v>
      </c>
      <c r="I1712" s="5" t="s">
        <v>40</v>
      </c>
      <c r="J1712" s="5" t="s">
        <v>49</v>
      </c>
      <c r="K1712">
        <v>49</v>
      </c>
      <c r="L1712">
        <v>663399</v>
      </c>
      <c r="M1712" s="26">
        <v>32506551</v>
      </c>
      <c r="N1712">
        <v>25154</v>
      </c>
      <c r="O1712" s="26">
        <v>3884209.21</v>
      </c>
      <c r="P1712" s="5" t="s">
        <v>50</v>
      </c>
      <c r="Q1712" s="5" t="s">
        <v>75</v>
      </c>
      <c r="R1712">
        <v>4.2</v>
      </c>
      <c r="S1712">
        <v>9</v>
      </c>
      <c r="T1712">
        <f t="shared" si="26"/>
        <v>0</v>
      </c>
    </row>
    <row r="1713" spans="1:20">
      <c r="A1713" s="4">
        <v>45257</v>
      </c>
      <c r="B1713">
        <v>2023</v>
      </c>
      <c r="C1713">
        <v>11</v>
      </c>
      <c r="D1713" s="5" t="s">
        <v>35</v>
      </c>
      <c r="E1713" s="5" t="s">
        <v>76</v>
      </c>
      <c r="F1713" s="5" t="s">
        <v>77</v>
      </c>
      <c r="G1713" s="5" t="s">
        <v>78</v>
      </c>
      <c r="H1713" s="5" t="s">
        <v>65</v>
      </c>
      <c r="I1713" s="5" t="s">
        <v>53</v>
      </c>
      <c r="J1713" s="5" t="s">
        <v>49</v>
      </c>
      <c r="K1713">
        <v>53</v>
      </c>
      <c r="L1713">
        <v>1240270</v>
      </c>
      <c r="M1713" s="26">
        <v>65734310</v>
      </c>
      <c r="N1713">
        <v>6676</v>
      </c>
      <c r="O1713" s="26">
        <v>6485511.3200000003</v>
      </c>
      <c r="P1713" s="5" t="s">
        <v>50</v>
      </c>
      <c r="Q1713" s="5" t="s">
        <v>75</v>
      </c>
      <c r="R1713">
        <v>4.5</v>
      </c>
      <c r="S1713">
        <v>16</v>
      </c>
      <c r="T1713">
        <f t="shared" si="26"/>
        <v>0</v>
      </c>
    </row>
    <row r="1714" spans="1:20">
      <c r="A1714" s="4">
        <v>45239</v>
      </c>
      <c r="B1714">
        <v>2023</v>
      </c>
      <c r="C1714">
        <v>11</v>
      </c>
      <c r="D1714" s="5" t="s">
        <v>35</v>
      </c>
      <c r="E1714" s="5" t="s">
        <v>60</v>
      </c>
      <c r="F1714" s="5" t="s">
        <v>61</v>
      </c>
      <c r="G1714" s="5" t="s">
        <v>62</v>
      </c>
      <c r="H1714" s="5" t="s">
        <v>63</v>
      </c>
      <c r="I1714" s="5" t="s">
        <v>64</v>
      </c>
      <c r="J1714" s="5" t="s">
        <v>41</v>
      </c>
      <c r="K1714">
        <v>54</v>
      </c>
      <c r="L1714">
        <v>739790</v>
      </c>
      <c r="M1714" s="26">
        <v>39948660</v>
      </c>
      <c r="N1714">
        <v>44955</v>
      </c>
      <c r="O1714" s="26">
        <v>4192546.64</v>
      </c>
      <c r="P1714" s="5" t="s">
        <v>50</v>
      </c>
      <c r="Q1714" s="5" t="s">
        <v>75</v>
      </c>
      <c r="R1714">
        <v>3.9</v>
      </c>
      <c r="S1714">
        <v>4</v>
      </c>
      <c r="T1714">
        <f t="shared" si="26"/>
        <v>0</v>
      </c>
    </row>
    <row r="1715" spans="1:20">
      <c r="A1715" s="4">
        <v>45232</v>
      </c>
      <c r="B1715">
        <v>2023</v>
      </c>
      <c r="C1715">
        <v>11</v>
      </c>
      <c r="D1715" s="5" t="s">
        <v>54</v>
      </c>
      <c r="E1715" s="5" t="s">
        <v>70</v>
      </c>
      <c r="F1715" s="5" t="s">
        <v>71</v>
      </c>
      <c r="G1715" s="5" t="s">
        <v>72</v>
      </c>
      <c r="H1715" s="5" t="s">
        <v>85</v>
      </c>
      <c r="I1715" s="5" t="s">
        <v>58</v>
      </c>
      <c r="J1715" s="5" t="s">
        <v>49</v>
      </c>
      <c r="K1715">
        <v>14</v>
      </c>
      <c r="L1715">
        <v>956891</v>
      </c>
      <c r="M1715" s="26">
        <v>13396474</v>
      </c>
      <c r="N1715">
        <v>5170</v>
      </c>
      <c r="O1715" s="26">
        <v>1752501.06</v>
      </c>
      <c r="P1715" s="5" t="s">
        <v>50</v>
      </c>
      <c r="Q1715" s="5" t="s">
        <v>75</v>
      </c>
      <c r="R1715">
        <v>5</v>
      </c>
      <c r="S1715">
        <v>20</v>
      </c>
      <c r="T1715">
        <f t="shared" si="26"/>
        <v>0</v>
      </c>
    </row>
    <row r="1716" spans="1:20">
      <c r="A1716" s="4">
        <v>45249</v>
      </c>
      <c r="B1716">
        <v>2023</v>
      </c>
      <c r="C1716">
        <v>11</v>
      </c>
      <c r="D1716" s="5" t="s">
        <v>44</v>
      </c>
      <c r="E1716" s="5" t="s">
        <v>45</v>
      </c>
      <c r="F1716" s="5" t="s">
        <v>46</v>
      </c>
      <c r="G1716" s="5" t="s">
        <v>47</v>
      </c>
      <c r="H1716" s="5" t="s">
        <v>52</v>
      </c>
      <c r="I1716" s="5" t="s">
        <v>53</v>
      </c>
      <c r="J1716" s="5" t="s">
        <v>41</v>
      </c>
      <c r="K1716">
        <v>60</v>
      </c>
      <c r="L1716">
        <v>961082</v>
      </c>
      <c r="M1716" s="26">
        <v>57664920</v>
      </c>
      <c r="N1716">
        <v>44259</v>
      </c>
      <c r="O1716" s="26">
        <v>4903908.88</v>
      </c>
      <c r="P1716" s="5" t="s">
        <v>50</v>
      </c>
      <c r="Q1716" s="5" t="s">
        <v>51</v>
      </c>
      <c r="R1716">
        <v>4.2</v>
      </c>
      <c r="S1716">
        <v>4</v>
      </c>
      <c r="T1716">
        <f t="shared" si="26"/>
        <v>0</v>
      </c>
    </row>
    <row r="1717" spans="1:20">
      <c r="A1717" s="4">
        <v>45238</v>
      </c>
      <c r="B1717">
        <v>2023</v>
      </c>
      <c r="C1717">
        <v>11</v>
      </c>
      <c r="D1717" s="5" t="s">
        <v>54</v>
      </c>
      <c r="E1717" s="5" t="s">
        <v>55</v>
      </c>
      <c r="F1717" s="5" t="s">
        <v>55</v>
      </c>
      <c r="G1717" s="5" t="s">
        <v>56</v>
      </c>
      <c r="H1717" s="5" t="s">
        <v>85</v>
      </c>
      <c r="I1717" s="5" t="s">
        <v>58</v>
      </c>
      <c r="J1717" s="5" t="s">
        <v>49</v>
      </c>
      <c r="K1717">
        <v>57</v>
      </c>
      <c r="L1717">
        <v>951139</v>
      </c>
      <c r="M1717" s="26">
        <v>54214923</v>
      </c>
      <c r="N1717">
        <v>37547</v>
      </c>
      <c r="O1717" s="26">
        <v>5602835.8499999996</v>
      </c>
      <c r="P1717" s="5" t="s">
        <v>50</v>
      </c>
      <c r="Q1717" s="5" t="s">
        <v>43</v>
      </c>
      <c r="R1717">
        <v>4.0999999999999996</v>
      </c>
      <c r="S1717">
        <v>5</v>
      </c>
      <c r="T1717">
        <f t="shared" si="26"/>
        <v>0</v>
      </c>
    </row>
    <row r="1718" spans="1:20">
      <c r="A1718" s="4">
        <v>45237</v>
      </c>
      <c r="B1718">
        <v>2023</v>
      </c>
      <c r="C1718">
        <v>11</v>
      </c>
      <c r="D1718" s="5" t="s">
        <v>35</v>
      </c>
      <c r="E1718" s="5" t="s">
        <v>76</v>
      </c>
      <c r="F1718" s="5" t="s">
        <v>77</v>
      </c>
      <c r="G1718" s="5" t="s">
        <v>78</v>
      </c>
      <c r="H1718" s="5" t="s">
        <v>48</v>
      </c>
      <c r="I1718" s="5" t="s">
        <v>40</v>
      </c>
      <c r="J1718" s="5" t="s">
        <v>49</v>
      </c>
      <c r="K1718">
        <v>12</v>
      </c>
      <c r="L1718">
        <v>466271</v>
      </c>
      <c r="M1718" s="26">
        <v>5595252</v>
      </c>
      <c r="N1718">
        <v>18751</v>
      </c>
      <c r="O1718" s="26">
        <v>886973.3</v>
      </c>
      <c r="P1718" s="5" t="s">
        <v>50</v>
      </c>
      <c r="Q1718" s="5" t="s">
        <v>51</v>
      </c>
      <c r="R1718">
        <v>3.8</v>
      </c>
      <c r="S1718">
        <v>10</v>
      </c>
      <c r="T1718">
        <f t="shared" si="26"/>
        <v>0</v>
      </c>
    </row>
    <row r="1719" spans="1:20">
      <c r="A1719" s="4">
        <v>45249</v>
      </c>
      <c r="B1719">
        <v>2023</v>
      </c>
      <c r="C1719">
        <v>11</v>
      </c>
      <c r="D1719" s="5" t="s">
        <v>35</v>
      </c>
      <c r="E1719" s="5" t="s">
        <v>36</v>
      </c>
      <c r="F1719" s="5" t="s">
        <v>37</v>
      </c>
      <c r="G1719" s="5" t="s">
        <v>38</v>
      </c>
      <c r="H1719" s="5" t="s">
        <v>85</v>
      </c>
      <c r="I1719" s="5" t="s">
        <v>58</v>
      </c>
      <c r="J1719" s="5" t="s">
        <v>49</v>
      </c>
      <c r="K1719">
        <v>18</v>
      </c>
      <c r="L1719">
        <v>982723</v>
      </c>
      <c r="M1719" s="26">
        <v>17689014</v>
      </c>
      <c r="N1719">
        <v>20442</v>
      </c>
      <c r="O1719" s="26">
        <v>2297096.7000000002</v>
      </c>
      <c r="P1719" s="5" t="s">
        <v>50</v>
      </c>
      <c r="Q1719" s="5" t="s">
        <v>51</v>
      </c>
      <c r="R1719">
        <v>4.5999999999999996</v>
      </c>
      <c r="S1719">
        <v>18</v>
      </c>
      <c r="T1719">
        <f t="shared" si="26"/>
        <v>0</v>
      </c>
    </row>
    <row r="1720" spans="1:20">
      <c r="A1720" s="4">
        <v>45258</v>
      </c>
      <c r="B1720">
        <v>2023</v>
      </c>
      <c r="C1720">
        <v>11</v>
      </c>
      <c r="D1720" s="5" t="s">
        <v>35</v>
      </c>
      <c r="E1720" s="5" t="s">
        <v>36</v>
      </c>
      <c r="F1720" s="5" t="s">
        <v>37</v>
      </c>
      <c r="G1720" s="5" t="s">
        <v>38</v>
      </c>
      <c r="H1720" s="5" t="s">
        <v>39</v>
      </c>
      <c r="I1720" s="5" t="s">
        <v>40</v>
      </c>
      <c r="J1720" s="5" t="s">
        <v>41</v>
      </c>
      <c r="K1720">
        <v>12</v>
      </c>
      <c r="L1720">
        <v>569986</v>
      </c>
      <c r="M1720" s="26">
        <v>6839832</v>
      </c>
      <c r="N1720">
        <v>10479</v>
      </c>
      <c r="O1720" s="26">
        <v>600890.77</v>
      </c>
      <c r="P1720" s="5" t="s">
        <v>50</v>
      </c>
      <c r="Q1720" s="5" t="s">
        <v>51</v>
      </c>
      <c r="R1720">
        <v>3.7</v>
      </c>
      <c r="S1720">
        <v>2</v>
      </c>
      <c r="T1720">
        <f t="shared" si="26"/>
        <v>0</v>
      </c>
    </row>
    <row r="1721" spans="1:20">
      <c r="A1721" s="4">
        <v>45242</v>
      </c>
      <c r="B1721">
        <v>2023</v>
      </c>
      <c r="C1721">
        <v>11</v>
      </c>
      <c r="D1721" s="5" t="s">
        <v>54</v>
      </c>
      <c r="E1721" s="5" t="s">
        <v>70</v>
      </c>
      <c r="F1721" s="5" t="s">
        <v>71</v>
      </c>
      <c r="G1721" s="5" t="s">
        <v>72</v>
      </c>
      <c r="H1721" s="5" t="s">
        <v>48</v>
      </c>
      <c r="I1721" s="5" t="s">
        <v>40</v>
      </c>
      <c r="J1721" s="5" t="s">
        <v>49</v>
      </c>
      <c r="K1721">
        <v>46</v>
      </c>
      <c r="L1721">
        <v>448134</v>
      </c>
      <c r="M1721" s="26">
        <v>20614164</v>
      </c>
      <c r="N1721">
        <v>31342</v>
      </c>
      <c r="O1721" s="26">
        <v>2172411.67</v>
      </c>
      <c r="P1721" s="5" t="s">
        <v>42</v>
      </c>
      <c r="Q1721" s="5" t="s">
        <v>43</v>
      </c>
      <c r="R1721">
        <v>4.9000000000000004</v>
      </c>
      <c r="S1721">
        <v>4</v>
      </c>
      <c r="T1721">
        <f t="shared" si="26"/>
        <v>1</v>
      </c>
    </row>
    <row r="1722" spans="1:20">
      <c r="A1722" s="4">
        <v>45236</v>
      </c>
      <c r="B1722">
        <v>2023</v>
      </c>
      <c r="C1722">
        <v>11</v>
      </c>
      <c r="D1722" s="5" t="s">
        <v>35</v>
      </c>
      <c r="E1722" s="5" t="s">
        <v>76</v>
      </c>
      <c r="F1722" s="5" t="s">
        <v>77</v>
      </c>
      <c r="G1722" s="5" t="s">
        <v>78</v>
      </c>
      <c r="H1722" s="5" t="s">
        <v>63</v>
      </c>
      <c r="I1722" s="5" t="s">
        <v>64</v>
      </c>
      <c r="J1722" s="5" t="s">
        <v>41</v>
      </c>
      <c r="K1722">
        <v>50</v>
      </c>
      <c r="L1722">
        <v>746564</v>
      </c>
      <c r="M1722" s="26">
        <v>37328200</v>
      </c>
      <c r="N1722">
        <v>30545</v>
      </c>
      <c r="O1722" s="26">
        <v>5401906.6299999999</v>
      </c>
      <c r="P1722" s="5" t="s">
        <v>50</v>
      </c>
      <c r="Q1722" s="5" t="s">
        <v>43</v>
      </c>
      <c r="R1722">
        <v>4.8</v>
      </c>
      <c r="S1722">
        <v>10</v>
      </c>
      <c r="T1722">
        <f t="shared" si="26"/>
        <v>0</v>
      </c>
    </row>
    <row r="1723" spans="1:20">
      <c r="A1723" s="4">
        <v>45237</v>
      </c>
      <c r="B1723">
        <v>2023</v>
      </c>
      <c r="C1723">
        <v>11</v>
      </c>
      <c r="D1723" s="5" t="s">
        <v>54</v>
      </c>
      <c r="E1723" s="5" t="s">
        <v>55</v>
      </c>
      <c r="F1723" s="5" t="s">
        <v>55</v>
      </c>
      <c r="G1723" s="5" t="s">
        <v>56</v>
      </c>
      <c r="H1723" s="5" t="s">
        <v>73</v>
      </c>
      <c r="I1723" s="5" t="s">
        <v>40</v>
      </c>
      <c r="J1723" s="5" t="s">
        <v>49</v>
      </c>
      <c r="K1723">
        <v>51</v>
      </c>
      <c r="L1723">
        <v>730646</v>
      </c>
      <c r="M1723" s="26">
        <v>37262946</v>
      </c>
      <c r="N1723">
        <v>22482</v>
      </c>
      <c r="O1723" s="26">
        <v>5588024.3200000003</v>
      </c>
      <c r="P1723" s="5" t="s">
        <v>42</v>
      </c>
      <c r="Q1723" s="5" t="s">
        <v>43</v>
      </c>
      <c r="R1723">
        <v>4.2</v>
      </c>
      <c r="S1723">
        <v>17</v>
      </c>
      <c r="T1723">
        <f t="shared" si="26"/>
        <v>1</v>
      </c>
    </row>
    <row r="1724" spans="1:20">
      <c r="A1724" s="4">
        <v>45239</v>
      </c>
      <c r="B1724">
        <v>2023</v>
      </c>
      <c r="C1724">
        <v>11</v>
      </c>
      <c r="D1724" s="5" t="s">
        <v>54</v>
      </c>
      <c r="E1724" s="5" t="s">
        <v>55</v>
      </c>
      <c r="F1724" s="5" t="s">
        <v>55</v>
      </c>
      <c r="G1724" s="5" t="s">
        <v>56</v>
      </c>
      <c r="H1724" s="5" t="s">
        <v>39</v>
      </c>
      <c r="I1724" s="5" t="s">
        <v>40</v>
      </c>
      <c r="J1724" s="5" t="s">
        <v>41</v>
      </c>
      <c r="K1724">
        <v>14</v>
      </c>
      <c r="L1724">
        <v>589587</v>
      </c>
      <c r="M1724" s="26">
        <v>8254218</v>
      </c>
      <c r="N1724">
        <v>25504</v>
      </c>
      <c r="O1724" s="26">
        <v>1155033.47</v>
      </c>
      <c r="P1724" s="5" t="s">
        <v>50</v>
      </c>
      <c r="Q1724" s="5" t="s">
        <v>51</v>
      </c>
      <c r="R1724">
        <v>4.5</v>
      </c>
      <c r="S1724">
        <v>14</v>
      </c>
      <c r="T1724">
        <f t="shared" si="26"/>
        <v>0</v>
      </c>
    </row>
    <row r="1725" spans="1:20">
      <c r="A1725" s="4">
        <v>45242</v>
      </c>
      <c r="B1725">
        <v>2023</v>
      </c>
      <c r="C1725">
        <v>11</v>
      </c>
      <c r="D1725" s="5" t="s">
        <v>44</v>
      </c>
      <c r="E1725" s="5" t="s">
        <v>45</v>
      </c>
      <c r="F1725" s="5" t="s">
        <v>46</v>
      </c>
      <c r="G1725" s="5" t="s">
        <v>47</v>
      </c>
      <c r="H1725" s="5" t="s">
        <v>65</v>
      </c>
      <c r="I1725" s="5" t="s">
        <v>53</v>
      </c>
      <c r="J1725" s="5" t="s">
        <v>49</v>
      </c>
      <c r="K1725">
        <v>54</v>
      </c>
      <c r="L1725">
        <v>1224760</v>
      </c>
      <c r="M1725" s="26">
        <v>66137040</v>
      </c>
      <c r="N1725">
        <v>40170</v>
      </c>
      <c r="O1725" s="26">
        <v>9058690.5299999993</v>
      </c>
      <c r="P1725" s="5" t="s">
        <v>50</v>
      </c>
      <c r="Q1725" s="5" t="s">
        <v>51</v>
      </c>
      <c r="R1725">
        <v>4</v>
      </c>
      <c r="S1725">
        <v>8</v>
      </c>
      <c r="T1725">
        <f t="shared" si="26"/>
        <v>0</v>
      </c>
    </row>
    <row r="1726" spans="1:20">
      <c r="A1726" s="4">
        <v>45251</v>
      </c>
      <c r="B1726">
        <v>2023</v>
      </c>
      <c r="C1726">
        <v>11</v>
      </c>
      <c r="D1726" s="5" t="s">
        <v>35</v>
      </c>
      <c r="E1726" s="5" t="s">
        <v>36</v>
      </c>
      <c r="F1726" s="5" t="s">
        <v>37</v>
      </c>
      <c r="G1726" s="5" t="s">
        <v>38</v>
      </c>
      <c r="H1726" s="5" t="s">
        <v>57</v>
      </c>
      <c r="I1726" s="5" t="s">
        <v>58</v>
      </c>
      <c r="J1726" s="5" t="s">
        <v>59</v>
      </c>
      <c r="K1726">
        <v>27</v>
      </c>
      <c r="L1726">
        <v>1396666</v>
      </c>
      <c r="M1726" s="26">
        <v>37709982</v>
      </c>
      <c r="N1726">
        <v>38024</v>
      </c>
      <c r="O1726" s="26">
        <v>3754229.02</v>
      </c>
      <c r="P1726" s="5" t="s">
        <v>42</v>
      </c>
      <c r="Q1726" s="5" t="s">
        <v>51</v>
      </c>
      <c r="R1726">
        <v>4.7</v>
      </c>
      <c r="S1726">
        <v>14</v>
      </c>
      <c r="T1726">
        <f t="shared" si="26"/>
        <v>1</v>
      </c>
    </row>
    <row r="1727" spans="1:20">
      <c r="A1727" s="4">
        <v>45248</v>
      </c>
      <c r="B1727">
        <v>2023</v>
      </c>
      <c r="C1727">
        <v>11</v>
      </c>
      <c r="D1727" s="5" t="s">
        <v>54</v>
      </c>
      <c r="E1727" s="5" t="s">
        <v>55</v>
      </c>
      <c r="F1727" s="5" t="s">
        <v>55</v>
      </c>
      <c r="G1727" s="5" t="s">
        <v>56</v>
      </c>
      <c r="H1727" s="5" t="s">
        <v>80</v>
      </c>
      <c r="I1727" s="5" t="s">
        <v>81</v>
      </c>
      <c r="J1727" s="5" t="s">
        <v>41</v>
      </c>
      <c r="K1727">
        <v>45</v>
      </c>
      <c r="L1727">
        <v>536945</v>
      </c>
      <c r="M1727" s="26">
        <v>24162525</v>
      </c>
      <c r="N1727">
        <v>36646</v>
      </c>
      <c r="O1727" s="26">
        <v>3810601.62</v>
      </c>
      <c r="P1727" s="5" t="s">
        <v>50</v>
      </c>
      <c r="Q1727" s="5" t="s">
        <v>43</v>
      </c>
      <c r="R1727">
        <v>4</v>
      </c>
      <c r="S1727">
        <v>14</v>
      </c>
      <c r="T1727">
        <f t="shared" si="26"/>
        <v>0</v>
      </c>
    </row>
    <row r="1728" spans="1:20">
      <c r="A1728" s="4">
        <v>45238</v>
      </c>
      <c r="B1728">
        <v>2023</v>
      </c>
      <c r="C1728">
        <v>11</v>
      </c>
      <c r="D1728" s="5" t="s">
        <v>44</v>
      </c>
      <c r="E1728" s="5" t="s">
        <v>82</v>
      </c>
      <c r="F1728" s="5" t="s">
        <v>83</v>
      </c>
      <c r="G1728" s="5" t="s">
        <v>84</v>
      </c>
      <c r="H1728" s="5" t="s">
        <v>73</v>
      </c>
      <c r="I1728" s="5" t="s">
        <v>40</v>
      </c>
      <c r="J1728" s="5" t="s">
        <v>49</v>
      </c>
      <c r="K1728">
        <v>23</v>
      </c>
      <c r="L1728">
        <v>733194</v>
      </c>
      <c r="M1728" s="26">
        <v>16863462</v>
      </c>
      <c r="N1728">
        <v>39504</v>
      </c>
      <c r="O1728" s="26">
        <v>2014609.45</v>
      </c>
      <c r="P1728" s="5" t="s">
        <v>42</v>
      </c>
      <c r="Q1728" s="5" t="s">
        <v>43</v>
      </c>
      <c r="R1728">
        <v>4.9000000000000004</v>
      </c>
      <c r="S1728">
        <v>20</v>
      </c>
      <c r="T1728">
        <f t="shared" si="26"/>
        <v>1</v>
      </c>
    </row>
    <row r="1729" spans="1:20">
      <c r="A1729" s="4">
        <v>45249</v>
      </c>
      <c r="B1729">
        <v>2023</v>
      </c>
      <c r="C1729">
        <v>11</v>
      </c>
      <c r="D1729" s="5" t="s">
        <v>35</v>
      </c>
      <c r="E1729" s="5" t="s">
        <v>60</v>
      </c>
      <c r="F1729" s="5" t="s">
        <v>61</v>
      </c>
      <c r="G1729" s="5" t="s">
        <v>62</v>
      </c>
      <c r="H1729" s="5" t="s">
        <v>52</v>
      </c>
      <c r="I1729" s="5" t="s">
        <v>53</v>
      </c>
      <c r="J1729" s="5" t="s">
        <v>41</v>
      </c>
      <c r="K1729">
        <v>35</v>
      </c>
      <c r="L1729">
        <v>935382</v>
      </c>
      <c r="M1729" s="26">
        <v>32738370</v>
      </c>
      <c r="N1729">
        <v>25197</v>
      </c>
      <c r="O1729" s="26">
        <v>3117669.29</v>
      </c>
      <c r="P1729" s="5" t="s">
        <v>50</v>
      </c>
      <c r="Q1729" s="5" t="s">
        <v>43</v>
      </c>
      <c r="R1729">
        <v>3.6</v>
      </c>
      <c r="S1729">
        <v>15</v>
      </c>
      <c r="T1729">
        <f t="shared" si="26"/>
        <v>0</v>
      </c>
    </row>
    <row r="1730" spans="1:20">
      <c r="A1730" s="4">
        <v>45242</v>
      </c>
      <c r="B1730">
        <v>2023</v>
      </c>
      <c r="C1730">
        <v>11</v>
      </c>
      <c r="D1730" s="5" t="s">
        <v>44</v>
      </c>
      <c r="E1730" s="5" t="s">
        <v>45</v>
      </c>
      <c r="F1730" s="5" t="s">
        <v>46</v>
      </c>
      <c r="G1730" s="5" t="s">
        <v>47</v>
      </c>
      <c r="H1730" s="5" t="s">
        <v>73</v>
      </c>
      <c r="I1730" s="5" t="s">
        <v>40</v>
      </c>
      <c r="J1730" s="5" t="s">
        <v>49</v>
      </c>
      <c r="K1730">
        <v>36</v>
      </c>
      <c r="L1730">
        <v>736026</v>
      </c>
      <c r="M1730" s="26">
        <v>26496936</v>
      </c>
      <c r="N1730">
        <v>43842</v>
      </c>
      <c r="O1730" s="26">
        <v>4142988.17</v>
      </c>
      <c r="P1730" s="5" t="s">
        <v>42</v>
      </c>
      <c r="Q1730" s="5" t="s">
        <v>43</v>
      </c>
      <c r="R1730">
        <v>4.2</v>
      </c>
      <c r="S1730">
        <v>18</v>
      </c>
      <c r="T1730">
        <f t="shared" ref="T1730:T1793" si="27">IF(AND(OR($B1730=Sel_Year,Sel_Year="All"),OR($C1730=Sel_Month,Sel_Month="All"),OR($D1730=Sel_Region,Sel_Region="All"),OR($E1730=Sel_State,Sel_State="All"),OR($F1730=Sel_City,Sel_City="All"),OR($G1730=Sel_Dealer,Sel_Dealer="All"),OR($H1730=Sel_Model,Sel_Model="All"),OR($I1730=Sel_Segment,Sel_Segment="All"),OR($J1730=Sel_Fuel,Sel_Fuel="All"),OR($P1730=Sel_CustType,Sel_CustType="All"),OR($Q1730=Sel_Payment,Sel_Payment="All")),1,0)</f>
        <v>1</v>
      </c>
    </row>
    <row r="1731" spans="1:20">
      <c r="A1731" s="4">
        <v>45239</v>
      </c>
      <c r="B1731">
        <v>2023</v>
      </c>
      <c r="C1731">
        <v>11</v>
      </c>
      <c r="D1731" s="5" t="s">
        <v>54</v>
      </c>
      <c r="E1731" s="5" t="s">
        <v>70</v>
      </c>
      <c r="F1731" s="5" t="s">
        <v>71</v>
      </c>
      <c r="G1731" s="5" t="s">
        <v>72</v>
      </c>
      <c r="H1731" s="5" t="s">
        <v>57</v>
      </c>
      <c r="I1731" s="5" t="s">
        <v>58</v>
      </c>
      <c r="J1731" s="5" t="s">
        <v>59</v>
      </c>
      <c r="K1731">
        <v>55</v>
      </c>
      <c r="L1731">
        <v>1372506</v>
      </c>
      <c r="M1731" s="26">
        <v>75487830</v>
      </c>
      <c r="N1731">
        <v>34518</v>
      </c>
      <c r="O1731" s="26">
        <v>8530856.7799999993</v>
      </c>
      <c r="P1731" s="5" t="s">
        <v>50</v>
      </c>
      <c r="Q1731" s="5" t="s">
        <v>51</v>
      </c>
      <c r="R1731">
        <v>3.8</v>
      </c>
      <c r="S1731">
        <v>9</v>
      </c>
      <c r="T1731">
        <f t="shared" si="27"/>
        <v>0</v>
      </c>
    </row>
    <row r="1732" spans="1:20">
      <c r="A1732" s="4">
        <v>45256</v>
      </c>
      <c r="B1732">
        <v>2023</v>
      </c>
      <c r="C1732">
        <v>11</v>
      </c>
      <c r="D1732" s="5" t="s">
        <v>44</v>
      </c>
      <c r="E1732" s="5" t="s">
        <v>82</v>
      </c>
      <c r="F1732" s="5" t="s">
        <v>83</v>
      </c>
      <c r="G1732" s="5" t="s">
        <v>84</v>
      </c>
      <c r="H1732" s="5" t="s">
        <v>63</v>
      </c>
      <c r="I1732" s="5" t="s">
        <v>64</v>
      </c>
      <c r="J1732" s="5" t="s">
        <v>41</v>
      </c>
      <c r="K1732">
        <v>54</v>
      </c>
      <c r="L1732">
        <v>756158</v>
      </c>
      <c r="M1732" s="26">
        <v>40832532</v>
      </c>
      <c r="N1732">
        <v>41857</v>
      </c>
      <c r="O1732" s="26">
        <v>3653393.28</v>
      </c>
      <c r="P1732" s="5" t="s">
        <v>42</v>
      </c>
      <c r="Q1732" s="5" t="s">
        <v>51</v>
      </c>
      <c r="R1732">
        <v>3.9</v>
      </c>
      <c r="S1732">
        <v>4</v>
      </c>
      <c r="T1732">
        <f t="shared" si="27"/>
        <v>1</v>
      </c>
    </row>
    <row r="1733" spans="1:20">
      <c r="A1733" s="4">
        <v>45258</v>
      </c>
      <c r="B1733">
        <v>2023</v>
      </c>
      <c r="C1733">
        <v>11</v>
      </c>
      <c r="D1733" s="5" t="s">
        <v>66</v>
      </c>
      <c r="E1733" s="5" t="s">
        <v>67</v>
      </c>
      <c r="F1733" s="5" t="s">
        <v>68</v>
      </c>
      <c r="G1733" s="5" t="s">
        <v>69</v>
      </c>
      <c r="H1733" s="5" t="s">
        <v>73</v>
      </c>
      <c r="I1733" s="5" t="s">
        <v>40</v>
      </c>
      <c r="J1733" s="5" t="s">
        <v>49</v>
      </c>
      <c r="K1733">
        <v>36</v>
      </c>
      <c r="L1733">
        <v>739269</v>
      </c>
      <c r="M1733" s="26">
        <v>26613684</v>
      </c>
      <c r="N1733">
        <v>30746</v>
      </c>
      <c r="O1733" s="26">
        <v>2242001.7200000002</v>
      </c>
      <c r="P1733" s="5" t="s">
        <v>50</v>
      </c>
      <c r="Q1733" s="5" t="s">
        <v>51</v>
      </c>
      <c r="R1733">
        <v>4.2</v>
      </c>
      <c r="S1733">
        <v>12</v>
      </c>
      <c r="T1733">
        <f t="shared" si="27"/>
        <v>0</v>
      </c>
    </row>
    <row r="1734" spans="1:20">
      <c r="A1734" s="4">
        <v>45233</v>
      </c>
      <c r="B1734">
        <v>2023</v>
      </c>
      <c r="C1734">
        <v>11</v>
      </c>
      <c r="D1734" s="5" t="s">
        <v>54</v>
      </c>
      <c r="E1734" s="5" t="s">
        <v>70</v>
      </c>
      <c r="F1734" s="5" t="s">
        <v>71</v>
      </c>
      <c r="G1734" s="5" t="s">
        <v>72</v>
      </c>
      <c r="H1734" s="5" t="s">
        <v>85</v>
      </c>
      <c r="I1734" s="5" t="s">
        <v>58</v>
      </c>
      <c r="J1734" s="5" t="s">
        <v>49</v>
      </c>
      <c r="K1734">
        <v>33</v>
      </c>
      <c r="L1734">
        <v>999060</v>
      </c>
      <c r="M1734" s="26">
        <v>32968980</v>
      </c>
      <c r="N1734">
        <v>23250</v>
      </c>
      <c r="O1734" s="26">
        <v>5258988.8</v>
      </c>
      <c r="P1734" s="5" t="s">
        <v>50</v>
      </c>
      <c r="Q1734" s="5" t="s">
        <v>75</v>
      </c>
      <c r="R1734">
        <v>4.5</v>
      </c>
      <c r="S1734">
        <v>19</v>
      </c>
      <c r="T1734">
        <f t="shared" si="27"/>
        <v>0</v>
      </c>
    </row>
    <row r="1735" spans="1:20">
      <c r="A1735" s="4">
        <v>45234</v>
      </c>
      <c r="B1735">
        <v>2023</v>
      </c>
      <c r="C1735">
        <v>11</v>
      </c>
      <c r="D1735" s="5" t="s">
        <v>44</v>
      </c>
      <c r="E1735" s="5" t="s">
        <v>45</v>
      </c>
      <c r="F1735" s="5" t="s">
        <v>46</v>
      </c>
      <c r="G1735" s="5" t="s">
        <v>47</v>
      </c>
      <c r="H1735" s="5" t="s">
        <v>57</v>
      </c>
      <c r="I1735" s="5" t="s">
        <v>58</v>
      </c>
      <c r="J1735" s="5" t="s">
        <v>59</v>
      </c>
      <c r="K1735">
        <v>59</v>
      </c>
      <c r="L1735">
        <v>1402083</v>
      </c>
      <c r="M1735" s="26">
        <v>82722897</v>
      </c>
      <c r="N1735">
        <v>32144</v>
      </c>
      <c r="O1735" s="26">
        <v>7711961.7000000002</v>
      </c>
      <c r="P1735" s="5" t="s">
        <v>50</v>
      </c>
      <c r="Q1735" s="5" t="s">
        <v>75</v>
      </c>
      <c r="R1735">
        <v>3.9</v>
      </c>
      <c r="S1735">
        <v>16</v>
      </c>
      <c r="T1735">
        <f t="shared" si="27"/>
        <v>0</v>
      </c>
    </row>
    <row r="1736" spans="1:20">
      <c r="A1736" s="4">
        <v>45255</v>
      </c>
      <c r="B1736">
        <v>2023</v>
      </c>
      <c r="C1736">
        <v>11</v>
      </c>
      <c r="D1736" s="5" t="s">
        <v>35</v>
      </c>
      <c r="E1736" s="5" t="s">
        <v>60</v>
      </c>
      <c r="F1736" s="5" t="s">
        <v>61</v>
      </c>
      <c r="G1736" s="5" t="s">
        <v>62</v>
      </c>
      <c r="H1736" s="5" t="s">
        <v>80</v>
      </c>
      <c r="I1736" s="5" t="s">
        <v>81</v>
      </c>
      <c r="J1736" s="5" t="s">
        <v>41</v>
      </c>
      <c r="K1736">
        <v>60</v>
      </c>
      <c r="L1736">
        <v>532857</v>
      </c>
      <c r="M1736" s="26">
        <v>31971420</v>
      </c>
      <c r="N1736">
        <v>28352</v>
      </c>
      <c r="O1736" s="26">
        <v>2657211.7000000002</v>
      </c>
      <c r="P1736" s="5" t="s">
        <v>42</v>
      </c>
      <c r="Q1736" s="5" t="s">
        <v>43</v>
      </c>
      <c r="R1736">
        <v>4.4000000000000004</v>
      </c>
      <c r="S1736">
        <v>11</v>
      </c>
      <c r="T1736">
        <f t="shared" si="27"/>
        <v>1</v>
      </c>
    </row>
    <row r="1737" spans="1:20">
      <c r="A1737" s="4">
        <v>45235</v>
      </c>
      <c r="B1737">
        <v>2023</v>
      </c>
      <c r="C1737">
        <v>11</v>
      </c>
      <c r="D1737" s="5" t="s">
        <v>66</v>
      </c>
      <c r="E1737" s="5" t="s">
        <v>67</v>
      </c>
      <c r="F1737" s="5" t="s">
        <v>68</v>
      </c>
      <c r="G1737" s="5" t="s">
        <v>69</v>
      </c>
      <c r="H1737" s="5" t="s">
        <v>52</v>
      </c>
      <c r="I1737" s="5" t="s">
        <v>53</v>
      </c>
      <c r="J1737" s="5" t="s">
        <v>41</v>
      </c>
      <c r="K1737">
        <v>60</v>
      </c>
      <c r="L1737">
        <v>935160</v>
      </c>
      <c r="M1737" s="26">
        <v>56109600</v>
      </c>
      <c r="N1737">
        <v>46284</v>
      </c>
      <c r="O1737" s="26">
        <v>5911620.5099999998</v>
      </c>
      <c r="P1737" s="5" t="s">
        <v>50</v>
      </c>
      <c r="Q1737" s="5" t="s">
        <v>51</v>
      </c>
      <c r="R1737">
        <v>4.8</v>
      </c>
      <c r="S1737">
        <v>16</v>
      </c>
      <c r="T1737">
        <f t="shared" si="27"/>
        <v>0</v>
      </c>
    </row>
    <row r="1738" spans="1:20">
      <c r="A1738" s="4">
        <v>45252</v>
      </c>
      <c r="B1738">
        <v>2023</v>
      </c>
      <c r="C1738">
        <v>11</v>
      </c>
      <c r="D1738" s="5" t="s">
        <v>44</v>
      </c>
      <c r="E1738" s="5" t="s">
        <v>45</v>
      </c>
      <c r="F1738" s="5" t="s">
        <v>46</v>
      </c>
      <c r="G1738" s="5" t="s">
        <v>47</v>
      </c>
      <c r="H1738" s="5" t="s">
        <v>39</v>
      </c>
      <c r="I1738" s="5" t="s">
        <v>40</v>
      </c>
      <c r="J1738" s="5" t="s">
        <v>41</v>
      </c>
      <c r="K1738">
        <v>35</v>
      </c>
      <c r="L1738">
        <v>592955</v>
      </c>
      <c r="M1738" s="26">
        <v>20753425</v>
      </c>
      <c r="N1738">
        <v>26055</v>
      </c>
      <c r="O1738" s="26">
        <v>2042627.62</v>
      </c>
      <c r="P1738" s="5" t="s">
        <v>42</v>
      </c>
      <c r="Q1738" s="5" t="s">
        <v>51</v>
      </c>
      <c r="R1738">
        <v>4.0999999999999996</v>
      </c>
      <c r="S1738">
        <v>18</v>
      </c>
      <c r="T1738">
        <f t="shared" si="27"/>
        <v>1</v>
      </c>
    </row>
    <row r="1739" spans="1:20">
      <c r="A1739" s="4">
        <v>45257</v>
      </c>
      <c r="B1739">
        <v>2023</v>
      </c>
      <c r="C1739">
        <v>11</v>
      </c>
      <c r="D1739" s="5" t="s">
        <v>35</v>
      </c>
      <c r="E1739" s="5" t="s">
        <v>60</v>
      </c>
      <c r="F1739" s="5" t="s">
        <v>61</v>
      </c>
      <c r="G1739" s="5" t="s">
        <v>62</v>
      </c>
      <c r="H1739" s="5" t="s">
        <v>85</v>
      </c>
      <c r="I1739" s="5" t="s">
        <v>58</v>
      </c>
      <c r="J1739" s="5" t="s">
        <v>49</v>
      </c>
      <c r="K1739">
        <v>40</v>
      </c>
      <c r="L1739">
        <v>995153</v>
      </c>
      <c r="M1739" s="26">
        <v>39806120</v>
      </c>
      <c r="N1739">
        <v>15821</v>
      </c>
      <c r="O1739" s="26">
        <v>6040788.5199999996</v>
      </c>
      <c r="P1739" s="5" t="s">
        <v>42</v>
      </c>
      <c r="Q1739" s="5" t="s">
        <v>43</v>
      </c>
      <c r="R1739">
        <v>3.8</v>
      </c>
      <c r="S1739">
        <v>4</v>
      </c>
      <c r="T1739">
        <f t="shared" si="27"/>
        <v>1</v>
      </c>
    </row>
    <row r="1740" spans="1:20">
      <c r="A1740" s="4">
        <v>45253</v>
      </c>
      <c r="B1740">
        <v>2023</v>
      </c>
      <c r="C1740">
        <v>11</v>
      </c>
      <c r="D1740" s="5" t="s">
        <v>54</v>
      </c>
      <c r="E1740" s="5" t="s">
        <v>55</v>
      </c>
      <c r="F1740" s="5" t="s">
        <v>55</v>
      </c>
      <c r="G1740" s="5" t="s">
        <v>56</v>
      </c>
      <c r="H1740" s="5" t="s">
        <v>48</v>
      </c>
      <c r="I1740" s="5" t="s">
        <v>40</v>
      </c>
      <c r="J1740" s="5" t="s">
        <v>49</v>
      </c>
      <c r="K1740">
        <v>35</v>
      </c>
      <c r="L1740">
        <v>450477</v>
      </c>
      <c r="M1740" s="26">
        <v>15766695</v>
      </c>
      <c r="N1740">
        <v>42851</v>
      </c>
      <c r="O1740" s="26">
        <v>2078307.9</v>
      </c>
      <c r="P1740" s="5" t="s">
        <v>50</v>
      </c>
      <c r="Q1740" s="5" t="s">
        <v>51</v>
      </c>
      <c r="R1740">
        <v>4</v>
      </c>
      <c r="S1740">
        <v>21</v>
      </c>
      <c r="T1740">
        <f t="shared" si="27"/>
        <v>0</v>
      </c>
    </row>
    <row r="1741" spans="1:20">
      <c r="A1741" s="4">
        <v>45254</v>
      </c>
      <c r="B1741">
        <v>2023</v>
      </c>
      <c r="C1741">
        <v>11</v>
      </c>
      <c r="D1741" s="5" t="s">
        <v>44</v>
      </c>
      <c r="E1741" s="5" t="s">
        <v>82</v>
      </c>
      <c r="F1741" s="5" t="s">
        <v>83</v>
      </c>
      <c r="G1741" s="5" t="s">
        <v>84</v>
      </c>
      <c r="H1741" s="5" t="s">
        <v>63</v>
      </c>
      <c r="I1741" s="5" t="s">
        <v>64</v>
      </c>
      <c r="J1741" s="5" t="s">
        <v>41</v>
      </c>
      <c r="K1741">
        <v>22</v>
      </c>
      <c r="L1741">
        <v>784612</v>
      </c>
      <c r="M1741" s="26">
        <v>17261464</v>
      </c>
      <c r="N1741">
        <v>34861</v>
      </c>
      <c r="O1741" s="26">
        <v>2163353.12</v>
      </c>
      <c r="P1741" s="5" t="s">
        <v>42</v>
      </c>
      <c r="Q1741" s="5" t="s">
        <v>75</v>
      </c>
      <c r="R1741">
        <v>4.2</v>
      </c>
      <c r="S1741">
        <v>12</v>
      </c>
      <c r="T1741">
        <f t="shared" si="27"/>
        <v>1</v>
      </c>
    </row>
    <row r="1742" spans="1:20">
      <c r="A1742" s="4">
        <v>45237</v>
      </c>
      <c r="B1742">
        <v>2023</v>
      </c>
      <c r="C1742">
        <v>11</v>
      </c>
      <c r="D1742" s="5" t="s">
        <v>35</v>
      </c>
      <c r="E1742" s="5" t="s">
        <v>60</v>
      </c>
      <c r="F1742" s="5" t="s">
        <v>61</v>
      </c>
      <c r="G1742" s="5" t="s">
        <v>62</v>
      </c>
      <c r="H1742" s="5" t="s">
        <v>65</v>
      </c>
      <c r="I1742" s="5" t="s">
        <v>53</v>
      </c>
      <c r="J1742" s="5" t="s">
        <v>49</v>
      </c>
      <c r="K1742">
        <v>51</v>
      </c>
      <c r="L1742">
        <v>1260571</v>
      </c>
      <c r="M1742" s="26">
        <v>64289121</v>
      </c>
      <c r="N1742">
        <v>21665</v>
      </c>
      <c r="O1742" s="26">
        <v>7678832.5800000001</v>
      </c>
      <c r="P1742" s="5" t="s">
        <v>50</v>
      </c>
      <c r="Q1742" s="5" t="s">
        <v>43</v>
      </c>
      <c r="R1742">
        <v>3.6</v>
      </c>
      <c r="S1742">
        <v>12</v>
      </c>
      <c r="T1742">
        <f t="shared" si="27"/>
        <v>0</v>
      </c>
    </row>
    <row r="1743" spans="1:20">
      <c r="A1743" s="4">
        <v>45240</v>
      </c>
      <c r="B1743">
        <v>2023</v>
      </c>
      <c r="C1743">
        <v>11</v>
      </c>
      <c r="D1743" s="5" t="s">
        <v>35</v>
      </c>
      <c r="E1743" s="5" t="s">
        <v>36</v>
      </c>
      <c r="F1743" s="5" t="s">
        <v>37</v>
      </c>
      <c r="G1743" s="5" t="s">
        <v>38</v>
      </c>
      <c r="H1743" s="5" t="s">
        <v>73</v>
      </c>
      <c r="I1743" s="5" t="s">
        <v>40</v>
      </c>
      <c r="J1743" s="5" t="s">
        <v>49</v>
      </c>
      <c r="K1743">
        <v>58</v>
      </c>
      <c r="L1743">
        <v>724969</v>
      </c>
      <c r="M1743" s="26">
        <v>42048202</v>
      </c>
      <c r="N1743">
        <v>19185</v>
      </c>
      <c r="O1743" s="26">
        <v>4590712.99</v>
      </c>
      <c r="P1743" s="5" t="s">
        <v>42</v>
      </c>
      <c r="Q1743" s="5" t="s">
        <v>43</v>
      </c>
      <c r="R1743">
        <v>3.8</v>
      </c>
      <c r="S1743">
        <v>2</v>
      </c>
      <c r="T1743">
        <f t="shared" si="27"/>
        <v>1</v>
      </c>
    </row>
    <row r="1744" spans="1:20">
      <c r="A1744" s="4">
        <v>45250</v>
      </c>
      <c r="B1744">
        <v>2023</v>
      </c>
      <c r="C1744">
        <v>11</v>
      </c>
      <c r="D1744" s="5" t="s">
        <v>35</v>
      </c>
      <c r="E1744" s="5" t="s">
        <v>76</v>
      </c>
      <c r="F1744" s="5" t="s">
        <v>77</v>
      </c>
      <c r="G1744" s="5" t="s">
        <v>78</v>
      </c>
      <c r="H1744" s="5" t="s">
        <v>52</v>
      </c>
      <c r="I1744" s="5" t="s">
        <v>53</v>
      </c>
      <c r="J1744" s="5" t="s">
        <v>41</v>
      </c>
      <c r="K1744">
        <v>54</v>
      </c>
      <c r="L1744">
        <v>954840</v>
      </c>
      <c r="M1744" s="26">
        <v>51561360</v>
      </c>
      <c r="N1744">
        <v>6246</v>
      </c>
      <c r="O1744" s="26">
        <v>7666863.2300000004</v>
      </c>
      <c r="P1744" s="5" t="s">
        <v>50</v>
      </c>
      <c r="Q1744" s="5" t="s">
        <v>43</v>
      </c>
      <c r="R1744">
        <v>4.5</v>
      </c>
      <c r="S1744">
        <v>8</v>
      </c>
      <c r="T1744">
        <f t="shared" si="27"/>
        <v>0</v>
      </c>
    </row>
    <row r="1745" spans="1:20">
      <c r="A1745" s="4">
        <v>45233</v>
      </c>
      <c r="B1745">
        <v>2023</v>
      </c>
      <c r="C1745">
        <v>11</v>
      </c>
      <c r="D1745" s="5" t="s">
        <v>44</v>
      </c>
      <c r="E1745" s="5" t="s">
        <v>45</v>
      </c>
      <c r="F1745" s="5" t="s">
        <v>46</v>
      </c>
      <c r="G1745" s="5" t="s">
        <v>47</v>
      </c>
      <c r="H1745" s="5" t="s">
        <v>65</v>
      </c>
      <c r="I1745" s="5" t="s">
        <v>53</v>
      </c>
      <c r="J1745" s="5" t="s">
        <v>49</v>
      </c>
      <c r="K1745">
        <v>16</v>
      </c>
      <c r="L1745">
        <v>1272175</v>
      </c>
      <c r="M1745" s="26">
        <v>20354800</v>
      </c>
      <c r="N1745">
        <v>17705</v>
      </c>
      <c r="O1745" s="26">
        <v>1831294.81</v>
      </c>
      <c r="P1745" s="5" t="s">
        <v>42</v>
      </c>
      <c r="Q1745" s="5" t="s">
        <v>75</v>
      </c>
      <c r="R1745">
        <v>4.5999999999999996</v>
      </c>
      <c r="S1745">
        <v>2</v>
      </c>
      <c r="T1745">
        <f t="shared" si="27"/>
        <v>1</v>
      </c>
    </row>
    <row r="1746" spans="1:20">
      <c r="A1746" s="4">
        <v>45250</v>
      </c>
      <c r="B1746">
        <v>2023</v>
      </c>
      <c r="C1746">
        <v>11</v>
      </c>
      <c r="D1746" s="5" t="s">
        <v>35</v>
      </c>
      <c r="E1746" s="5" t="s">
        <v>60</v>
      </c>
      <c r="F1746" s="5" t="s">
        <v>61</v>
      </c>
      <c r="G1746" s="5" t="s">
        <v>62</v>
      </c>
      <c r="H1746" s="5" t="s">
        <v>57</v>
      </c>
      <c r="I1746" s="5" t="s">
        <v>58</v>
      </c>
      <c r="J1746" s="5" t="s">
        <v>59</v>
      </c>
      <c r="K1746">
        <v>11</v>
      </c>
      <c r="L1746">
        <v>1378677</v>
      </c>
      <c r="M1746" s="26">
        <v>15165447</v>
      </c>
      <c r="N1746">
        <v>44266</v>
      </c>
      <c r="O1746" s="26">
        <v>2221241.16</v>
      </c>
      <c r="P1746" s="5" t="s">
        <v>50</v>
      </c>
      <c r="Q1746" s="5" t="s">
        <v>75</v>
      </c>
      <c r="R1746">
        <v>3.8</v>
      </c>
      <c r="S1746">
        <v>18</v>
      </c>
      <c r="T1746">
        <f t="shared" si="27"/>
        <v>0</v>
      </c>
    </row>
    <row r="1747" spans="1:20">
      <c r="A1747" s="4">
        <v>45241</v>
      </c>
      <c r="B1747">
        <v>2023</v>
      </c>
      <c r="C1747">
        <v>11</v>
      </c>
      <c r="D1747" s="5" t="s">
        <v>66</v>
      </c>
      <c r="E1747" s="5" t="s">
        <v>67</v>
      </c>
      <c r="F1747" s="5" t="s">
        <v>68</v>
      </c>
      <c r="G1747" s="5" t="s">
        <v>69</v>
      </c>
      <c r="H1747" s="5" t="s">
        <v>39</v>
      </c>
      <c r="I1747" s="5" t="s">
        <v>40</v>
      </c>
      <c r="J1747" s="5" t="s">
        <v>41</v>
      </c>
      <c r="K1747">
        <v>24</v>
      </c>
      <c r="L1747">
        <v>561216</v>
      </c>
      <c r="M1747" s="26">
        <v>13469184</v>
      </c>
      <c r="N1747">
        <v>37629</v>
      </c>
      <c r="O1747" s="26">
        <v>1511308.95</v>
      </c>
      <c r="P1747" s="5" t="s">
        <v>42</v>
      </c>
      <c r="Q1747" s="5" t="s">
        <v>51</v>
      </c>
      <c r="R1747">
        <v>4.0999999999999996</v>
      </c>
      <c r="S1747">
        <v>11</v>
      </c>
      <c r="T1747">
        <f t="shared" si="27"/>
        <v>1</v>
      </c>
    </row>
    <row r="1748" spans="1:20">
      <c r="A1748" s="4">
        <v>45244</v>
      </c>
      <c r="B1748">
        <v>2023</v>
      </c>
      <c r="C1748">
        <v>11</v>
      </c>
      <c r="D1748" s="5" t="s">
        <v>44</v>
      </c>
      <c r="E1748" s="5" t="s">
        <v>45</v>
      </c>
      <c r="F1748" s="5" t="s">
        <v>46</v>
      </c>
      <c r="G1748" s="5" t="s">
        <v>47</v>
      </c>
      <c r="H1748" s="5" t="s">
        <v>86</v>
      </c>
      <c r="I1748" s="5" t="s">
        <v>40</v>
      </c>
      <c r="J1748" s="5" t="s">
        <v>41</v>
      </c>
      <c r="K1748">
        <v>36</v>
      </c>
      <c r="L1748">
        <v>593135</v>
      </c>
      <c r="M1748" s="26">
        <v>21352860</v>
      </c>
      <c r="N1748">
        <v>22479</v>
      </c>
      <c r="O1748" s="26">
        <v>2837816.88</v>
      </c>
      <c r="P1748" s="5" t="s">
        <v>50</v>
      </c>
      <c r="Q1748" s="5" t="s">
        <v>43</v>
      </c>
      <c r="R1748">
        <v>4.5</v>
      </c>
      <c r="S1748">
        <v>9</v>
      </c>
      <c r="T1748">
        <f t="shared" si="27"/>
        <v>0</v>
      </c>
    </row>
    <row r="1749" spans="1:20">
      <c r="A1749" s="4">
        <v>45240</v>
      </c>
      <c r="B1749">
        <v>2023</v>
      </c>
      <c r="C1749">
        <v>11</v>
      </c>
      <c r="D1749" s="5" t="s">
        <v>54</v>
      </c>
      <c r="E1749" s="5" t="s">
        <v>70</v>
      </c>
      <c r="F1749" s="5" t="s">
        <v>71</v>
      </c>
      <c r="G1749" s="5" t="s">
        <v>72</v>
      </c>
      <c r="H1749" s="5" t="s">
        <v>63</v>
      </c>
      <c r="I1749" s="5" t="s">
        <v>64</v>
      </c>
      <c r="J1749" s="5" t="s">
        <v>41</v>
      </c>
      <c r="K1749">
        <v>31</v>
      </c>
      <c r="L1749">
        <v>736890</v>
      </c>
      <c r="M1749" s="26">
        <v>22843590</v>
      </c>
      <c r="N1749">
        <v>10293</v>
      </c>
      <c r="O1749" s="26">
        <v>1991998.88</v>
      </c>
      <c r="P1749" s="5" t="s">
        <v>42</v>
      </c>
      <c r="Q1749" s="5" t="s">
        <v>75</v>
      </c>
      <c r="R1749">
        <v>3.8</v>
      </c>
      <c r="S1749">
        <v>14</v>
      </c>
      <c r="T1749">
        <f t="shared" si="27"/>
        <v>1</v>
      </c>
    </row>
    <row r="1750" spans="1:20">
      <c r="A1750" s="4">
        <v>45237</v>
      </c>
      <c r="B1750">
        <v>2023</v>
      </c>
      <c r="C1750">
        <v>11</v>
      </c>
      <c r="D1750" s="5" t="s">
        <v>44</v>
      </c>
      <c r="E1750" s="5" t="s">
        <v>82</v>
      </c>
      <c r="F1750" s="5" t="s">
        <v>83</v>
      </c>
      <c r="G1750" s="5" t="s">
        <v>84</v>
      </c>
      <c r="H1750" s="5" t="s">
        <v>79</v>
      </c>
      <c r="I1750" s="5" t="s">
        <v>58</v>
      </c>
      <c r="J1750" s="5" t="s">
        <v>49</v>
      </c>
      <c r="K1750">
        <v>37</v>
      </c>
      <c r="L1750">
        <v>886625</v>
      </c>
      <c r="M1750" s="26">
        <v>32805125</v>
      </c>
      <c r="N1750">
        <v>38957</v>
      </c>
      <c r="O1750" s="26">
        <v>3064756.34</v>
      </c>
      <c r="P1750" s="5" t="s">
        <v>42</v>
      </c>
      <c r="Q1750" s="5" t="s">
        <v>75</v>
      </c>
      <c r="R1750">
        <v>4.9000000000000004</v>
      </c>
      <c r="S1750">
        <v>15</v>
      </c>
      <c r="T1750">
        <f t="shared" si="27"/>
        <v>1</v>
      </c>
    </row>
    <row r="1751" spans="1:20">
      <c r="A1751" s="4">
        <v>45250</v>
      </c>
      <c r="B1751">
        <v>2023</v>
      </c>
      <c r="C1751">
        <v>11</v>
      </c>
      <c r="D1751" s="5" t="s">
        <v>54</v>
      </c>
      <c r="E1751" s="5" t="s">
        <v>70</v>
      </c>
      <c r="F1751" s="5" t="s">
        <v>71</v>
      </c>
      <c r="G1751" s="5" t="s">
        <v>72</v>
      </c>
      <c r="H1751" s="5" t="s">
        <v>65</v>
      </c>
      <c r="I1751" s="5" t="s">
        <v>53</v>
      </c>
      <c r="J1751" s="5" t="s">
        <v>49</v>
      </c>
      <c r="K1751">
        <v>18</v>
      </c>
      <c r="L1751">
        <v>1257073</v>
      </c>
      <c r="M1751" s="26">
        <v>22627314</v>
      </c>
      <c r="N1751">
        <v>39848</v>
      </c>
      <c r="O1751" s="26">
        <v>3011119.64</v>
      </c>
      <c r="P1751" s="5" t="s">
        <v>50</v>
      </c>
      <c r="Q1751" s="5" t="s">
        <v>43</v>
      </c>
      <c r="R1751">
        <v>4</v>
      </c>
      <c r="S1751">
        <v>12</v>
      </c>
      <c r="T1751">
        <f t="shared" si="27"/>
        <v>0</v>
      </c>
    </row>
    <row r="1752" spans="1:20">
      <c r="A1752" s="4">
        <v>45262</v>
      </c>
      <c r="B1752">
        <v>2023</v>
      </c>
      <c r="C1752">
        <v>12</v>
      </c>
      <c r="D1752" s="5" t="s">
        <v>66</v>
      </c>
      <c r="E1752" s="5" t="s">
        <v>67</v>
      </c>
      <c r="F1752" s="5" t="s">
        <v>68</v>
      </c>
      <c r="G1752" s="5" t="s">
        <v>69</v>
      </c>
      <c r="H1752" s="5" t="s">
        <v>39</v>
      </c>
      <c r="I1752" s="5" t="s">
        <v>40</v>
      </c>
      <c r="J1752" s="5" t="s">
        <v>41</v>
      </c>
      <c r="K1752">
        <v>53</v>
      </c>
      <c r="L1752">
        <v>575625</v>
      </c>
      <c r="M1752" s="26">
        <v>30508125</v>
      </c>
      <c r="N1752">
        <v>20806</v>
      </c>
      <c r="O1752" s="26">
        <v>2888527.05</v>
      </c>
      <c r="P1752" s="5" t="s">
        <v>42</v>
      </c>
      <c r="Q1752" s="5" t="s">
        <v>75</v>
      </c>
      <c r="R1752">
        <v>4.4000000000000004</v>
      </c>
      <c r="S1752">
        <v>3</v>
      </c>
      <c r="T1752">
        <f t="shared" si="27"/>
        <v>1</v>
      </c>
    </row>
    <row r="1753" spans="1:20">
      <c r="A1753" s="4">
        <v>45285</v>
      </c>
      <c r="B1753">
        <v>2023</v>
      </c>
      <c r="C1753">
        <v>12</v>
      </c>
      <c r="D1753" s="5" t="s">
        <v>44</v>
      </c>
      <c r="E1753" s="5" t="s">
        <v>45</v>
      </c>
      <c r="F1753" s="5" t="s">
        <v>46</v>
      </c>
      <c r="G1753" s="5" t="s">
        <v>47</v>
      </c>
      <c r="H1753" s="5" t="s">
        <v>39</v>
      </c>
      <c r="I1753" s="5" t="s">
        <v>40</v>
      </c>
      <c r="J1753" s="5" t="s">
        <v>41</v>
      </c>
      <c r="K1753">
        <v>6</v>
      </c>
      <c r="L1753">
        <v>579049</v>
      </c>
      <c r="M1753" s="26">
        <v>3474294</v>
      </c>
      <c r="N1753">
        <v>43421</v>
      </c>
      <c r="O1753" s="26">
        <v>454511.9</v>
      </c>
      <c r="P1753" s="5" t="s">
        <v>50</v>
      </c>
      <c r="Q1753" s="5" t="s">
        <v>43</v>
      </c>
      <c r="R1753">
        <v>4.7</v>
      </c>
      <c r="S1753">
        <v>16</v>
      </c>
      <c r="T1753">
        <f t="shared" si="27"/>
        <v>0</v>
      </c>
    </row>
    <row r="1754" spans="1:20">
      <c r="A1754" s="4">
        <v>45273</v>
      </c>
      <c r="B1754">
        <v>2023</v>
      </c>
      <c r="C1754">
        <v>12</v>
      </c>
      <c r="D1754" s="5" t="s">
        <v>35</v>
      </c>
      <c r="E1754" s="5" t="s">
        <v>36</v>
      </c>
      <c r="F1754" s="5" t="s">
        <v>37</v>
      </c>
      <c r="G1754" s="5" t="s">
        <v>38</v>
      </c>
      <c r="H1754" s="5" t="s">
        <v>86</v>
      </c>
      <c r="I1754" s="5" t="s">
        <v>40</v>
      </c>
      <c r="J1754" s="5" t="s">
        <v>41</v>
      </c>
      <c r="K1754">
        <v>59</v>
      </c>
      <c r="L1754">
        <v>620798</v>
      </c>
      <c r="M1754" s="26">
        <v>36627082</v>
      </c>
      <c r="N1754">
        <v>37502</v>
      </c>
      <c r="O1754" s="26">
        <v>4718986.4400000004</v>
      </c>
      <c r="P1754" s="5" t="s">
        <v>50</v>
      </c>
      <c r="Q1754" s="5" t="s">
        <v>75</v>
      </c>
      <c r="R1754">
        <v>4</v>
      </c>
      <c r="S1754">
        <v>8</v>
      </c>
      <c r="T1754">
        <f t="shared" si="27"/>
        <v>0</v>
      </c>
    </row>
    <row r="1755" spans="1:20">
      <c r="A1755" s="4">
        <v>45276</v>
      </c>
      <c r="B1755">
        <v>2023</v>
      </c>
      <c r="C1755">
        <v>12</v>
      </c>
      <c r="D1755" s="5" t="s">
        <v>35</v>
      </c>
      <c r="E1755" s="5" t="s">
        <v>36</v>
      </c>
      <c r="F1755" s="5" t="s">
        <v>37</v>
      </c>
      <c r="G1755" s="5" t="s">
        <v>38</v>
      </c>
      <c r="H1755" s="5" t="s">
        <v>86</v>
      </c>
      <c r="I1755" s="5" t="s">
        <v>40</v>
      </c>
      <c r="J1755" s="5" t="s">
        <v>41</v>
      </c>
      <c r="K1755">
        <v>29</v>
      </c>
      <c r="L1755">
        <v>599154</v>
      </c>
      <c r="M1755" s="26">
        <v>17375466</v>
      </c>
      <c r="N1755">
        <v>16928</v>
      </c>
      <c r="O1755" s="26">
        <v>2114165.4500000002</v>
      </c>
      <c r="P1755" s="5" t="s">
        <v>42</v>
      </c>
      <c r="Q1755" s="5" t="s">
        <v>43</v>
      </c>
      <c r="R1755">
        <v>3.7</v>
      </c>
      <c r="S1755">
        <v>9</v>
      </c>
      <c r="T1755">
        <f t="shared" si="27"/>
        <v>1</v>
      </c>
    </row>
    <row r="1756" spans="1:20">
      <c r="A1756" s="4">
        <v>45285</v>
      </c>
      <c r="B1756">
        <v>2023</v>
      </c>
      <c r="C1756">
        <v>12</v>
      </c>
      <c r="D1756" s="5" t="s">
        <v>35</v>
      </c>
      <c r="E1756" s="5" t="s">
        <v>60</v>
      </c>
      <c r="F1756" s="5" t="s">
        <v>61</v>
      </c>
      <c r="G1756" s="5" t="s">
        <v>62</v>
      </c>
      <c r="H1756" s="5" t="s">
        <v>79</v>
      </c>
      <c r="I1756" s="5" t="s">
        <v>58</v>
      </c>
      <c r="J1756" s="5" t="s">
        <v>49</v>
      </c>
      <c r="K1756">
        <v>13</v>
      </c>
      <c r="L1756">
        <v>894877</v>
      </c>
      <c r="M1756" s="26">
        <v>11633401</v>
      </c>
      <c r="N1756">
        <v>34706</v>
      </c>
      <c r="O1756" s="26">
        <v>1516266.17</v>
      </c>
      <c r="P1756" s="5" t="s">
        <v>42</v>
      </c>
      <c r="Q1756" s="5" t="s">
        <v>51</v>
      </c>
      <c r="R1756">
        <v>4.9000000000000004</v>
      </c>
      <c r="S1756">
        <v>4</v>
      </c>
      <c r="T1756">
        <f t="shared" si="27"/>
        <v>1</v>
      </c>
    </row>
    <row r="1757" spans="1:20">
      <c r="A1757" s="4">
        <v>45267</v>
      </c>
      <c r="B1757">
        <v>2023</v>
      </c>
      <c r="C1757">
        <v>12</v>
      </c>
      <c r="D1757" s="5" t="s">
        <v>44</v>
      </c>
      <c r="E1757" s="5" t="s">
        <v>82</v>
      </c>
      <c r="F1757" s="5" t="s">
        <v>83</v>
      </c>
      <c r="G1757" s="5" t="s">
        <v>84</v>
      </c>
      <c r="H1757" s="5" t="s">
        <v>63</v>
      </c>
      <c r="I1757" s="5" t="s">
        <v>64</v>
      </c>
      <c r="J1757" s="5" t="s">
        <v>41</v>
      </c>
      <c r="K1757">
        <v>35</v>
      </c>
      <c r="L1757">
        <v>788169</v>
      </c>
      <c r="M1757" s="26">
        <v>27585915</v>
      </c>
      <c r="N1757">
        <v>45509</v>
      </c>
      <c r="O1757" s="26">
        <v>3467735.49</v>
      </c>
      <c r="P1757" s="5" t="s">
        <v>50</v>
      </c>
      <c r="Q1757" s="5" t="s">
        <v>75</v>
      </c>
      <c r="R1757">
        <v>3.9</v>
      </c>
      <c r="S1757">
        <v>6</v>
      </c>
      <c r="T1757">
        <f t="shared" si="27"/>
        <v>0</v>
      </c>
    </row>
    <row r="1758" spans="1:20">
      <c r="A1758" s="4">
        <v>45270</v>
      </c>
      <c r="B1758">
        <v>2023</v>
      </c>
      <c r="C1758">
        <v>12</v>
      </c>
      <c r="D1758" s="5" t="s">
        <v>54</v>
      </c>
      <c r="E1758" s="5" t="s">
        <v>55</v>
      </c>
      <c r="F1758" s="5" t="s">
        <v>55</v>
      </c>
      <c r="G1758" s="5" t="s">
        <v>56</v>
      </c>
      <c r="H1758" s="5" t="s">
        <v>57</v>
      </c>
      <c r="I1758" s="5" t="s">
        <v>58</v>
      </c>
      <c r="J1758" s="5" t="s">
        <v>59</v>
      </c>
      <c r="K1758">
        <v>48</v>
      </c>
      <c r="L1758">
        <v>1395988</v>
      </c>
      <c r="M1758" s="26">
        <v>67007424</v>
      </c>
      <c r="N1758">
        <v>31010</v>
      </c>
      <c r="O1758" s="26">
        <v>6902449.9699999997</v>
      </c>
      <c r="P1758" s="5" t="s">
        <v>50</v>
      </c>
      <c r="Q1758" s="5" t="s">
        <v>43</v>
      </c>
      <c r="R1758">
        <v>4.3</v>
      </c>
      <c r="S1758">
        <v>7</v>
      </c>
      <c r="T1758">
        <f t="shared" si="27"/>
        <v>0</v>
      </c>
    </row>
    <row r="1759" spans="1:20">
      <c r="A1759" s="4">
        <v>45263</v>
      </c>
      <c r="B1759">
        <v>2023</v>
      </c>
      <c r="C1759">
        <v>12</v>
      </c>
      <c r="D1759" s="5" t="s">
        <v>35</v>
      </c>
      <c r="E1759" s="5" t="s">
        <v>36</v>
      </c>
      <c r="F1759" s="5" t="s">
        <v>37</v>
      </c>
      <c r="G1759" s="5" t="s">
        <v>38</v>
      </c>
      <c r="H1759" s="5" t="s">
        <v>65</v>
      </c>
      <c r="I1759" s="5" t="s">
        <v>53</v>
      </c>
      <c r="J1759" s="5" t="s">
        <v>49</v>
      </c>
      <c r="K1759">
        <v>9</v>
      </c>
      <c r="L1759">
        <v>1223864</v>
      </c>
      <c r="M1759" s="26">
        <v>11014776</v>
      </c>
      <c r="N1759">
        <v>21915</v>
      </c>
      <c r="O1759" s="26">
        <v>1062328.1200000001</v>
      </c>
      <c r="P1759" s="5" t="s">
        <v>42</v>
      </c>
      <c r="Q1759" s="5" t="s">
        <v>43</v>
      </c>
      <c r="R1759">
        <v>4.4000000000000004</v>
      </c>
      <c r="S1759">
        <v>11</v>
      </c>
      <c r="T1759">
        <f t="shared" si="27"/>
        <v>1</v>
      </c>
    </row>
    <row r="1760" spans="1:20">
      <c r="A1760" s="4">
        <v>45261</v>
      </c>
      <c r="B1760">
        <v>2023</v>
      </c>
      <c r="C1760">
        <v>12</v>
      </c>
      <c r="D1760" s="5" t="s">
        <v>54</v>
      </c>
      <c r="E1760" s="5" t="s">
        <v>55</v>
      </c>
      <c r="F1760" s="5" t="s">
        <v>55</v>
      </c>
      <c r="G1760" s="5" t="s">
        <v>56</v>
      </c>
      <c r="H1760" s="5" t="s">
        <v>73</v>
      </c>
      <c r="I1760" s="5" t="s">
        <v>40</v>
      </c>
      <c r="J1760" s="5" t="s">
        <v>49</v>
      </c>
      <c r="K1760">
        <v>19</v>
      </c>
      <c r="L1760">
        <v>722233</v>
      </c>
      <c r="M1760" s="26">
        <v>13722427</v>
      </c>
      <c r="N1760">
        <v>27221</v>
      </c>
      <c r="O1760" s="26">
        <v>1720943.54</v>
      </c>
      <c r="P1760" s="5" t="s">
        <v>42</v>
      </c>
      <c r="Q1760" s="5" t="s">
        <v>75</v>
      </c>
      <c r="R1760">
        <v>3.7</v>
      </c>
      <c r="S1760">
        <v>7</v>
      </c>
      <c r="T1760">
        <f t="shared" si="27"/>
        <v>1</v>
      </c>
    </row>
    <row r="1761" spans="1:20">
      <c r="A1761" s="4">
        <v>45279</v>
      </c>
      <c r="B1761">
        <v>2023</v>
      </c>
      <c r="C1761">
        <v>12</v>
      </c>
      <c r="D1761" s="5" t="s">
        <v>35</v>
      </c>
      <c r="E1761" s="5" t="s">
        <v>76</v>
      </c>
      <c r="F1761" s="5" t="s">
        <v>77</v>
      </c>
      <c r="G1761" s="5" t="s">
        <v>78</v>
      </c>
      <c r="H1761" s="5" t="s">
        <v>48</v>
      </c>
      <c r="I1761" s="5" t="s">
        <v>40</v>
      </c>
      <c r="J1761" s="5" t="s">
        <v>49</v>
      </c>
      <c r="K1761">
        <v>25</v>
      </c>
      <c r="L1761">
        <v>438838</v>
      </c>
      <c r="M1761" s="26">
        <v>10970950</v>
      </c>
      <c r="N1761">
        <v>22009</v>
      </c>
      <c r="O1761" s="26">
        <v>923076.49</v>
      </c>
      <c r="P1761" s="5" t="s">
        <v>42</v>
      </c>
      <c r="Q1761" s="5" t="s">
        <v>75</v>
      </c>
      <c r="R1761">
        <v>3.6</v>
      </c>
      <c r="S1761">
        <v>2</v>
      </c>
      <c r="T1761">
        <f t="shared" si="27"/>
        <v>1</v>
      </c>
    </row>
    <row r="1762" spans="1:20">
      <c r="A1762" s="4">
        <v>45285</v>
      </c>
      <c r="B1762">
        <v>2023</v>
      </c>
      <c r="C1762">
        <v>12</v>
      </c>
      <c r="D1762" s="5" t="s">
        <v>44</v>
      </c>
      <c r="E1762" s="5" t="s">
        <v>45</v>
      </c>
      <c r="F1762" s="5" t="s">
        <v>46</v>
      </c>
      <c r="G1762" s="5" t="s">
        <v>47</v>
      </c>
      <c r="H1762" s="5" t="s">
        <v>73</v>
      </c>
      <c r="I1762" s="5" t="s">
        <v>40</v>
      </c>
      <c r="J1762" s="5" t="s">
        <v>49</v>
      </c>
      <c r="K1762">
        <v>6</v>
      </c>
      <c r="L1762">
        <v>716484</v>
      </c>
      <c r="M1762" s="26">
        <v>4298904</v>
      </c>
      <c r="N1762">
        <v>27890</v>
      </c>
      <c r="O1762" s="26">
        <v>652994.41</v>
      </c>
      <c r="P1762" s="5" t="s">
        <v>42</v>
      </c>
      <c r="Q1762" s="5" t="s">
        <v>43</v>
      </c>
      <c r="R1762">
        <v>3.7</v>
      </c>
      <c r="S1762">
        <v>5</v>
      </c>
      <c r="T1762">
        <f t="shared" si="27"/>
        <v>1</v>
      </c>
    </row>
    <row r="1763" spans="1:20">
      <c r="A1763" s="4">
        <v>45264</v>
      </c>
      <c r="B1763">
        <v>2023</v>
      </c>
      <c r="C1763">
        <v>12</v>
      </c>
      <c r="D1763" s="5" t="s">
        <v>35</v>
      </c>
      <c r="E1763" s="5" t="s">
        <v>76</v>
      </c>
      <c r="F1763" s="5" t="s">
        <v>77</v>
      </c>
      <c r="G1763" s="5" t="s">
        <v>78</v>
      </c>
      <c r="H1763" s="5" t="s">
        <v>52</v>
      </c>
      <c r="I1763" s="5" t="s">
        <v>53</v>
      </c>
      <c r="J1763" s="5" t="s">
        <v>41</v>
      </c>
      <c r="K1763">
        <v>32</v>
      </c>
      <c r="L1763">
        <v>978751</v>
      </c>
      <c r="M1763" s="26">
        <v>31320032</v>
      </c>
      <c r="N1763">
        <v>16303</v>
      </c>
      <c r="O1763" s="26">
        <v>3228152.69</v>
      </c>
      <c r="P1763" s="5" t="s">
        <v>50</v>
      </c>
      <c r="Q1763" s="5" t="s">
        <v>51</v>
      </c>
      <c r="R1763">
        <v>4.4000000000000004</v>
      </c>
      <c r="S1763">
        <v>8</v>
      </c>
      <c r="T1763">
        <f t="shared" si="27"/>
        <v>0</v>
      </c>
    </row>
    <row r="1764" spans="1:20">
      <c r="A1764" s="4">
        <v>45285</v>
      </c>
      <c r="B1764">
        <v>2023</v>
      </c>
      <c r="C1764">
        <v>12</v>
      </c>
      <c r="D1764" s="5" t="s">
        <v>35</v>
      </c>
      <c r="E1764" s="5" t="s">
        <v>36</v>
      </c>
      <c r="F1764" s="5" t="s">
        <v>37</v>
      </c>
      <c r="G1764" s="5" t="s">
        <v>38</v>
      </c>
      <c r="H1764" s="5" t="s">
        <v>73</v>
      </c>
      <c r="I1764" s="5" t="s">
        <v>40</v>
      </c>
      <c r="J1764" s="5" t="s">
        <v>49</v>
      </c>
      <c r="K1764">
        <v>40</v>
      </c>
      <c r="L1764">
        <v>719286</v>
      </c>
      <c r="M1764" s="26">
        <v>28771440</v>
      </c>
      <c r="N1764">
        <v>17354</v>
      </c>
      <c r="O1764" s="26">
        <v>2811409.22</v>
      </c>
      <c r="P1764" s="5" t="s">
        <v>50</v>
      </c>
      <c r="Q1764" s="5" t="s">
        <v>51</v>
      </c>
      <c r="R1764">
        <v>3.6</v>
      </c>
      <c r="S1764">
        <v>3</v>
      </c>
      <c r="T1764">
        <f t="shared" si="27"/>
        <v>0</v>
      </c>
    </row>
    <row r="1765" spans="1:20">
      <c r="A1765" s="4">
        <v>45281</v>
      </c>
      <c r="B1765">
        <v>2023</v>
      </c>
      <c r="C1765">
        <v>12</v>
      </c>
      <c r="D1765" s="5" t="s">
        <v>35</v>
      </c>
      <c r="E1765" s="5" t="s">
        <v>76</v>
      </c>
      <c r="F1765" s="5" t="s">
        <v>77</v>
      </c>
      <c r="G1765" s="5" t="s">
        <v>78</v>
      </c>
      <c r="H1765" s="5" t="s">
        <v>85</v>
      </c>
      <c r="I1765" s="5" t="s">
        <v>58</v>
      </c>
      <c r="J1765" s="5" t="s">
        <v>49</v>
      </c>
      <c r="K1765">
        <v>30</v>
      </c>
      <c r="L1765">
        <v>993745</v>
      </c>
      <c r="M1765" s="26">
        <v>29812350</v>
      </c>
      <c r="N1765">
        <v>31543</v>
      </c>
      <c r="O1765" s="26">
        <v>3868485.64</v>
      </c>
      <c r="P1765" s="5" t="s">
        <v>42</v>
      </c>
      <c r="Q1765" s="5" t="s">
        <v>75</v>
      </c>
      <c r="R1765">
        <v>3.6</v>
      </c>
      <c r="S1765">
        <v>17</v>
      </c>
      <c r="T1765">
        <f t="shared" si="27"/>
        <v>1</v>
      </c>
    </row>
    <row r="1766" spans="1:20">
      <c r="A1766" s="4">
        <v>45271</v>
      </c>
      <c r="B1766">
        <v>2023</v>
      </c>
      <c r="C1766">
        <v>12</v>
      </c>
      <c r="D1766" s="5" t="s">
        <v>44</v>
      </c>
      <c r="E1766" s="5" t="s">
        <v>45</v>
      </c>
      <c r="F1766" s="5" t="s">
        <v>46</v>
      </c>
      <c r="G1766" s="5" t="s">
        <v>47</v>
      </c>
      <c r="H1766" s="5" t="s">
        <v>79</v>
      </c>
      <c r="I1766" s="5" t="s">
        <v>58</v>
      </c>
      <c r="J1766" s="5" t="s">
        <v>49</v>
      </c>
      <c r="K1766">
        <v>51</v>
      </c>
      <c r="L1766">
        <v>906378</v>
      </c>
      <c r="M1766" s="26">
        <v>46225278</v>
      </c>
      <c r="N1766">
        <v>18312</v>
      </c>
      <c r="O1766" s="26">
        <v>5233889.58</v>
      </c>
      <c r="P1766" s="5" t="s">
        <v>50</v>
      </c>
      <c r="Q1766" s="5" t="s">
        <v>43</v>
      </c>
      <c r="R1766">
        <v>4.5999999999999996</v>
      </c>
      <c r="S1766">
        <v>15</v>
      </c>
      <c r="T1766">
        <f t="shared" si="27"/>
        <v>0</v>
      </c>
    </row>
    <row r="1767" spans="1:20">
      <c r="A1767" s="4">
        <v>45261</v>
      </c>
      <c r="B1767">
        <v>2023</v>
      </c>
      <c r="C1767">
        <v>12</v>
      </c>
      <c r="D1767" s="5" t="s">
        <v>35</v>
      </c>
      <c r="E1767" s="5" t="s">
        <v>60</v>
      </c>
      <c r="F1767" s="5" t="s">
        <v>61</v>
      </c>
      <c r="G1767" s="5" t="s">
        <v>62</v>
      </c>
      <c r="H1767" s="5" t="s">
        <v>74</v>
      </c>
      <c r="I1767" s="5" t="s">
        <v>40</v>
      </c>
      <c r="J1767" s="5" t="s">
        <v>49</v>
      </c>
      <c r="K1767">
        <v>9</v>
      </c>
      <c r="L1767">
        <v>636871</v>
      </c>
      <c r="M1767" s="26">
        <v>5731839</v>
      </c>
      <c r="N1767">
        <v>33238</v>
      </c>
      <c r="O1767" s="26">
        <v>527128.91</v>
      </c>
      <c r="P1767" s="5" t="s">
        <v>42</v>
      </c>
      <c r="Q1767" s="5" t="s">
        <v>75</v>
      </c>
      <c r="R1767">
        <v>4.0999999999999996</v>
      </c>
      <c r="S1767">
        <v>6</v>
      </c>
      <c r="T1767">
        <f t="shared" si="27"/>
        <v>1</v>
      </c>
    </row>
    <row r="1768" spans="1:20">
      <c r="A1768" s="4">
        <v>45286</v>
      </c>
      <c r="B1768">
        <v>2023</v>
      </c>
      <c r="C1768">
        <v>12</v>
      </c>
      <c r="D1768" s="5" t="s">
        <v>66</v>
      </c>
      <c r="E1768" s="5" t="s">
        <v>67</v>
      </c>
      <c r="F1768" s="5" t="s">
        <v>68</v>
      </c>
      <c r="G1768" s="5" t="s">
        <v>69</v>
      </c>
      <c r="H1768" s="5" t="s">
        <v>48</v>
      </c>
      <c r="I1768" s="5" t="s">
        <v>40</v>
      </c>
      <c r="J1768" s="5" t="s">
        <v>49</v>
      </c>
      <c r="K1768">
        <v>36</v>
      </c>
      <c r="L1768">
        <v>465119</v>
      </c>
      <c r="M1768" s="26">
        <v>16744284</v>
      </c>
      <c r="N1768">
        <v>5689</v>
      </c>
      <c r="O1768" s="26">
        <v>1619314.8</v>
      </c>
      <c r="P1768" s="5" t="s">
        <v>42</v>
      </c>
      <c r="Q1768" s="5" t="s">
        <v>51</v>
      </c>
      <c r="R1768">
        <v>4.7</v>
      </c>
      <c r="S1768">
        <v>17</v>
      </c>
      <c r="T1768">
        <f t="shared" si="27"/>
        <v>1</v>
      </c>
    </row>
    <row r="1769" spans="1:20">
      <c r="A1769" s="4">
        <v>45268</v>
      </c>
      <c r="B1769">
        <v>2023</v>
      </c>
      <c r="C1769">
        <v>12</v>
      </c>
      <c r="D1769" s="5" t="s">
        <v>54</v>
      </c>
      <c r="E1769" s="5" t="s">
        <v>55</v>
      </c>
      <c r="F1769" s="5" t="s">
        <v>55</v>
      </c>
      <c r="G1769" s="5" t="s">
        <v>56</v>
      </c>
      <c r="H1769" s="5" t="s">
        <v>73</v>
      </c>
      <c r="I1769" s="5" t="s">
        <v>40</v>
      </c>
      <c r="J1769" s="5" t="s">
        <v>49</v>
      </c>
      <c r="K1769">
        <v>17</v>
      </c>
      <c r="L1769">
        <v>705053</v>
      </c>
      <c r="M1769" s="26">
        <v>11985901</v>
      </c>
      <c r="N1769">
        <v>10975</v>
      </c>
      <c r="O1769" s="26">
        <v>1655428.11</v>
      </c>
      <c r="P1769" s="5" t="s">
        <v>50</v>
      </c>
      <c r="Q1769" s="5" t="s">
        <v>51</v>
      </c>
      <c r="R1769">
        <v>4.7</v>
      </c>
      <c r="S1769">
        <v>18</v>
      </c>
      <c r="T1769">
        <f t="shared" si="27"/>
        <v>0</v>
      </c>
    </row>
    <row r="1770" spans="1:20">
      <c r="A1770" s="4">
        <v>45280</v>
      </c>
      <c r="B1770">
        <v>2023</v>
      </c>
      <c r="C1770">
        <v>12</v>
      </c>
      <c r="D1770" s="5" t="s">
        <v>54</v>
      </c>
      <c r="E1770" s="5" t="s">
        <v>70</v>
      </c>
      <c r="F1770" s="5" t="s">
        <v>71</v>
      </c>
      <c r="G1770" s="5" t="s">
        <v>72</v>
      </c>
      <c r="H1770" s="5" t="s">
        <v>52</v>
      </c>
      <c r="I1770" s="5" t="s">
        <v>53</v>
      </c>
      <c r="J1770" s="5" t="s">
        <v>41</v>
      </c>
      <c r="K1770">
        <v>11</v>
      </c>
      <c r="L1770">
        <v>928470</v>
      </c>
      <c r="M1770" s="26">
        <v>10213170</v>
      </c>
      <c r="N1770">
        <v>14693</v>
      </c>
      <c r="O1770" s="26">
        <v>1204087.18</v>
      </c>
      <c r="P1770" s="5" t="s">
        <v>42</v>
      </c>
      <c r="Q1770" s="5" t="s">
        <v>75</v>
      </c>
      <c r="R1770">
        <v>4.5999999999999996</v>
      </c>
      <c r="S1770">
        <v>16</v>
      </c>
      <c r="T1770">
        <f t="shared" si="27"/>
        <v>1</v>
      </c>
    </row>
    <row r="1771" spans="1:20">
      <c r="A1771" s="4">
        <v>45268</v>
      </c>
      <c r="B1771">
        <v>2023</v>
      </c>
      <c r="C1771">
        <v>12</v>
      </c>
      <c r="D1771" s="5" t="s">
        <v>35</v>
      </c>
      <c r="E1771" s="5" t="s">
        <v>36</v>
      </c>
      <c r="F1771" s="5" t="s">
        <v>37</v>
      </c>
      <c r="G1771" s="5" t="s">
        <v>38</v>
      </c>
      <c r="H1771" s="5" t="s">
        <v>86</v>
      </c>
      <c r="I1771" s="5" t="s">
        <v>40</v>
      </c>
      <c r="J1771" s="5" t="s">
        <v>41</v>
      </c>
      <c r="K1771">
        <v>13</v>
      </c>
      <c r="L1771">
        <v>578513</v>
      </c>
      <c r="M1771" s="26">
        <v>7520669</v>
      </c>
      <c r="N1771">
        <v>8158</v>
      </c>
      <c r="O1771" s="26">
        <v>1146734.96</v>
      </c>
      <c r="P1771" s="5" t="s">
        <v>50</v>
      </c>
      <c r="Q1771" s="5" t="s">
        <v>43</v>
      </c>
      <c r="R1771">
        <v>3.8</v>
      </c>
      <c r="S1771">
        <v>9</v>
      </c>
      <c r="T1771">
        <f t="shared" si="27"/>
        <v>0</v>
      </c>
    </row>
    <row r="1772" spans="1:20">
      <c r="A1772" s="4">
        <v>45283</v>
      </c>
      <c r="B1772">
        <v>2023</v>
      </c>
      <c r="C1772">
        <v>12</v>
      </c>
      <c r="D1772" s="5" t="s">
        <v>54</v>
      </c>
      <c r="E1772" s="5" t="s">
        <v>55</v>
      </c>
      <c r="F1772" s="5" t="s">
        <v>55</v>
      </c>
      <c r="G1772" s="5" t="s">
        <v>56</v>
      </c>
      <c r="H1772" s="5" t="s">
        <v>86</v>
      </c>
      <c r="I1772" s="5" t="s">
        <v>40</v>
      </c>
      <c r="J1772" s="5" t="s">
        <v>41</v>
      </c>
      <c r="K1772">
        <v>19</v>
      </c>
      <c r="L1772">
        <v>627528</v>
      </c>
      <c r="M1772" s="26">
        <v>11923032</v>
      </c>
      <c r="N1772">
        <v>36086</v>
      </c>
      <c r="O1772" s="26">
        <v>1709808.19</v>
      </c>
      <c r="P1772" s="5" t="s">
        <v>42</v>
      </c>
      <c r="Q1772" s="5" t="s">
        <v>51</v>
      </c>
      <c r="R1772">
        <v>3.8</v>
      </c>
      <c r="S1772">
        <v>4</v>
      </c>
      <c r="T1772">
        <f t="shared" si="27"/>
        <v>1</v>
      </c>
    </row>
    <row r="1773" spans="1:20">
      <c r="A1773" s="4">
        <v>45280</v>
      </c>
      <c r="B1773">
        <v>2023</v>
      </c>
      <c r="C1773">
        <v>12</v>
      </c>
      <c r="D1773" s="5" t="s">
        <v>35</v>
      </c>
      <c r="E1773" s="5" t="s">
        <v>36</v>
      </c>
      <c r="F1773" s="5" t="s">
        <v>37</v>
      </c>
      <c r="G1773" s="5" t="s">
        <v>38</v>
      </c>
      <c r="H1773" s="5" t="s">
        <v>79</v>
      </c>
      <c r="I1773" s="5" t="s">
        <v>58</v>
      </c>
      <c r="J1773" s="5" t="s">
        <v>49</v>
      </c>
      <c r="K1773">
        <v>36</v>
      </c>
      <c r="L1773">
        <v>903904</v>
      </c>
      <c r="M1773" s="26">
        <v>32540544</v>
      </c>
      <c r="N1773">
        <v>11128</v>
      </c>
      <c r="O1773" s="26">
        <v>4035897.36</v>
      </c>
      <c r="P1773" s="5" t="s">
        <v>50</v>
      </c>
      <c r="Q1773" s="5" t="s">
        <v>43</v>
      </c>
      <c r="R1773">
        <v>3.6</v>
      </c>
      <c r="S1773">
        <v>18</v>
      </c>
      <c r="T1773">
        <f t="shared" si="27"/>
        <v>0</v>
      </c>
    </row>
    <row r="1774" spans="1:20">
      <c r="A1774" s="4">
        <v>45278</v>
      </c>
      <c r="B1774">
        <v>2023</v>
      </c>
      <c r="C1774">
        <v>12</v>
      </c>
      <c r="D1774" s="5" t="s">
        <v>35</v>
      </c>
      <c r="E1774" s="5" t="s">
        <v>36</v>
      </c>
      <c r="F1774" s="5" t="s">
        <v>37</v>
      </c>
      <c r="G1774" s="5" t="s">
        <v>38</v>
      </c>
      <c r="H1774" s="5" t="s">
        <v>52</v>
      </c>
      <c r="I1774" s="5" t="s">
        <v>53</v>
      </c>
      <c r="J1774" s="5" t="s">
        <v>41</v>
      </c>
      <c r="K1774">
        <v>35</v>
      </c>
      <c r="L1774">
        <v>935005</v>
      </c>
      <c r="M1774" s="26">
        <v>32725175</v>
      </c>
      <c r="N1774">
        <v>31498</v>
      </c>
      <c r="O1774" s="26">
        <v>4026574.8</v>
      </c>
      <c r="P1774" s="5" t="s">
        <v>42</v>
      </c>
      <c r="Q1774" s="5" t="s">
        <v>75</v>
      </c>
      <c r="R1774">
        <v>4.7</v>
      </c>
      <c r="S1774">
        <v>16</v>
      </c>
      <c r="T1774">
        <f t="shared" si="27"/>
        <v>1</v>
      </c>
    </row>
    <row r="1775" spans="1:20">
      <c r="A1775" s="4">
        <v>45275</v>
      </c>
      <c r="B1775">
        <v>2023</v>
      </c>
      <c r="C1775">
        <v>12</v>
      </c>
      <c r="D1775" s="5" t="s">
        <v>35</v>
      </c>
      <c r="E1775" s="5" t="s">
        <v>76</v>
      </c>
      <c r="F1775" s="5" t="s">
        <v>77</v>
      </c>
      <c r="G1775" s="5" t="s">
        <v>78</v>
      </c>
      <c r="H1775" s="5" t="s">
        <v>73</v>
      </c>
      <c r="I1775" s="5" t="s">
        <v>40</v>
      </c>
      <c r="J1775" s="5" t="s">
        <v>49</v>
      </c>
      <c r="K1775">
        <v>59</v>
      </c>
      <c r="L1775">
        <v>704983</v>
      </c>
      <c r="M1775" s="26">
        <v>41593997</v>
      </c>
      <c r="N1775">
        <v>40592</v>
      </c>
      <c r="O1775" s="26">
        <v>6150266.3899999997</v>
      </c>
      <c r="P1775" s="5" t="s">
        <v>42</v>
      </c>
      <c r="Q1775" s="5" t="s">
        <v>43</v>
      </c>
      <c r="R1775">
        <v>4.5</v>
      </c>
      <c r="S1775">
        <v>5</v>
      </c>
      <c r="T1775">
        <f t="shared" si="27"/>
        <v>1</v>
      </c>
    </row>
    <row r="1776" spans="1:20">
      <c r="A1776" s="4">
        <v>45283</v>
      </c>
      <c r="B1776">
        <v>2023</v>
      </c>
      <c r="C1776">
        <v>12</v>
      </c>
      <c r="D1776" s="5" t="s">
        <v>35</v>
      </c>
      <c r="E1776" s="5" t="s">
        <v>76</v>
      </c>
      <c r="F1776" s="5" t="s">
        <v>77</v>
      </c>
      <c r="G1776" s="5" t="s">
        <v>78</v>
      </c>
      <c r="H1776" s="5" t="s">
        <v>80</v>
      </c>
      <c r="I1776" s="5" t="s">
        <v>81</v>
      </c>
      <c r="J1776" s="5" t="s">
        <v>41</v>
      </c>
      <c r="K1776">
        <v>5</v>
      </c>
      <c r="L1776">
        <v>528772</v>
      </c>
      <c r="M1776" s="26">
        <v>2643860</v>
      </c>
      <c r="N1776">
        <v>37951</v>
      </c>
      <c r="O1776" s="26">
        <v>412788.97</v>
      </c>
      <c r="P1776" s="5" t="s">
        <v>42</v>
      </c>
      <c r="Q1776" s="5" t="s">
        <v>51</v>
      </c>
      <c r="R1776">
        <v>4</v>
      </c>
      <c r="S1776">
        <v>2</v>
      </c>
      <c r="T1776">
        <f t="shared" si="27"/>
        <v>1</v>
      </c>
    </row>
    <row r="1777" spans="1:20">
      <c r="A1777" s="4">
        <v>45275</v>
      </c>
      <c r="B1777">
        <v>2023</v>
      </c>
      <c r="C1777">
        <v>12</v>
      </c>
      <c r="D1777" s="5" t="s">
        <v>44</v>
      </c>
      <c r="E1777" s="5" t="s">
        <v>45</v>
      </c>
      <c r="F1777" s="5" t="s">
        <v>46</v>
      </c>
      <c r="G1777" s="5" t="s">
        <v>47</v>
      </c>
      <c r="H1777" s="5" t="s">
        <v>63</v>
      </c>
      <c r="I1777" s="5" t="s">
        <v>64</v>
      </c>
      <c r="J1777" s="5" t="s">
        <v>41</v>
      </c>
      <c r="K1777">
        <v>27</v>
      </c>
      <c r="L1777">
        <v>749172</v>
      </c>
      <c r="M1777" s="26">
        <v>20227644</v>
      </c>
      <c r="N1777">
        <v>13285</v>
      </c>
      <c r="O1777" s="26">
        <v>3200099.51</v>
      </c>
      <c r="P1777" s="5" t="s">
        <v>42</v>
      </c>
      <c r="Q1777" s="5" t="s">
        <v>75</v>
      </c>
      <c r="R1777">
        <v>4.9000000000000004</v>
      </c>
      <c r="S1777">
        <v>12</v>
      </c>
      <c r="T1777">
        <f t="shared" si="27"/>
        <v>1</v>
      </c>
    </row>
    <row r="1778" spans="1:20">
      <c r="A1778" s="4">
        <v>45268</v>
      </c>
      <c r="B1778">
        <v>2023</v>
      </c>
      <c r="C1778">
        <v>12</v>
      </c>
      <c r="D1778" s="5" t="s">
        <v>35</v>
      </c>
      <c r="E1778" s="5" t="s">
        <v>76</v>
      </c>
      <c r="F1778" s="5" t="s">
        <v>77</v>
      </c>
      <c r="G1778" s="5" t="s">
        <v>78</v>
      </c>
      <c r="H1778" s="5" t="s">
        <v>85</v>
      </c>
      <c r="I1778" s="5" t="s">
        <v>58</v>
      </c>
      <c r="J1778" s="5" t="s">
        <v>49</v>
      </c>
      <c r="K1778">
        <v>15</v>
      </c>
      <c r="L1778">
        <v>977506</v>
      </c>
      <c r="M1778" s="26">
        <v>14662590</v>
      </c>
      <c r="N1778">
        <v>23096</v>
      </c>
      <c r="O1778" s="26">
        <v>1572509.71</v>
      </c>
      <c r="P1778" s="5" t="s">
        <v>42</v>
      </c>
      <c r="Q1778" s="5" t="s">
        <v>51</v>
      </c>
      <c r="R1778">
        <v>3.5</v>
      </c>
      <c r="S1778">
        <v>13</v>
      </c>
      <c r="T1778">
        <f t="shared" si="27"/>
        <v>1</v>
      </c>
    </row>
    <row r="1779" spans="1:20">
      <c r="A1779" s="4">
        <v>45261</v>
      </c>
      <c r="B1779">
        <v>2023</v>
      </c>
      <c r="C1779">
        <v>12</v>
      </c>
      <c r="D1779" s="5" t="s">
        <v>35</v>
      </c>
      <c r="E1779" s="5" t="s">
        <v>60</v>
      </c>
      <c r="F1779" s="5" t="s">
        <v>61</v>
      </c>
      <c r="G1779" s="5" t="s">
        <v>62</v>
      </c>
      <c r="H1779" s="5" t="s">
        <v>52</v>
      </c>
      <c r="I1779" s="5" t="s">
        <v>53</v>
      </c>
      <c r="J1779" s="5" t="s">
        <v>41</v>
      </c>
      <c r="K1779">
        <v>52</v>
      </c>
      <c r="L1779">
        <v>969318</v>
      </c>
      <c r="M1779" s="26">
        <v>50404536</v>
      </c>
      <c r="N1779">
        <v>42703</v>
      </c>
      <c r="O1779" s="26">
        <v>6886137.3899999997</v>
      </c>
      <c r="P1779" s="5" t="s">
        <v>50</v>
      </c>
      <c r="Q1779" s="5" t="s">
        <v>43</v>
      </c>
      <c r="R1779">
        <v>5</v>
      </c>
      <c r="S1779">
        <v>9</v>
      </c>
      <c r="T1779">
        <f t="shared" si="27"/>
        <v>0</v>
      </c>
    </row>
    <row r="1780" spans="1:20">
      <c r="A1780" s="4">
        <v>45288</v>
      </c>
      <c r="B1780">
        <v>2023</v>
      </c>
      <c r="C1780">
        <v>12</v>
      </c>
      <c r="D1780" s="5" t="s">
        <v>35</v>
      </c>
      <c r="E1780" s="5" t="s">
        <v>60</v>
      </c>
      <c r="F1780" s="5" t="s">
        <v>61</v>
      </c>
      <c r="G1780" s="5" t="s">
        <v>62</v>
      </c>
      <c r="H1780" s="5" t="s">
        <v>65</v>
      </c>
      <c r="I1780" s="5" t="s">
        <v>53</v>
      </c>
      <c r="J1780" s="5" t="s">
        <v>49</v>
      </c>
      <c r="K1780">
        <v>42</v>
      </c>
      <c r="L1780">
        <v>1259488</v>
      </c>
      <c r="M1780" s="26">
        <v>52898496</v>
      </c>
      <c r="N1780">
        <v>33764</v>
      </c>
      <c r="O1780" s="26">
        <v>5949000.0499999998</v>
      </c>
      <c r="P1780" s="5" t="s">
        <v>42</v>
      </c>
      <c r="Q1780" s="5" t="s">
        <v>51</v>
      </c>
      <c r="R1780">
        <v>4.7</v>
      </c>
      <c r="S1780">
        <v>13</v>
      </c>
      <c r="T1780">
        <f t="shared" si="27"/>
        <v>1</v>
      </c>
    </row>
    <row r="1781" spans="1:20">
      <c r="A1781" s="4">
        <v>45288</v>
      </c>
      <c r="B1781">
        <v>2023</v>
      </c>
      <c r="C1781">
        <v>12</v>
      </c>
      <c r="D1781" s="5" t="s">
        <v>35</v>
      </c>
      <c r="E1781" s="5" t="s">
        <v>36</v>
      </c>
      <c r="F1781" s="5" t="s">
        <v>37</v>
      </c>
      <c r="G1781" s="5" t="s">
        <v>38</v>
      </c>
      <c r="H1781" s="5" t="s">
        <v>39</v>
      </c>
      <c r="I1781" s="5" t="s">
        <v>40</v>
      </c>
      <c r="J1781" s="5" t="s">
        <v>41</v>
      </c>
      <c r="K1781">
        <v>27</v>
      </c>
      <c r="L1781">
        <v>563997</v>
      </c>
      <c r="M1781" s="26">
        <v>15227919</v>
      </c>
      <c r="N1781">
        <v>45984</v>
      </c>
      <c r="O1781" s="26">
        <v>1560002.55</v>
      </c>
      <c r="P1781" s="5" t="s">
        <v>42</v>
      </c>
      <c r="Q1781" s="5" t="s">
        <v>43</v>
      </c>
      <c r="R1781">
        <v>4.2</v>
      </c>
      <c r="S1781">
        <v>12</v>
      </c>
      <c r="T1781">
        <f t="shared" si="27"/>
        <v>1</v>
      </c>
    </row>
    <row r="1782" spans="1:20">
      <c r="A1782" s="4">
        <v>45282</v>
      </c>
      <c r="B1782">
        <v>2023</v>
      </c>
      <c r="C1782">
        <v>12</v>
      </c>
      <c r="D1782" s="5" t="s">
        <v>66</v>
      </c>
      <c r="E1782" s="5" t="s">
        <v>67</v>
      </c>
      <c r="F1782" s="5" t="s">
        <v>68</v>
      </c>
      <c r="G1782" s="5" t="s">
        <v>69</v>
      </c>
      <c r="H1782" s="5" t="s">
        <v>79</v>
      </c>
      <c r="I1782" s="5" t="s">
        <v>58</v>
      </c>
      <c r="J1782" s="5" t="s">
        <v>49</v>
      </c>
      <c r="K1782">
        <v>34</v>
      </c>
      <c r="L1782">
        <v>927387</v>
      </c>
      <c r="M1782" s="26">
        <v>31531158</v>
      </c>
      <c r="N1782">
        <v>19521</v>
      </c>
      <c r="O1782" s="26">
        <v>4502484.1399999997</v>
      </c>
      <c r="P1782" s="5" t="s">
        <v>42</v>
      </c>
      <c r="Q1782" s="5" t="s">
        <v>75</v>
      </c>
      <c r="R1782">
        <v>4.5999999999999996</v>
      </c>
      <c r="S1782">
        <v>11</v>
      </c>
      <c r="T1782">
        <f t="shared" si="27"/>
        <v>1</v>
      </c>
    </row>
    <row r="1783" spans="1:20">
      <c r="A1783" s="4">
        <v>45286</v>
      </c>
      <c r="B1783">
        <v>2023</v>
      </c>
      <c r="C1783">
        <v>12</v>
      </c>
      <c r="D1783" s="5" t="s">
        <v>54</v>
      </c>
      <c r="E1783" s="5" t="s">
        <v>70</v>
      </c>
      <c r="F1783" s="5" t="s">
        <v>71</v>
      </c>
      <c r="G1783" s="5" t="s">
        <v>72</v>
      </c>
      <c r="H1783" s="5" t="s">
        <v>79</v>
      </c>
      <c r="I1783" s="5" t="s">
        <v>58</v>
      </c>
      <c r="J1783" s="5" t="s">
        <v>49</v>
      </c>
      <c r="K1783">
        <v>26</v>
      </c>
      <c r="L1783">
        <v>887781</v>
      </c>
      <c r="M1783" s="26">
        <v>23082306</v>
      </c>
      <c r="N1783">
        <v>6670</v>
      </c>
      <c r="O1783" s="26">
        <v>2736520.25</v>
      </c>
      <c r="P1783" s="5" t="s">
        <v>50</v>
      </c>
      <c r="Q1783" s="5" t="s">
        <v>43</v>
      </c>
      <c r="R1783">
        <v>4.2</v>
      </c>
      <c r="S1783">
        <v>7</v>
      </c>
      <c r="T1783">
        <f t="shared" si="27"/>
        <v>0</v>
      </c>
    </row>
    <row r="1784" spans="1:20">
      <c r="A1784" s="4">
        <v>45270</v>
      </c>
      <c r="B1784">
        <v>2023</v>
      </c>
      <c r="C1784">
        <v>12</v>
      </c>
      <c r="D1784" s="5" t="s">
        <v>35</v>
      </c>
      <c r="E1784" s="5" t="s">
        <v>36</v>
      </c>
      <c r="F1784" s="5" t="s">
        <v>37</v>
      </c>
      <c r="G1784" s="5" t="s">
        <v>38</v>
      </c>
      <c r="H1784" s="5" t="s">
        <v>48</v>
      </c>
      <c r="I1784" s="5" t="s">
        <v>40</v>
      </c>
      <c r="J1784" s="5" t="s">
        <v>49</v>
      </c>
      <c r="K1784">
        <v>22</v>
      </c>
      <c r="L1784">
        <v>461640</v>
      </c>
      <c r="M1784" s="26">
        <v>10156080</v>
      </c>
      <c r="N1784">
        <v>26452</v>
      </c>
      <c r="O1784" s="26">
        <v>944524.33</v>
      </c>
      <c r="P1784" s="5" t="s">
        <v>42</v>
      </c>
      <c r="Q1784" s="5" t="s">
        <v>75</v>
      </c>
      <c r="R1784">
        <v>4.4000000000000004</v>
      </c>
      <c r="S1784">
        <v>14</v>
      </c>
      <c r="T1784">
        <f t="shared" si="27"/>
        <v>1</v>
      </c>
    </row>
    <row r="1785" spans="1:20">
      <c r="A1785" s="4">
        <v>45261</v>
      </c>
      <c r="B1785">
        <v>2023</v>
      </c>
      <c r="C1785">
        <v>12</v>
      </c>
      <c r="D1785" s="5" t="s">
        <v>54</v>
      </c>
      <c r="E1785" s="5" t="s">
        <v>70</v>
      </c>
      <c r="F1785" s="5" t="s">
        <v>71</v>
      </c>
      <c r="G1785" s="5" t="s">
        <v>72</v>
      </c>
      <c r="H1785" s="5" t="s">
        <v>80</v>
      </c>
      <c r="I1785" s="5" t="s">
        <v>81</v>
      </c>
      <c r="J1785" s="5" t="s">
        <v>41</v>
      </c>
      <c r="K1785">
        <v>15</v>
      </c>
      <c r="L1785">
        <v>542650</v>
      </c>
      <c r="M1785" s="26">
        <v>8139750</v>
      </c>
      <c r="N1785">
        <v>44731</v>
      </c>
      <c r="O1785" s="26">
        <v>1250680.57</v>
      </c>
      <c r="P1785" s="5" t="s">
        <v>50</v>
      </c>
      <c r="Q1785" s="5" t="s">
        <v>51</v>
      </c>
      <c r="R1785">
        <v>4.5999999999999996</v>
      </c>
      <c r="S1785">
        <v>13</v>
      </c>
      <c r="T1785">
        <f t="shared" si="27"/>
        <v>0</v>
      </c>
    </row>
    <row r="1786" spans="1:20">
      <c r="A1786" s="4">
        <v>45276</v>
      </c>
      <c r="B1786">
        <v>2023</v>
      </c>
      <c r="C1786">
        <v>12</v>
      </c>
      <c r="D1786" s="5" t="s">
        <v>44</v>
      </c>
      <c r="E1786" s="5" t="s">
        <v>82</v>
      </c>
      <c r="F1786" s="5" t="s">
        <v>83</v>
      </c>
      <c r="G1786" s="5" t="s">
        <v>84</v>
      </c>
      <c r="H1786" s="5" t="s">
        <v>65</v>
      </c>
      <c r="I1786" s="5" t="s">
        <v>53</v>
      </c>
      <c r="J1786" s="5" t="s">
        <v>49</v>
      </c>
      <c r="K1786">
        <v>43</v>
      </c>
      <c r="L1786">
        <v>1239986</v>
      </c>
      <c r="M1786" s="26">
        <v>53319398</v>
      </c>
      <c r="N1786">
        <v>12258</v>
      </c>
      <c r="O1786" s="26">
        <v>5440584.5800000001</v>
      </c>
      <c r="P1786" s="5" t="s">
        <v>50</v>
      </c>
      <c r="Q1786" s="5" t="s">
        <v>51</v>
      </c>
      <c r="R1786">
        <v>4.0999999999999996</v>
      </c>
      <c r="S1786">
        <v>9</v>
      </c>
      <c r="T1786">
        <f t="shared" si="27"/>
        <v>0</v>
      </c>
    </row>
    <row r="1787" spans="1:20">
      <c r="A1787" s="4">
        <v>45268</v>
      </c>
      <c r="B1787">
        <v>2023</v>
      </c>
      <c r="C1787">
        <v>12</v>
      </c>
      <c r="D1787" s="5" t="s">
        <v>44</v>
      </c>
      <c r="E1787" s="5" t="s">
        <v>82</v>
      </c>
      <c r="F1787" s="5" t="s">
        <v>83</v>
      </c>
      <c r="G1787" s="5" t="s">
        <v>84</v>
      </c>
      <c r="H1787" s="5" t="s">
        <v>80</v>
      </c>
      <c r="I1787" s="5" t="s">
        <v>81</v>
      </c>
      <c r="J1787" s="5" t="s">
        <v>41</v>
      </c>
      <c r="K1787">
        <v>55</v>
      </c>
      <c r="L1787">
        <v>567759</v>
      </c>
      <c r="M1787" s="26">
        <v>31226745</v>
      </c>
      <c r="N1787">
        <v>36463</v>
      </c>
      <c r="O1787" s="26">
        <v>4829540.49</v>
      </c>
      <c r="P1787" s="5" t="s">
        <v>50</v>
      </c>
      <c r="Q1787" s="5" t="s">
        <v>75</v>
      </c>
      <c r="R1787">
        <v>4.5999999999999996</v>
      </c>
      <c r="S1787">
        <v>7</v>
      </c>
      <c r="T1787">
        <f t="shared" si="27"/>
        <v>0</v>
      </c>
    </row>
    <row r="1788" spans="1:20">
      <c r="A1788" s="4">
        <v>45268</v>
      </c>
      <c r="B1788">
        <v>2023</v>
      </c>
      <c r="C1788">
        <v>12</v>
      </c>
      <c r="D1788" s="5" t="s">
        <v>35</v>
      </c>
      <c r="E1788" s="5" t="s">
        <v>76</v>
      </c>
      <c r="F1788" s="5" t="s">
        <v>77</v>
      </c>
      <c r="G1788" s="5" t="s">
        <v>78</v>
      </c>
      <c r="H1788" s="5" t="s">
        <v>74</v>
      </c>
      <c r="I1788" s="5" t="s">
        <v>40</v>
      </c>
      <c r="J1788" s="5" t="s">
        <v>49</v>
      </c>
      <c r="K1788">
        <v>51</v>
      </c>
      <c r="L1788">
        <v>653029</v>
      </c>
      <c r="M1788" s="26">
        <v>33304479</v>
      </c>
      <c r="N1788">
        <v>13478</v>
      </c>
      <c r="O1788" s="26">
        <v>3636168.36</v>
      </c>
      <c r="P1788" s="5" t="s">
        <v>50</v>
      </c>
      <c r="Q1788" s="5" t="s">
        <v>43</v>
      </c>
      <c r="R1788">
        <v>4.8</v>
      </c>
      <c r="S1788">
        <v>20</v>
      </c>
      <c r="T1788">
        <f t="shared" si="27"/>
        <v>0</v>
      </c>
    </row>
    <row r="1789" spans="1:20">
      <c r="A1789" s="4">
        <v>45282</v>
      </c>
      <c r="B1789">
        <v>2023</v>
      </c>
      <c r="C1789">
        <v>12</v>
      </c>
      <c r="D1789" s="5" t="s">
        <v>44</v>
      </c>
      <c r="E1789" s="5" t="s">
        <v>45</v>
      </c>
      <c r="F1789" s="5" t="s">
        <v>46</v>
      </c>
      <c r="G1789" s="5" t="s">
        <v>47</v>
      </c>
      <c r="H1789" s="5" t="s">
        <v>65</v>
      </c>
      <c r="I1789" s="5" t="s">
        <v>53</v>
      </c>
      <c r="J1789" s="5" t="s">
        <v>49</v>
      </c>
      <c r="K1789">
        <v>6</v>
      </c>
      <c r="L1789">
        <v>1273806</v>
      </c>
      <c r="M1789" s="26">
        <v>7642836</v>
      </c>
      <c r="N1789">
        <v>40264</v>
      </c>
      <c r="O1789" s="26">
        <v>809305.92</v>
      </c>
      <c r="P1789" s="5" t="s">
        <v>42</v>
      </c>
      <c r="Q1789" s="5" t="s">
        <v>51</v>
      </c>
      <c r="R1789">
        <v>4</v>
      </c>
      <c r="S1789">
        <v>17</v>
      </c>
      <c r="T1789">
        <f t="shared" si="27"/>
        <v>1</v>
      </c>
    </row>
    <row r="1790" spans="1:20">
      <c r="A1790" s="4">
        <v>45265</v>
      </c>
      <c r="B1790">
        <v>2023</v>
      </c>
      <c r="C1790">
        <v>12</v>
      </c>
      <c r="D1790" s="5" t="s">
        <v>44</v>
      </c>
      <c r="E1790" s="5" t="s">
        <v>82</v>
      </c>
      <c r="F1790" s="5" t="s">
        <v>83</v>
      </c>
      <c r="G1790" s="5" t="s">
        <v>84</v>
      </c>
      <c r="H1790" s="5" t="s">
        <v>73</v>
      </c>
      <c r="I1790" s="5" t="s">
        <v>40</v>
      </c>
      <c r="J1790" s="5" t="s">
        <v>49</v>
      </c>
      <c r="K1790">
        <v>18</v>
      </c>
      <c r="L1790">
        <v>728396</v>
      </c>
      <c r="M1790" s="26">
        <v>13111128</v>
      </c>
      <c r="N1790">
        <v>36733</v>
      </c>
      <c r="O1790" s="26">
        <v>1088766.42</v>
      </c>
      <c r="P1790" s="5" t="s">
        <v>50</v>
      </c>
      <c r="Q1790" s="5" t="s">
        <v>51</v>
      </c>
      <c r="R1790">
        <v>4.3</v>
      </c>
      <c r="S1790">
        <v>4</v>
      </c>
      <c r="T1790">
        <f t="shared" si="27"/>
        <v>0</v>
      </c>
    </row>
    <row r="1791" spans="1:20">
      <c r="A1791" s="4">
        <v>45264</v>
      </c>
      <c r="B1791">
        <v>2023</v>
      </c>
      <c r="C1791">
        <v>12</v>
      </c>
      <c r="D1791" s="5" t="s">
        <v>35</v>
      </c>
      <c r="E1791" s="5" t="s">
        <v>76</v>
      </c>
      <c r="F1791" s="5" t="s">
        <v>77</v>
      </c>
      <c r="G1791" s="5" t="s">
        <v>78</v>
      </c>
      <c r="H1791" s="5" t="s">
        <v>63</v>
      </c>
      <c r="I1791" s="5" t="s">
        <v>64</v>
      </c>
      <c r="J1791" s="5" t="s">
        <v>41</v>
      </c>
      <c r="K1791">
        <v>40</v>
      </c>
      <c r="L1791">
        <v>758291</v>
      </c>
      <c r="M1791" s="26">
        <v>30331640</v>
      </c>
      <c r="N1791">
        <v>33156</v>
      </c>
      <c r="O1791" s="26">
        <v>3172799.3</v>
      </c>
      <c r="P1791" s="5" t="s">
        <v>50</v>
      </c>
      <c r="Q1791" s="5" t="s">
        <v>43</v>
      </c>
      <c r="R1791">
        <v>4.9000000000000004</v>
      </c>
      <c r="S1791">
        <v>19</v>
      </c>
      <c r="T1791">
        <f t="shared" si="27"/>
        <v>0</v>
      </c>
    </row>
    <row r="1792" spans="1:20">
      <c r="A1792" s="4">
        <v>45276</v>
      </c>
      <c r="B1792">
        <v>2023</v>
      </c>
      <c r="C1792">
        <v>12</v>
      </c>
      <c r="D1792" s="5" t="s">
        <v>35</v>
      </c>
      <c r="E1792" s="5" t="s">
        <v>76</v>
      </c>
      <c r="F1792" s="5" t="s">
        <v>77</v>
      </c>
      <c r="G1792" s="5" t="s">
        <v>78</v>
      </c>
      <c r="H1792" s="5" t="s">
        <v>85</v>
      </c>
      <c r="I1792" s="5" t="s">
        <v>58</v>
      </c>
      <c r="J1792" s="5" t="s">
        <v>49</v>
      </c>
      <c r="K1792">
        <v>37</v>
      </c>
      <c r="L1792">
        <v>983372</v>
      </c>
      <c r="M1792" s="26">
        <v>36384764</v>
      </c>
      <c r="N1792">
        <v>36617</v>
      </c>
      <c r="O1792" s="26">
        <v>4710623.82</v>
      </c>
      <c r="P1792" s="5" t="s">
        <v>42</v>
      </c>
      <c r="Q1792" s="5" t="s">
        <v>43</v>
      </c>
      <c r="R1792">
        <v>3.7</v>
      </c>
      <c r="S1792">
        <v>18</v>
      </c>
      <c r="T1792">
        <f t="shared" si="27"/>
        <v>1</v>
      </c>
    </row>
    <row r="1793" spans="1:20">
      <c r="A1793" s="4">
        <v>45282</v>
      </c>
      <c r="B1793">
        <v>2023</v>
      </c>
      <c r="C1793">
        <v>12</v>
      </c>
      <c r="D1793" s="5" t="s">
        <v>66</v>
      </c>
      <c r="E1793" s="5" t="s">
        <v>67</v>
      </c>
      <c r="F1793" s="5" t="s">
        <v>68</v>
      </c>
      <c r="G1793" s="5" t="s">
        <v>69</v>
      </c>
      <c r="H1793" s="5" t="s">
        <v>48</v>
      </c>
      <c r="I1793" s="5" t="s">
        <v>40</v>
      </c>
      <c r="J1793" s="5" t="s">
        <v>49</v>
      </c>
      <c r="K1793">
        <v>23</v>
      </c>
      <c r="L1793">
        <v>453421</v>
      </c>
      <c r="M1793" s="26">
        <v>10428683</v>
      </c>
      <c r="N1793">
        <v>40248</v>
      </c>
      <c r="O1793" s="26">
        <v>1331987.99</v>
      </c>
      <c r="P1793" s="5" t="s">
        <v>42</v>
      </c>
      <c r="Q1793" s="5" t="s">
        <v>75</v>
      </c>
      <c r="R1793">
        <v>4.9000000000000004</v>
      </c>
      <c r="S1793">
        <v>15</v>
      </c>
      <c r="T1793">
        <f t="shared" si="27"/>
        <v>1</v>
      </c>
    </row>
    <row r="1794" spans="1:20">
      <c r="A1794" s="4">
        <v>45268</v>
      </c>
      <c r="B1794">
        <v>2023</v>
      </c>
      <c r="C1794">
        <v>12</v>
      </c>
      <c r="D1794" s="5" t="s">
        <v>44</v>
      </c>
      <c r="E1794" s="5" t="s">
        <v>45</v>
      </c>
      <c r="F1794" s="5" t="s">
        <v>46</v>
      </c>
      <c r="G1794" s="5" t="s">
        <v>47</v>
      </c>
      <c r="H1794" s="5" t="s">
        <v>74</v>
      </c>
      <c r="I1794" s="5" t="s">
        <v>40</v>
      </c>
      <c r="J1794" s="5" t="s">
        <v>49</v>
      </c>
      <c r="K1794">
        <v>37</v>
      </c>
      <c r="L1794">
        <v>652473</v>
      </c>
      <c r="M1794" s="26">
        <v>24141501</v>
      </c>
      <c r="N1794">
        <v>47961</v>
      </c>
      <c r="O1794" s="26">
        <v>2814115.16</v>
      </c>
      <c r="P1794" s="5" t="s">
        <v>50</v>
      </c>
      <c r="Q1794" s="5" t="s">
        <v>43</v>
      </c>
      <c r="R1794">
        <v>4.2</v>
      </c>
      <c r="S1794">
        <v>5</v>
      </c>
      <c r="T1794">
        <f t="shared" ref="T1794:T1857" si="28">IF(AND(OR($B1794=Sel_Year,Sel_Year="All"),OR($C1794=Sel_Month,Sel_Month="All"),OR($D1794=Sel_Region,Sel_Region="All"),OR($E1794=Sel_State,Sel_State="All"),OR($F1794=Sel_City,Sel_City="All"),OR($G1794=Sel_Dealer,Sel_Dealer="All"),OR($H1794=Sel_Model,Sel_Model="All"),OR($I1794=Sel_Segment,Sel_Segment="All"),OR($J1794=Sel_Fuel,Sel_Fuel="All"),OR($P1794=Sel_CustType,Sel_CustType="All"),OR($Q1794=Sel_Payment,Sel_Payment="All")),1,0)</f>
        <v>0</v>
      </c>
    </row>
    <row r="1795" spans="1:20">
      <c r="A1795" s="4">
        <v>45267</v>
      </c>
      <c r="B1795">
        <v>2023</v>
      </c>
      <c r="C1795">
        <v>12</v>
      </c>
      <c r="D1795" s="5" t="s">
        <v>54</v>
      </c>
      <c r="E1795" s="5" t="s">
        <v>70</v>
      </c>
      <c r="F1795" s="5" t="s">
        <v>71</v>
      </c>
      <c r="G1795" s="5" t="s">
        <v>72</v>
      </c>
      <c r="H1795" s="5" t="s">
        <v>57</v>
      </c>
      <c r="I1795" s="5" t="s">
        <v>58</v>
      </c>
      <c r="J1795" s="5" t="s">
        <v>59</v>
      </c>
      <c r="K1795">
        <v>5</v>
      </c>
      <c r="L1795">
        <v>1422761</v>
      </c>
      <c r="M1795" s="26">
        <v>7113805</v>
      </c>
      <c r="N1795">
        <v>22304</v>
      </c>
      <c r="O1795" s="26">
        <v>594120.54</v>
      </c>
      <c r="P1795" s="5" t="s">
        <v>50</v>
      </c>
      <c r="Q1795" s="5" t="s">
        <v>43</v>
      </c>
      <c r="R1795">
        <v>4.5</v>
      </c>
      <c r="S1795">
        <v>17</v>
      </c>
      <c r="T1795">
        <f t="shared" si="28"/>
        <v>0</v>
      </c>
    </row>
    <row r="1796" spans="1:20">
      <c r="A1796" s="4">
        <v>45283</v>
      </c>
      <c r="B1796">
        <v>2023</v>
      </c>
      <c r="C1796">
        <v>12</v>
      </c>
      <c r="D1796" s="5" t="s">
        <v>35</v>
      </c>
      <c r="E1796" s="5" t="s">
        <v>60</v>
      </c>
      <c r="F1796" s="5" t="s">
        <v>61</v>
      </c>
      <c r="G1796" s="5" t="s">
        <v>62</v>
      </c>
      <c r="H1796" s="5" t="s">
        <v>48</v>
      </c>
      <c r="I1796" s="5" t="s">
        <v>40</v>
      </c>
      <c r="J1796" s="5" t="s">
        <v>49</v>
      </c>
      <c r="K1796">
        <v>19</v>
      </c>
      <c r="L1796">
        <v>427712</v>
      </c>
      <c r="M1796" s="26">
        <v>8126528</v>
      </c>
      <c r="N1796">
        <v>30433</v>
      </c>
      <c r="O1796" s="26">
        <v>686356.18</v>
      </c>
      <c r="P1796" s="5" t="s">
        <v>50</v>
      </c>
      <c r="Q1796" s="5" t="s">
        <v>51</v>
      </c>
      <c r="R1796">
        <v>3.7</v>
      </c>
      <c r="S1796">
        <v>5</v>
      </c>
      <c r="T1796">
        <f t="shared" si="28"/>
        <v>0</v>
      </c>
    </row>
    <row r="1797" spans="1:20">
      <c r="A1797" s="4">
        <v>45274</v>
      </c>
      <c r="B1797">
        <v>2023</v>
      </c>
      <c r="C1797">
        <v>12</v>
      </c>
      <c r="D1797" s="5" t="s">
        <v>44</v>
      </c>
      <c r="E1797" s="5" t="s">
        <v>45</v>
      </c>
      <c r="F1797" s="5" t="s">
        <v>46</v>
      </c>
      <c r="G1797" s="5" t="s">
        <v>47</v>
      </c>
      <c r="H1797" s="5" t="s">
        <v>39</v>
      </c>
      <c r="I1797" s="5" t="s">
        <v>40</v>
      </c>
      <c r="J1797" s="5" t="s">
        <v>41</v>
      </c>
      <c r="K1797">
        <v>7</v>
      </c>
      <c r="L1797">
        <v>581896</v>
      </c>
      <c r="M1797" s="26">
        <v>4073272</v>
      </c>
      <c r="N1797">
        <v>42541</v>
      </c>
      <c r="O1797" s="26">
        <v>426343.71</v>
      </c>
      <c r="P1797" s="5" t="s">
        <v>42</v>
      </c>
      <c r="Q1797" s="5" t="s">
        <v>75</v>
      </c>
      <c r="R1797">
        <v>4</v>
      </c>
      <c r="S1797">
        <v>5</v>
      </c>
      <c r="T1797">
        <f t="shared" si="28"/>
        <v>1</v>
      </c>
    </row>
    <row r="1798" spans="1:20">
      <c r="A1798" s="4">
        <v>45279</v>
      </c>
      <c r="B1798">
        <v>2023</v>
      </c>
      <c r="C1798">
        <v>12</v>
      </c>
      <c r="D1798" s="5" t="s">
        <v>44</v>
      </c>
      <c r="E1798" s="5" t="s">
        <v>45</v>
      </c>
      <c r="F1798" s="5" t="s">
        <v>46</v>
      </c>
      <c r="G1798" s="5" t="s">
        <v>47</v>
      </c>
      <c r="H1798" s="5" t="s">
        <v>48</v>
      </c>
      <c r="I1798" s="5" t="s">
        <v>40</v>
      </c>
      <c r="J1798" s="5" t="s">
        <v>49</v>
      </c>
      <c r="K1798">
        <v>36</v>
      </c>
      <c r="L1798">
        <v>426719</v>
      </c>
      <c r="M1798" s="26">
        <v>15361884</v>
      </c>
      <c r="N1798">
        <v>20955</v>
      </c>
      <c r="O1798" s="26">
        <v>1277179.9099999999</v>
      </c>
      <c r="P1798" s="5" t="s">
        <v>50</v>
      </c>
      <c r="Q1798" s="5" t="s">
        <v>43</v>
      </c>
      <c r="R1798">
        <v>4.7</v>
      </c>
      <c r="S1798">
        <v>20</v>
      </c>
      <c r="T1798">
        <f t="shared" si="28"/>
        <v>0</v>
      </c>
    </row>
    <row r="1799" spans="1:20">
      <c r="A1799" s="4">
        <v>45282</v>
      </c>
      <c r="B1799">
        <v>2023</v>
      </c>
      <c r="C1799">
        <v>12</v>
      </c>
      <c r="D1799" s="5" t="s">
        <v>54</v>
      </c>
      <c r="E1799" s="5" t="s">
        <v>70</v>
      </c>
      <c r="F1799" s="5" t="s">
        <v>71</v>
      </c>
      <c r="G1799" s="5" t="s">
        <v>72</v>
      </c>
      <c r="H1799" s="5" t="s">
        <v>65</v>
      </c>
      <c r="I1799" s="5" t="s">
        <v>53</v>
      </c>
      <c r="J1799" s="5" t="s">
        <v>49</v>
      </c>
      <c r="K1799">
        <v>45</v>
      </c>
      <c r="L1799">
        <v>1222101</v>
      </c>
      <c r="M1799" s="26">
        <v>54994545</v>
      </c>
      <c r="N1799">
        <v>22465</v>
      </c>
      <c r="O1799" s="26">
        <v>6538765.7800000003</v>
      </c>
      <c r="P1799" s="5" t="s">
        <v>42</v>
      </c>
      <c r="Q1799" s="5" t="s">
        <v>75</v>
      </c>
      <c r="R1799">
        <v>3.8</v>
      </c>
      <c r="S1799">
        <v>11</v>
      </c>
      <c r="T1799">
        <f t="shared" si="28"/>
        <v>1</v>
      </c>
    </row>
    <row r="1800" spans="1:20">
      <c r="A1800" s="4">
        <v>45284</v>
      </c>
      <c r="B1800">
        <v>2023</v>
      </c>
      <c r="C1800">
        <v>12</v>
      </c>
      <c r="D1800" s="5" t="s">
        <v>35</v>
      </c>
      <c r="E1800" s="5" t="s">
        <v>60</v>
      </c>
      <c r="F1800" s="5" t="s">
        <v>61</v>
      </c>
      <c r="G1800" s="5" t="s">
        <v>62</v>
      </c>
      <c r="H1800" s="5" t="s">
        <v>85</v>
      </c>
      <c r="I1800" s="5" t="s">
        <v>58</v>
      </c>
      <c r="J1800" s="5" t="s">
        <v>49</v>
      </c>
      <c r="K1800">
        <v>32</v>
      </c>
      <c r="L1800">
        <v>1003912</v>
      </c>
      <c r="M1800" s="26">
        <v>32125184</v>
      </c>
      <c r="N1800">
        <v>37084</v>
      </c>
      <c r="O1800" s="26">
        <v>3671960.42</v>
      </c>
      <c r="P1800" s="5" t="s">
        <v>50</v>
      </c>
      <c r="Q1800" s="5" t="s">
        <v>75</v>
      </c>
      <c r="R1800">
        <v>4.0999999999999996</v>
      </c>
      <c r="S1800">
        <v>6</v>
      </c>
      <c r="T1800">
        <f t="shared" si="28"/>
        <v>0</v>
      </c>
    </row>
    <row r="1801" spans="1:20">
      <c r="A1801" s="4">
        <v>45281</v>
      </c>
      <c r="B1801">
        <v>2023</v>
      </c>
      <c r="C1801">
        <v>12</v>
      </c>
      <c r="D1801" s="5" t="s">
        <v>35</v>
      </c>
      <c r="E1801" s="5" t="s">
        <v>60</v>
      </c>
      <c r="F1801" s="5" t="s">
        <v>61</v>
      </c>
      <c r="G1801" s="5" t="s">
        <v>62</v>
      </c>
      <c r="H1801" s="5" t="s">
        <v>52</v>
      </c>
      <c r="I1801" s="5" t="s">
        <v>53</v>
      </c>
      <c r="J1801" s="5" t="s">
        <v>41</v>
      </c>
      <c r="K1801">
        <v>6</v>
      </c>
      <c r="L1801">
        <v>960440</v>
      </c>
      <c r="M1801" s="26">
        <v>5762640</v>
      </c>
      <c r="N1801">
        <v>33910</v>
      </c>
      <c r="O1801" s="26">
        <v>679938.58</v>
      </c>
      <c r="P1801" s="5" t="s">
        <v>42</v>
      </c>
      <c r="Q1801" s="5" t="s">
        <v>75</v>
      </c>
      <c r="R1801">
        <v>4.5</v>
      </c>
      <c r="S1801">
        <v>6</v>
      </c>
      <c r="T1801">
        <f t="shared" si="28"/>
        <v>1</v>
      </c>
    </row>
    <row r="1802" spans="1:20">
      <c r="A1802" s="4">
        <v>45314</v>
      </c>
      <c r="B1802">
        <v>2024</v>
      </c>
      <c r="C1802">
        <v>1</v>
      </c>
      <c r="D1802" s="5" t="s">
        <v>35</v>
      </c>
      <c r="E1802" s="5" t="s">
        <v>60</v>
      </c>
      <c r="F1802" s="5" t="s">
        <v>61</v>
      </c>
      <c r="G1802" s="5" t="s">
        <v>62</v>
      </c>
      <c r="H1802" s="5" t="s">
        <v>86</v>
      </c>
      <c r="I1802" s="5" t="s">
        <v>40</v>
      </c>
      <c r="J1802" s="5" t="s">
        <v>41</v>
      </c>
      <c r="K1802">
        <v>33</v>
      </c>
      <c r="L1802">
        <v>582348</v>
      </c>
      <c r="M1802" s="26">
        <v>19217484</v>
      </c>
      <c r="N1802">
        <v>49645</v>
      </c>
      <c r="O1802" s="26">
        <v>2432091.96</v>
      </c>
      <c r="P1802" s="5" t="s">
        <v>42</v>
      </c>
      <c r="Q1802" s="5" t="s">
        <v>75</v>
      </c>
      <c r="R1802">
        <v>4.3</v>
      </c>
      <c r="S1802">
        <v>8</v>
      </c>
      <c r="T1802">
        <f t="shared" si="28"/>
        <v>1</v>
      </c>
    </row>
    <row r="1803" spans="1:20">
      <c r="A1803" s="4">
        <v>45308</v>
      </c>
      <c r="B1803">
        <v>2024</v>
      </c>
      <c r="C1803">
        <v>1</v>
      </c>
      <c r="D1803" s="5" t="s">
        <v>54</v>
      </c>
      <c r="E1803" s="5" t="s">
        <v>70</v>
      </c>
      <c r="F1803" s="5" t="s">
        <v>71</v>
      </c>
      <c r="G1803" s="5" t="s">
        <v>72</v>
      </c>
      <c r="H1803" s="5" t="s">
        <v>80</v>
      </c>
      <c r="I1803" s="5" t="s">
        <v>81</v>
      </c>
      <c r="J1803" s="5" t="s">
        <v>41</v>
      </c>
      <c r="K1803">
        <v>19</v>
      </c>
      <c r="L1803">
        <v>538828</v>
      </c>
      <c r="M1803" s="26">
        <v>10237732</v>
      </c>
      <c r="N1803">
        <v>36162</v>
      </c>
      <c r="O1803" s="26">
        <v>1052904.82</v>
      </c>
      <c r="P1803" s="5" t="s">
        <v>42</v>
      </c>
      <c r="Q1803" s="5" t="s">
        <v>43</v>
      </c>
      <c r="R1803">
        <v>4.9000000000000004</v>
      </c>
      <c r="S1803">
        <v>11</v>
      </c>
      <c r="T1803">
        <f t="shared" si="28"/>
        <v>1</v>
      </c>
    </row>
    <row r="1804" spans="1:20">
      <c r="A1804" s="4">
        <v>45312</v>
      </c>
      <c r="B1804">
        <v>2024</v>
      </c>
      <c r="C1804">
        <v>1</v>
      </c>
      <c r="D1804" s="5" t="s">
        <v>54</v>
      </c>
      <c r="E1804" s="5" t="s">
        <v>70</v>
      </c>
      <c r="F1804" s="5" t="s">
        <v>71</v>
      </c>
      <c r="G1804" s="5" t="s">
        <v>72</v>
      </c>
      <c r="H1804" s="5" t="s">
        <v>65</v>
      </c>
      <c r="I1804" s="5" t="s">
        <v>53</v>
      </c>
      <c r="J1804" s="5" t="s">
        <v>49</v>
      </c>
      <c r="K1804">
        <v>55</v>
      </c>
      <c r="L1804">
        <v>1261228</v>
      </c>
      <c r="M1804" s="26">
        <v>69367540</v>
      </c>
      <c r="N1804">
        <v>35850</v>
      </c>
      <c r="O1804" s="26">
        <v>8097424.1600000001</v>
      </c>
      <c r="P1804" s="5" t="s">
        <v>42</v>
      </c>
      <c r="Q1804" s="5" t="s">
        <v>43</v>
      </c>
      <c r="R1804">
        <v>4.2</v>
      </c>
      <c r="S1804">
        <v>8</v>
      </c>
      <c r="T1804">
        <f t="shared" si="28"/>
        <v>1</v>
      </c>
    </row>
    <row r="1805" spans="1:20">
      <c r="A1805" s="4">
        <v>45306</v>
      </c>
      <c r="B1805">
        <v>2024</v>
      </c>
      <c r="C1805">
        <v>1</v>
      </c>
      <c r="D1805" s="5" t="s">
        <v>35</v>
      </c>
      <c r="E1805" s="5" t="s">
        <v>76</v>
      </c>
      <c r="F1805" s="5" t="s">
        <v>77</v>
      </c>
      <c r="G1805" s="5" t="s">
        <v>78</v>
      </c>
      <c r="H1805" s="5" t="s">
        <v>86</v>
      </c>
      <c r="I1805" s="5" t="s">
        <v>40</v>
      </c>
      <c r="J1805" s="5" t="s">
        <v>41</v>
      </c>
      <c r="K1805">
        <v>59</v>
      </c>
      <c r="L1805">
        <v>583889</v>
      </c>
      <c r="M1805" s="26">
        <v>34449451</v>
      </c>
      <c r="N1805">
        <v>27610</v>
      </c>
      <c r="O1805" s="26">
        <v>5441545.8200000003</v>
      </c>
      <c r="P1805" s="5" t="s">
        <v>42</v>
      </c>
      <c r="Q1805" s="5" t="s">
        <v>51</v>
      </c>
      <c r="R1805">
        <v>4.7</v>
      </c>
      <c r="S1805">
        <v>20</v>
      </c>
      <c r="T1805">
        <f t="shared" si="28"/>
        <v>1</v>
      </c>
    </row>
    <row r="1806" spans="1:20">
      <c r="A1806" s="4">
        <v>45312</v>
      </c>
      <c r="B1806">
        <v>2024</v>
      </c>
      <c r="C1806">
        <v>1</v>
      </c>
      <c r="D1806" s="5" t="s">
        <v>54</v>
      </c>
      <c r="E1806" s="5" t="s">
        <v>55</v>
      </c>
      <c r="F1806" s="5" t="s">
        <v>55</v>
      </c>
      <c r="G1806" s="5" t="s">
        <v>56</v>
      </c>
      <c r="H1806" s="5" t="s">
        <v>79</v>
      </c>
      <c r="I1806" s="5" t="s">
        <v>58</v>
      </c>
      <c r="J1806" s="5" t="s">
        <v>49</v>
      </c>
      <c r="K1806">
        <v>24</v>
      </c>
      <c r="L1806">
        <v>921414</v>
      </c>
      <c r="M1806" s="26">
        <v>22113936</v>
      </c>
      <c r="N1806">
        <v>19788</v>
      </c>
      <c r="O1806" s="26">
        <v>3268144.14</v>
      </c>
      <c r="P1806" s="5" t="s">
        <v>50</v>
      </c>
      <c r="Q1806" s="5" t="s">
        <v>43</v>
      </c>
      <c r="R1806">
        <v>4.3</v>
      </c>
      <c r="S1806">
        <v>16</v>
      </c>
      <c r="T1806">
        <f t="shared" si="28"/>
        <v>0</v>
      </c>
    </row>
    <row r="1807" spans="1:20">
      <c r="A1807" s="4">
        <v>45307</v>
      </c>
      <c r="B1807">
        <v>2024</v>
      </c>
      <c r="C1807">
        <v>1</v>
      </c>
      <c r="D1807" s="5" t="s">
        <v>44</v>
      </c>
      <c r="E1807" s="5" t="s">
        <v>82</v>
      </c>
      <c r="F1807" s="5" t="s">
        <v>83</v>
      </c>
      <c r="G1807" s="5" t="s">
        <v>84</v>
      </c>
      <c r="H1807" s="5" t="s">
        <v>57</v>
      </c>
      <c r="I1807" s="5" t="s">
        <v>58</v>
      </c>
      <c r="J1807" s="5" t="s">
        <v>59</v>
      </c>
      <c r="K1807">
        <v>16</v>
      </c>
      <c r="L1807">
        <v>1404285</v>
      </c>
      <c r="M1807" s="26">
        <v>22468560</v>
      </c>
      <c r="N1807">
        <v>19007</v>
      </c>
      <c r="O1807" s="26">
        <v>3472032.03</v>
      </c>
      <c r="P1807" s="5" t="s">
        <v>42</v>
      </c>
      <c r="Q1807" s="5" t="s">
        <v>43</v>
      </c>
      <c r="R1807">
        <v>4.5999999999999996</v>
      </c>
      <c r="S1807">
        <v>10</v>
      </c>
      <c r="T1807">
        <f t="shared" si="28"/>
        <v>1</v>
      </c>
    </row>
    <row r="1808" spans="1:20">
      <c r="A1808" s="4">
        <v>45316</v>
      </c>
      <c r="B1808">
        <v>2024</v>
      </c>
      <c r="C1808">
        <v>1</v>
      </c>
      <c r="D1808" s="5" t="s">
        <v>35</v>
      </c>
      <c r="E1808" s="5" t="s">
        <v>60</v>
      </c>
      <c r="F1808" s="5" t="s">
        <v>61</v>
      </c>
      <c r="G1808" s="5" t="s">
        <v>62</v>
      </c>
      <c r="H1808" s="5" t="s">
        <v>39</v>
      </c>
      <c r="I1808" s="5" t="s">
        <v>40</v>
      </c>
      <c r="J1808" s="5" t="s">
        <v>41</v>
      </c>
      <c r="K1808">
        <v>31</v>
      </c>
      <c r="L1808">
        <v>566660</v>
      </c>
      <c r="M1808" s="26">
        <v>17566460</v>
      </c>
      <c r="N1808">
        <v>13672</v>
      </c>
      <c r="O1808" s="26">
        <v>1482110.36</v>
      </c>
      <c r="P1808" s="5" t="s">
        <v>50</v>
      </c>
      <c r="Q1808" s="5" t="s">
        <v>51</v>
      </c>
      <c r="R1808">
        <v>4.5999999999999996</v>
      </c>
      <c r="S1808">
        <v>13</v>
      </c>
      <c r="T1808">
        <f t="shared" si="28"/>
        <v>0</v>
      </c>
    </row>
    <row r="1809" spans="1:20">
      <c r="A1809" s="4">
        <v>45299</v>
      </c>
      <c r="B1809">
        <v>2024</v>
      </c>
      <c r="C1809">
        <v>1</v>
      </c>
      <c r="D1809" s="5" t="s">
        <v>35</v>
      </c>
      <c r="E1809" s="5" t="s">
        <v>76</v>
      </c>
      <c r="F1809" s="5" t="s">
        <v>77</v>
      </c>
      <c r="G1809" s="5" t="s">
        <v>78</v>
      </c>
      <c r="H1809" s="5" t="s">
        <v>85</v>
      </c>
      <c r="I1809" s="5" t="s">
        <v>58</v>
      </c>
      <c r="J1809" s="5" t="s">
        <v>49</v>
      </c>
      <c r="K1809">
        <v>46</v>
      </c>
      <c r="L1809">
        <v>968304</v>
      </c>
      <c r="M1809" s="26">
        <v>44541984</v>
      </c>
      <c r="N1809">
        <v>19378</v>
      </c>
      <c r="O1809" s="26">
        <v>4953564.2300000004</v>
      </c>
      <c r="P1809" s="5" t="s">
        <v>50</v>
      </c>
      <c r="Q1809" s="5" t="s">
        <v>51</v>
      </c>
      <c r="R1809">
        <v>4.9000000000000004</v>
      </c>
      <c r="S1809">
        <v>20</v>
      </c>
      <c r="T1809">
        <f t="shared" si="28"/>
        <v>0</v>
      </c>
    </row>
    <row r="1810" spans="1:20">
      <c r="A1810" s="4">
        <v>45307</v>
      </c>
      <c r="B1810">
        <v>2024</v>
      </c>
      <c r="C1810">
        <v>1</v>
      </c>
      <c r="D1810" s="5" t="s">
        <v>35</v>
      </c>
      <c r="E1810" s="5" t="s">
        <v>60</v>
      </c>
      <c r="F1810" s="5" t="s">
        <v>61</v>
      </c>
      <c r="G1810" s="5" t="s">
        <v>62</v>
      </c>
      <c r="H1810" s="5" t="s">
        <v>39</v>
      </c>
      <c r="I1810" s="5" t="s">
        <v>40</v>
      </c>
      <c r="J1810" s="5" t="s">
        <v>41</v>
      </c>
      <c r="K1810">
        <v>34</v>
      </c>
      <c r="L1810">
        <v>572620</v>
      </c>
      <c r="M1810" s="26">
        <v>19469080</v>
      </c>
      <c r="N1810">
        <v>30849</v>
      </c>
      <c r="O1810" s="26">
        <v>2553437.1</v>
      </c>
      <c r="P1810" s="5" t="s">
        <v>50</v>
      </c>
      <c r="Q1810" s="5" t="s">
        <v>43</v>
      </c>
      <c r="R1810">
        <v>4.5999999999999996</v>
      </c>
      <c r="S1810">
        <v>12</v>
      </c>
      <c r="T1810">
        <f t="shared" si="28"/>
        <v>0</v>
      </c>
    </row>
    <row r="1811" spans="1:20">
      <c r="A1811" s="4">
        <v>45319</v>
      </c>
      <c r="B1811">
        <v>2024</v>
      </c>
      <c r="C1811">
        <v>1</v>
      </c>
      <c r="D1811" s="5" t="s">
        <v>54</v>
      </c>
      <c r="E1811" s="5" t="s">
        <v>55</v>
      </c>
      <c r="F1811" s="5" t="s">
        <v>55</v>
      </c>
      <c r="G1811" s="5" t="s">
        <v>56</v>
      </c>
      <c r="H1811" s="5" t="s">
        <v>65</v>
      </c>
      <c r="I1811" s="5" t="s">
        <v>53</v>
      </c>
      <c r="J1811" s="5" t="s">
        <v>49</v>
      </c>
      <c r="K1811">
        <v>36</v>
      </c>
      <c r="L1811">
        <v>1244364</v>
      </c>
      <c r="M1811" s="26">
        <v>44797104</v>
      </c>
      <c r="N1811">
        <v>16573</v>
      </c>
      <c r="O1811" s="26">
        <v>6771923.9400000004</v>
      </c>
      <c r="P1811" s="5" t="s">
        <v>50</v>
      </c>
      <c r="Q1811" s="5" t="s">
        <v>43</v>
      </c>
      <c r="R1811">
        <v>4.8</v>
      </c>
      <c r="S1811">
        <v>16</v>
      </c>
      <c r="T1811">
        <f t="shared" si="28"/>
        <v>0</v>
      </c>
    </row>
    <row r="1812" spans="1:20">
      <c r="A1812" s="4">
        <v>45302</v>
      </c>
      <c r="B1812">
        <v>2024</v>
      </c>
      <c r="C1812">
        <v>1</v>
      </c>
      <c r="D1812" s="5" t="s">
        <v>35</v>
      </c>
      <c r="E1812" s="5" t="s">
        <v>60</v>
      </c>
      <c r="F1812" s="5" t="s">
        <v>61</v>
      </c>
      <c r="G1812" s="5" t="s">
        <v>62</v>
      </c>
      <c r="H1812" s="5" t="s">
        <v>74</v>
      </c>
      <c r="I1812" s="5" t="s">
        <v>40</v>
      </c>
      <c r="J1812" s="5" t="s">
        <v>49</v>
      </c>
      <c r="K1812">
        <v>17</v>
      </c>
      <c r="L1812">
        <v>648266</v>
      </c>
      <c r="M1812" s="26">
        <v>11020522</v>
      </c>
      <c r="N1812">
        <v>22337</v>
      </c>
      <c r="O1812" s="26">
        <v>1175504.8500000001</v>
      </c>
      <c r="P1812" s="5" t="s">
        <v>50</v>
      </c>
      <c r="Q1812" s="5" t="s">
        <v>75</v>
      </c>
      <c r="R1812">
        <v>4.0999999999999996</v>
      </c>
      <c r="S1812">
        <v>15</v>
      </c>
      <c r="T1812">
        <f t="shared" si="28"/>
        <v>0</v>
      </c>
    </row>
    <row r="1813" spans="1:20">
      <c r="A1813" s="4">
        <v>45305</v>
      </c>
      <c r="B1813">
        <v>2024</v>
      </c>
      <c r="C1813">
        <v>1</v>
      </c>
      <c r="D1813" s="5" t="s">
        <v>35</v>
      </c>
      <c r="E1813" s="5" t="s">
        <v>60</v>
      </c>
      <c r="F1813" s="5" t="s">
        <v>61</v>
      </c>
      <c r="G1813" s="5" t="s">
        <v>62</v>
      </c>
      <c r="H1813" s="5" t="s">
        <v>74</v>
      </c>
      <c r="I1813" s="5" t="s">
        <v>40</v>
      </c>
      <c r="J1813" s="5" t="s">
        <v>49</v>
      </c>
      <c r="K1813">
        <v>29</v>
      </c>
      <c r="L1813">
        <v>660984</v>
      </c>
      <c r="M1813" s="26">
        <v>19168536</v>
      </c>
      <c r="N1813">
        <v>38119</v>
      </c>
      <c r="O1813" s="26">
        <v>2921366.53</v>
      </c>
      <c r="P1813" s="5" t="s">
        <v>42</v>
      </c>
      <c r="Q1813" s="5" t="s">
        <v>43</v>
      </c>
      <c r="R1813">
        <v>4.9000000000000004</v>
      </c>
      <c r="S1813">
        <v>3</v>
      </c>
      <c r="T1813">
        <f t="shared" si="28"/>
        <v>1</v>
      </c>
    </row>
    <row r="1814" spans="1:20">
      <c r="A1814" s="4">
        <v>45302</v>
      </c>
      <c r="B1814">
        <v>2024</v>
      </c>
      <c r="C1814">
        <v>1</v>
      </c>
      <c r="D1814" s="5" t="s">
        <v>35</v>
      </c>
      <c r="E1814" s="5" t="s">
        <v>36</v>
      </c>
      <c r="F1814" s="5" t="s">
        <v>37</v>
      </c>
      <c r="G1814" s="5" t="s">
        <v>38</v>
      </c>
      <c r="H1814" s="5" t="s">
        <v>79</v>
      </c>
      <c r="I1814" s="5" t="s">
        <v>58</v>
      </c>
      <c r="J1814" s="5" t="s">
        <v>49</v>
      </c>
      <c r="K1814">
        <v>21</v>
      </c>
      <c r="L1814">
        <v>904199</v>
      </c>
      <c r="M1814" s="26">
        <v>18988179</v>
      </c>
      <c r="N1814">
        <v>25935</v>
      </c>
      <c r="O1814" s="26">
        <v>2059693.44</v>
      </c>
      <c r="P1814" s="5" t="s">
        <v>50</v>
      </c>
      <c r="Q1814" s="5" t="s">
        <v>51</v>
      </c>
      <c r="R1814">
        <v>4.5999999999999996</v>
      </c>
      <c r="S1814">
        <v>19</v>
      </c>
      <c r="T1814">
        <f t="shared" si="28"/>
        <v>0</v>
      </c>
    </row>
    <row r="1815" spans="1:20">
      <c r="A1815" s="4">
        <v>45296</v>
      </c>
      <c r="B1815">
        <v>2024</v>
      </c>
      <c r="C1815">
        <v>1</v>
      </c>
      <c r="D1815" s="5" t="s">
        <v>54</v>
      </c>
      <c r="E1815" s="5" t="s">
        <v>55</v>
      </c>
      <c r="F1815" s="5" t="s">
        <v>55</v>
      </c>
      <c r="G1815" s="5" t="s">
        <v>56</v>
      </c>
      <c r="H1815" s="5" t="s">
        <v>39</v>
      </c>
      <c r="I1815" s="5" t="s">
        <v>40</v>
      </c>
      <c r="J1815" s="5" t="s">
        <v>41</v>
      </c>
      <c r="K1815">
        <v>45</v>
      </c>
      <c r="L1815">
        <v>603345</v>
      </c>
      <c r="M1815" s="26">
        <v>27150525</v>
      </c>
      <c r="N1815">
        <v>40836</v>
      </c>
      <c r="O1815" s="26">
        <v>4131393.7</v>
      </c>
      <c r="P1815" s="5" t="s">
        <v>42</v>
      </c>
      <c r="Q1815" s="5" t="s">
        <v>43</v>
      </c>
      <c r="R1815">
        <v>4.5999999999999996</v>
      </c>
      <c r="S1815">
        <v>3</v>
      </c>
      <c r="T1815">
        <f t="shared" si="28"/>
        <v>1</v>
      </c>
    </row>
    <row r="1816" spans="1:20">
      <c r="A1816" s="4">
        <v>45296</v>
      </c>
      <c r="B1816">
        <v>2024</v>
      </c>
      <c r="C1816">
        <v>1</v>
      </c>
      <c r="D1816" s="5" t="s">
        <v>35</v>
      </c>
      <c r="E1816" s="5" t="s">
        <v>36</v>
      </c>
      <c r="F1816" s="5" t="s">
        <v>37</v>
      </c>
      <c r="G1816" s="5" t="s">
        <v>38</v>
      </c>
      <c r="H1816" s="5" t="s">
        <v>48</v>
      </c>
      <c r="I1816" s="5" t="s">
        <v>40</v>
      </c>
      <c r="J1816" s="5" t="s">
        <v>49</v>
      </c>
      <c r="K1816">
        <v>40</v>
      </c>
      <c r="L1816">
        <v>457027</v>
      </c>
      <c r="M1816" s="26">
        <v>18281080</v>
      </c>
      <c r="N1816">
        <v>11237</v>
      </c>
      <c r="O1816" s="26">
        <v>2177668.8199999998</v>
      </c>
      <c r="P1816" s="5" t="s">
        <v>42</v>
      </c>
      <c r="Q1816" s="5" t="s">
        <v>75</v>
      </c>
      <c r="R1816">
        <v>4.5</v>
      </c>
      <c r="S1816">
        <v>18</v>
      </c>
      <c r="T1816">
        <f t="shared" si="28"/>
        <v>1</v>
      </c>
    </row>
    <row r="1817" spans="1:20">
      <c r="A1817" s="4">
        <v>45293</v>
      </c>
      <c r="B1817">
        <v>2024</v>
      </c>
      <c r="C1817">
        <v>1</v>
      </c>
      <c r="D1817" s="5" t="s">
        <v>35</v>
      </c>
      <c r="E1817" s="5" t="s">
        <v>76</v>
      </c>
      <c r="F1817" s="5" t="s">
        <v>77</v>
      </c>
      <c r="G1817" s="5" t="s">
        <v>78</v>
      </c>
      <c r="H1817" s="5" t="s">
        <v>63</v>
      </c>
      <c r="I1817" s="5" t="s">
        <v>64</v>
      </c>
      <c r="J1817" s="5" t="s">
        <v>41</v>
      </c>
      <c r="K1817">
        <v>25</v>
      </c>
      <c r="L1817">
        <v>763056</v>
      </c>
      <c r="M1817" s="26">
        <v>19076400</v>
      </c>
      <c r="N1817">
        <v>49693</v>
      </c>
      <c r="O1817" s="26">
        <v>2079206.24</v>
      </c>
      <c r="P1817" s="5" t="s">
        <v>42</v>
      </c>
      <c r="Q1817" s="5" t="s">
        <v>43</v>
      </c>
      <c r="R1817">
        <v>4.3</v>
      </c>
      <c r="S1817">
        <v>21</v>
      </c>
      <c r="T1817">
        <f t="shared" si="28"/>
        <v>1</v>
      </c>
    </row>
    <row r="1818" spans="1:20">
      <c r="A1818" s="4">
        <v>45319</v>
      </c>
      <c r="B1818">
        <v>2024</v>
      </c>
      <c r="C1818">
        <v>1</v>
      </c>
      <c r="D1818" s="5" t="s">
        <v>54</v>
      </c>
      <c r="E1818" s="5" t="s">
        <v>55</v>
      </c>
      <c r="F1818" s="5" t="s">
        <v>55</v>
      </c>
      <c r="G1818" s="5" t="s">
        <v>56</v>
      </c>
      <c r="H1818" s="5" t="s">
        <v>39</v>
      </c>
      <c r="I1818" s="5" t="s">
        <v>40</v>
      </c>
      <c r="J1818" s="5" t="s">
        <v>41</v>
      </c>
      <c r="K1818">
        <v>29</v>
      </c>
      <c r="L1818">
        <v>581641</v>
      </c>
      <c r="M1818" s="26">
        <v>16867589</v>
      </c>
      <c r="N1818">
        <v>10442</v>
      </c>
      <c r="O1818" s="26">
        <v>1414522.32</v>
      </c>
      <c r="P1818" s="5" t="s">
        <v>42</v>
      </c>
      <c r="Q1818" s="5" t="s">
        <v>75</v>
      </c>
      <c r="R1818">
        <v>4.9000000000000004</v>
      </c>
      <c r="S1818">
        <v>15</v>
      </c>
      <c r="T1818">
        <f t="shared" si="28"/>
        <v>1</v>
      </c>
    </row>
    <row r="1819" spans="1:20">
      <c r="A1819" s="4">
        <v>45297</v>
      </c>
      <c r="B1819">
        <v>2024</v>
      </c>
      <c r="C1819">
        <v>1</v>
      </c>
      <c r="D1819" s="5" t="s">
        <v>54</v>
      </c>
      <c r="E1819" s="5" t="s">
        <v>70</v>
      </c>
      <c r="F1819" s="5" t="s">
        <v>71</v>
      </c>
      <c r="G1819" s="5" t="s">
        <v>72</v>
      </c>
      <c r="H1819" s="5" t="s">
        <v>65</v>
      </c>
      <c r="I1819" s="5" t="s">
        <v>53</v>
      </c>
      <c r="J1819" s="5" t="s">
        <v>49</v>
      </c>
      <c r="K1819">
        <v>9</v>
      </c>
      <c r="L1819">
        <v>1255403</v>
      </c>
      <c r="M1819" s="26">
        <v>11298627</v>
      </c>
      <c r="N1819">
        <v>49776</v>
      </c>
      <c r="O1819" s="26">
        <v>1650243.05</v>
      </c>
      <c r="P1819" s="5" t="s">
        <v>50</v>
      </c>
      <c r="Q1819" s="5" t="s">
        <v>43</v>
      </c>
      <c r="R1819">
        <v>4.8</v>
      </c>
      <c r="S1819">
        <v>10</v>
      </c>
      <c r="T1819">
        <f t="shared" si="28"/>
        <v>0</v>
      </c>
    </row>
    <row r="1820" spans="1:20">
      <c r="A1820" s="4">
        <v>45318</v>
      </c>
      <c r="B1820">
        <v>2024</v>
      </c>
      <c r="C1820">
        <v>1</v>
      </c>
      <c r="D1820" s="5" t="s">
        <v>54</v>
      </c>
      <c r="E1820" s="5" t="s">
        <v>55</v>
      </c>
      <c r="F1820" s="5" t="s">
        <v>55</v>
      </c>
      <c r="G1820" s="5" t="s">
        <v>56</v>
      </c>
      <c r="H1820" s="5" t="s">
        <v>86</v>
      </c>
      <c r="I1820" s="5" t="s">
        <v>40</v>
      </c>
      <c r="J1820" s="5" t="s">
        <v>41</v>
      </c>
      <c r="K1820">
        <v>42</v>
      </c>
      <c r="L1820">
        <v>604396</v>
      </c>
      <c r="M1820" s="26">
        <v>25384632</v>
      </c>
      <c r="N1820">
        <v>33411</v>
      </c>
      <c r="O1820" s="26">
        <v>3836759.83</v>
      </c>
      <c r="P1820" s="5" t="s">
        <v>50</v>
      </c>
      <c r="Q1820" s="5" t="s">
        <v>51</v>
      </c>
      <c r="R1820">
        <v>4.3</v>
      </c>
      <c r="S1820">
        <v>10</v>
      </c>
      <c r="T1820">
        <f t="shared" si="28"/>
        <v>0</v>
      </c>
    </row>
    <row r="1821" spans="1:20">
      <c r="A1821" s="4">
        <v>45312</v>
      </c>
      <c r="B1821">
        <v>2024</v>
      </c>
      <c r="C1821">
        <v>1</v>
      </c>
      <c r="D1821" s="5" t="s">
        <v>35</v>
      </c>
      <c r="E1821" s="5" t="s">
        <v>76</v>
      </c>
      <c r="F1821" s="5" t="s">
        <v>77</v>
      </c>
      <c r="G1821" s="5" t="s">
        <v>78</v>
      </c>
      <c r="H1821" s="5" t="s">
        <v>73</v>
      </c>
      <c r="I1821" s="5" t="s">
        <v>40</v>
      </c>
      <c r="J1821" s="5" t="s">
        <v>49</v>
      </c>
      <c r="K1821">
        <v>59</v>
      </c>
      <c r="L1821">
        <v>723613</v>
      </c>
      <c r="M1821" s="26">
        <v>42693167</v>
      </c>
      <c r="N1821">
        <v>38540</v>
      </c>
      <c r="O1821" s="26">
        <v>5295273.28</v>
      </c>
      <c r="P1821" s="5" t="s">
        <v>50</v>
      </c>
      <c r="Q1821" s="5" t="s">
        <v>43</v>
      </c>
      <c r="R1821">
        <v>4.2</v>
      </c>
      <c r="S1821">
        <v>4</v>
      </c>
      <c r="T1821">
        <f t="shared" si="28"/>
        <v>0</v>
      </c>
    </row>
    <row r="1822" spans="1:20">
      <c r="A1822" s="4">
        <v>45300</v>
      </c>
      <c r="B1822">
        <v>2024</v>
      </c>
      <c r="C1822">
        <v>1</v>
      </c>
      <c r="D1822" s="5" t="s">
        <v>54</v>
      </c>
      <c r="E1822" s="5" t="s">
        <v>55</v>
      </c>
      <c r="F1822" s="5" t="s">
        <v>55</v>
      </c>
      <c r="G1822" s="5" t="s">
        <v>56</v>
      </c>
      <c r="H1822" s="5" t="s">
        <v>80</v>
      </c>
      <c r="I1822" s="5" t="s">
        <v>81</v>
      </c>
      <c r="J1822" s="5" t="s">
        <v>41</v>
      </c>
      <c r="K1822">
        <v>28</v>
      </c>
      <c r="L1822">
        <v>555518</v>
      </c>
      <c r="M1822" s="26">
        <v>15554504</v>
      </c>
      <c r="N1822">
        <v>29619</v>
      </c>
      <c r="O1822" s="26">
        <v>1373805.62</v>
      </c>
      <c r="P1822" s="5" t="s">
        <v>42</v>
      </c>
      <c r="Q1822" s="5" t="s">
        <v>51</v>
      </c>
      <c r="R1822">
        <v>5</v>
      </c>
      <c r="S1822">
        <v>20</v>
      </c>
      <c r="T1822">
        <f t="shared" si="28"/>
        <v>1</v>
      </c>
    </row>
    <row r="1823" spans="1:20">
      <c r="A1823" s="4">
        <v>45301</v>
      </c>
      <c r="B1823">
        <v>2024</v>
      </c>
      <c r="C1823">
        <v>1</v>
      </c>
      <c r="D1823" s="5" t="s">
        <v>66</v>
      </c>
      <c r="E1823" s="5" t="s">
        <v>67</v>
      </c>
      <c r="F1823" s="5" t="s">
        <v>68</v>
      </c>
      <c r="G1823" s="5" t="s">
        <v>69</v>
      </c>
      <c r="H1823" s="5" t="s">
        <v>39</v>
      </c>
      <c r="I1823" s="5" t="s">
        <v>40</v>
      </c>
      <c r="J1823" s="5" t="s">
        <v>41</v>
      </c>
      <c r="K1823">
        <v>60</v>
      </c>
      <c r="L1823">
        <v>596038</v>
      </c>
      <c r="M1823" s="26">
        <v>35762280</v>
      </c>
      <c r="N1823">
        <v>37938</v>
      </c>
      <c r="O1823" s="26">
        <v>3681725.61</v>
      </c>
      <c r="P1823" s="5" t="s">
        <v>50</v>
      </c>
      <c r="Q1823" s="5" t="s">
        <v>75</v>
      </c>
      <c r="R1823">
        <v>3.6</v>
      </c>
      <c r="S1823">
        <v>10</v>
      </c>
      <c r="T1823">
        <f t="shared" si="28"/>
        <v>0</v>
      </c>
    </row>
    <row r="1824" spans="1:20">
      <c r="A1824" s="4">
        <v>45292</v>
      </c>
      <c r="B1824">
        <v>2024</v>
      </c>
      <c r="C1824">
        <v>1</v>
      </c>
      <c r="D1824" s="5" t="s">
        <v>44</v>
      </c>
      <c r="E1824" s="5" t="s">
        <v>82</v>
      </c>
      <c r="F1824" s="5" t="s">
        <v>83</v>
      </c>
      <c r="G1824" s="5" t="s">
        <v>84</v>
      </c>
      <c r="H1824" s="5" t="s">
        <v>39</v>
      </c>
      <c r="I1824" s="5" t="s">
        <v>40</v>
      </c>
      <c r="J1824" s="5" t="s">
        <v>41</v>
      </c>
      <c r="K1824">
        <v>17</v>
      </c>
      <c r="L1824">
        <v>570796</v>
      </c>
      <c r="M1824" s="26">
        <v>9703532</v>
      </c>
      <c r="N1824">
        <v>36696</v>
      </c>
      <c r="O1824" s="26">
        <v>1354437.49</v>
      </c>
      <c r="P1824" s="5" t="s">
        <v>50</v>
      </c>
      <c r="Q1824" s="5" t="s">
        <v>75</v>
      </c>
      <c r="R1824">
        <v>4.8</v>
      </c>
      <c r="S1824">
        <v>15</v>
      </c>
      <c r="T1824">
        <f t="shared" si="28"/>
        <v>0</v>
      </c>
    </row>
    <row r="1825" spans="1:20">
      <c r="A1825" s="4">
        <v>45292</v>
      </c>
      <c r="B1825">
        <v>2024</v>
      </c>
      <c r="C1825">
        <v>1</v>
      </c>
      <c r="D1825" s="5" t="s">
        <v>35</v>
      </c>
      <c r="E1825" s="5" t="s">
        <v>36</v>
      </c>
      <c r="F1825" s="5" t="s">
        <v>37</v>
      </c>
      <c r="G1825" s="5" t="s">
        <v>38</v>
      </c>
      <c r="H1825" s="5" t="s">
        <v>85</v>
      </c>
      <c r="I1825" s="5" t="s">
        <v>58</v>
      </c>
      <c r="J1825" s="5" t="s">
        <v>49</v>
      </c>
      <c r="K1825">
        <v>19</v>
      </c>
      <c r="L1825">
        <v>980343</v>
      </c>
      <c r="M1825" s="26">
        <v>18626517</v>
      </c>
      <c r="N1825">
        <v>26332</v>
      </c>
      <c r="O1825" s="26">
        <v>2962601.81</v>
      </c>
      <c r="P1825" s="5" t="s">
        <v>42</v>
      </c>
      <c r="Q1825" s="5" t="s">
        <v>43</v>
      </c>
      <c r="R1825">
        <v>4.5999999999999996</v>
      </c>
      <c r="S1825">
        <v>21</v>
      </c>
      <c r="T1825">
        <f t="shared" si="28"/>
        <v>1</v>
      </c>
    </row>
    <row r="1826" spans="1:20">
      <c r="A1826" s="4">
        <v>45313</v>
      </c>
      <c r="B1826">
        <v>2024</v>
      </c>
      <c r="C1826">
        <v>1</v>
      </c>
      <c r="D1826" s="5" t="s">
        <v>44</v>
      </c>
      <c r="E1826" s="5" t="s">
        <v>45</v>
      </c>
      <c r="F1826" s="5" t="s">
        <v>46</v>
      </c>
      <c r="G1826" s="5" t="s">
        <v>47</v>
      </c>
      <c r="H1826" s="5" t="s">
        <v>74</v>
      </c>
      <c r="I1826" s="5" t="s">
        <v>40</v>
      </c>
      <c r="J1826" s="5" t="s">
        <v>49</v>
      </c>
      <c r="K1826">
        <v>8</v>
      </c>
      <c r="L1826">
        <v>646461</v>
      </c>
      <c r="M1826" s="26">
        <v>5171688</v>
      </c>
      <c r="N1826">
        <v>22095</v>
      </c>
      <c r="O1826" s="26">
        <v>777143.08</v>
      </c>
      <c r="P1826" s="5" t="s">
        <v>50</v>
      </c>
      <c r="Q1826" s="5" t="s">
        <v>75</v>
      </c>
      <c r="R1826">
        <v>4.5999999999999996</v>
      </c>
      <c r="S1826">
        <v>19</v>
      </c>
      <c r="T1826">
        <f t="shared" si="28"/>
        <v>0</v>
      </c>
    </row>
    <row r="1827" spans="1:20">
      <c r="A1827" s="4">
        <v>45293</v>
      </c>
      <c r="B1827">
        <v>2024</v>
      </c>
      <c r="C1827">
        <v>1</v>
      </c>
      <c r="D1827" s="5" t="s">
        <v>35</v>
      </c>
      <c r="E1827" s="5" t="s">
        <v>60</v>
      </c>
      <c r="F1827" s="5" t="s">
        <v>61</v>
      </c>
      <c r="G1827" s="5" t="s">
        <v>62</v>
      </c>
      <c r="H1827" s="5" t="s">
        <v>48</v>
      </c>
      <c r="I1827" s="5" t="s">
        <v>40</v>
      </c>
      <c r="J1827" s="5" t="s">
        <v>49</v>
      </c>
      <c r="K1827">
        <v>37</v>
      </c>
      <c r="L1827">
        <v>468525</v>
      </c>
      <c r="M1827" s="26">
        <v>17335425</v>
      </c>
      <c r="N1827">
        <v>11458</v>
      </c>
      <c r="O1827" s="26">
        <v>1436991.83</v>
      </c>
      <c r="P1827" s="5" t="s">
        <v>50</v>
      </c>
      <c r="Q1827" s="5" t="s">
        <v>75</v>
      </c>
      <c r="R1827">
        <v>3.7</v>
      </c>
      <c r="S1827">
        <v>13</v>
      </c>
      <c r="T1827">
        <f t="shared" si="28"/>
        <v>0</v>
      </c>
    </row>
    <row r="1828" spans="1:20">
      <c r="A1828" s="4">
        <v>45312</v>
      </c>
      <c r="B1828">
        <v>2024</v>
      </c>
      <c r="C1828">
        <v>1</v>
      </c>
      <c r="D1828" s="5" t="s">
        <v>35</v>
      </c>
      <c r="E1828" s="5" t="s">
        <v>36</v>
      </c>
      <c r="F1828" s="5" t="s">
        <v>37</v>
      </c>
      <c r="G1828" s="5" t="s">
        <v>38</v>
      </c>
      <c r="H1828" s="5" t="s">
        <v>80</v>
      </c>
      <c r="I1828" s="5" t="s">
        <v>81</v>
      </c>
      <c r="J1828" s="5" t="s">
        <v>41</v>
      </c>
      <c r="K1828">
        <v>37</v>
      </c>
      <c r="L1828">
        <v>532645</v>
      </c>
      <c r="M1828" s="26">
        <v>19707865</v>
      </c>
      <c r="N1828">
        <v>11643</v>
      </c>
      <c r="O1828" s="26">
        <v>1953551.16</v>
      </c>
      <c r="P1828" s="5" t="s">
        <v>50</v>
      </c>
      <c r="Q1828" s="5" t="s">
        <v>51</v>
      </c>
      <c r="R1828">
        <v>4.9000000000000004</v>
      </c>
      <c r="S1828">
        <v>19</v>
      </c>
      <c r="T1828">
        <f t="shared" si="28"/>
        <v>0</v>
      </c>
    </row>
    <row r="1829" spans="1:20">
      <c r="A1829" s="4">
        <v>45314</v>
      </c>
      <c r="B1829">
        <v>2024</v>
      </c>
      <c r="C1829">
        <v>1</v>
      </c>
      <c r="D1829" s="5" t="s">
        <v>54</v>
      </c>
      <c r="E1829" s="5" t="s">
        <v>55</v>
      </c>
      <c r="F1829" s="5" t="s">
        <v>55</v>
      </c>
      <c r="G1829" s="5" t="s">
        <v>56</v>
      </c>
      <c r="H1829" s="5" t="s">
        <v>85</v>
      </c>
      <c r="I1829" s="5" t="s">
        <v>58</v>
      </c>
      <c r="J1829" s="5" t="s">
        <v>49</v>
      </c>
      <c r="K1829">
        <v>27</v>
      </c>
      <c r="L1829">
        <v>981248</v>
      </c>
      <c r="M1829" s="26">
        <v>26493696</v>
      </c>
      <c r="N1829">
        <v>39953</v>
      </c>
      <c r="O1829" s="26">
        <v>2309613.12</v>
      </c>
      <c r="P1829" s="5" t="s">
        <v>42</v>
      </c>
      <c r="Q1829" s="5" t="s">
        <v>43</v>
      </c>
      <c r="R1829">
        <v>3.8</v>
      </c>
      <c r="S1829">
        <v>8</v>
      </c>
      <c r="T1829">
        <f t="shared" si="28"/>
        <v>1</v>
      </c>
    </row>
    <row r="1830" spans="1:20">
      <c r="A1830" s="4">
        <v>45297</v>
      </c>
      <c r="B1830">
        <v>2024</v>
      </c>
      <c r="C1830">
        <v>1</v>
      </c>
      <c r="D1830" s="5" t="s">
        <v>35</v>
      </c>
      <c r="E1830" s="5" t="s">
        <v>76</v>
      </c>
      <c r="F1830" s="5" t="s">
        <v>77</v>
      </c>
      <c r="G1830" s="5" t="s">
        <v>78</v>
      </c>
      <c r="H1830" s="5" t="s">
        <v>73</v>
      </c>
      <c r="I1830" s="5" t="s">
        <v>40</v>
      </c>
      <c r="J1830" s="5" t="s">
        <v>49</v>
      </c>
      <c r="K1830">
        <v>37</v>
      </c>
      <c r="L1830">
        <v>718826</v>
      </c>
      <c r="M1830" s="26">
        <v>26596562</v>
      </c>
      <c r="N1830">
        <v>20027</v>
      </c>
      <c r="O1830" s="26">
        <v>2466527.0299999998</v>
      </c>
      <c r="P1830" s="5" t="s">
        <v>50</v>
      </c>
      <c r="Q1830" s="5" t="s">
        <v>75</v>
      </c>
      <c r="R1830">
        <v>4.5</v>
      </c>
      <c r="S1830">
        <v>8</v>
      </c>
      <c r="T1830">
        <f t="shared" si="28"/>
        <v>0</v>
      </c>
    </row>
    <row r="1831" spans="1:20">
      <c r="A1831" s="4">
        <v>45316</v>
      </c>
      <c r="B1831">
        <v>2024</v>
      </c>
      <c r="C1831">
        <v>1</v>
      </c>
      <c r="D1831" s="5" t="s">
        <v>44</v>
      </c>
      <c r="E1831" s="5" t="s">
        <v>82</v>
      </c>
      <c r="F1831" s="5" t="s">
        <v>83</v>
      </c>
      <c r="G1831" s="5" t="s">
        <v>84</v>
      </c>
      <c r="H1831" s="5" t="s">
        <v>48</v>
      </c>
      <c r="I1831" s="5" t="s">
        <v>40</v>
      </c>
      <c r="J1831" s="5" t="s">
        <v>49</v>
      </c>
      <c r="K1831">
        <v>57</v>
      </c>
      <c r="L1831">
        <v>478420</v>
      </c>
      <c r="M1831" s="26">
        <v>27269940</v>
      </c>
      <c r="N1831">
        <v>33411</v>
      </c>
      <c r="O1831" s="26">
        <v>4022077.62</v>
      </c>
      <c r="P1831" s="5" t="s">
        <v>50</v>
      </c>
      <c r="Q1831" s="5" t="s">
        <v>51</v>
      </c>
      <c r="R1831">
        <v>4</v>
      </c>
      <c r="S1831">
        <v>3</v>
      </c>
      <c r="T1831">
        <f t="shared" si="28"/>
        <v>0</v>
      </c>
    </row>
    <row r="1832" spans="1:20">
      <c r="A1832" s="4">
        <v>45293</v>
      </c>
      <c r="B1832">
        <v>2024</v>
      </c>
      <c r="C1832">
        <v>1</v>
      </c>
      <c r="D1832" s="5" t="s">
        <v>54</v>
      </c>
      <c r="E1832" s="5" t="s">
        <v>55</v>
      </c>
      <c r="F1832" s="5" t="s">
        <v>55</v>
      </c>
      <c r="G1832" s="5" t="s">
        <v>56</v>
      </c>
      <c r="H1832" s="5" t="s">
        <v>86</v>
      </c>
      <c r="I1832" s="5" t="s">
        <v>40</v>
      </c>
      <c r="J1832" s="5" t="s">
        <v>41</v>
      </c>
      <c r="K1832">
        <v>59</v>
      </c>
      <c r="L1832">
        <v>619395</v>
      </c>
      <c r="M1832" s="26">
        <v>36544305</v>
      </c>
      <c r="N1832">
        <v>37200</v>
      </c>
      <c r="O1832" s="26">
        <v>4489387.42</v>
      </c>
      <c r="P1832" s="5" t="s">
        <v>42</v>
      </c>
      <c r="Q1832" s="5" t="s">
        <v>75</v>
      </c>
      <c r="R1832">
        <v>4.9000000000000004</v>
      </c>
      <c r="S1832">
        <v>6</v>
      </c>
      <c r="T1832">
        <f t="shared" si="28"/>
        <v>1</v>
      </c>
    </row>
    <row r="1833" spans="1:20">
      <c r="A1833" s="4">
        <v>45292</v>
      </c>
      <c r="B1833">
        <v>2024</v>
      </c>
      <c r="C1833">
        <v>1</v>
      </c>
      <c r="D1833" s="5" t="s">
        <v>66</v>
      </c>
      <c r="E1833" s="5" t="s">
        <v>67</v>
      </c>
      <c r="F1833" s="5" t="s">
        <v>68</v>
      </c>
      <c r="G1833" s="5" t="s">
        <v>69</v>
      </c>
      <c r="H1833" s="5" t="s">
        <v>79</v>
      </c>
      <c r="I1833" s="5" t="s">
        <v>58</v>
      </c>
      <c r="J1833" s="5" t="s">
        <v>49</v>
      </c>
      <c r="K1833">
        <v>37</v>
      </c>
      <c r="L1833">
        <v>905883</v>
      </c>
      <c r="M1833" s="26">
        <v>33517671</v>
      </c>
      <c r="N1833">
        <v>21914</v>
      </c>
      <c r="O1833" s="26">
        <v>4568712.3099999996</v>
      </c>
      <c r="P1833" s="5" t="s">
        <v>50</v>
      </c>
      <c r="Q1833" s="5" t="s">
        <v>75</v>
      </c>
      <c r="R1833">
        <v>4.8</v>
      </c>
      <c r="S1833">
        <v>17</v>
      </c>
      <c r="T1833">
        <f t="shared" si="28"/>
        <v>0</v>
      </c>
    </row>
    <row r="1834" spans="1:20">
      <c r="A1834" s="4">
        <v>45300</v>
      </c>
      <c r="B1834">
        <v>2024</v>
      </c>
      <c r="C1834">
        <v>1</v>
      </c>
      <c r="D1834" s="5" t="s">
        <v>44</v>
      </c>
      <c r="E1834" s="5" t="s">
        <v>82</v>
      </c>
      <c r="F1834" s="5" t="s">
        <v>83</v>
      </c>
      <c r="G1834" s="5" t="s">
        <v>84</v>
      </c>
      <c r="H1834" s="5" t="s">
        <v>74</v>
      </c>
      <c r="I1834" s="5" t="s">
        <v>40</v>
      </c>
      <c r="J1834" s="5" t="s">
        <v>49</v>
      </c>
      <c r="K1834">
        <v>28</v>
      </c>
      <c r="L1834">
        <v>678873</v>
      </c>
      <c r="M1834" s="26">
        <v>19008444</v>
      </c>
      <c r="N1834">
        <v>20048</v>
      </c>
      <c r="O1834" s="26">
        <v>2263316.09</v>
      </c>
      <c r="P1834" s="5" t="s">
        <v>50</v>
      </c>
      <c r="Q1834" s="5" t="s">
        <v>75</v>
      </c>
      <c r="R1834">
        <v>3.7</v>
      </c>
      <c r="S1834">
        <v>13</v>
      </c>
      <c r="T1834">
        <f t="shared" si="28"/>
        <v>0</v>
      </c>
    </row>
    <row r="1835" spans="1:20">
      <c r="A1835" s="4">
        <v>45312</v>
      </c>
      <c r="B1835">
        <v>2024</v>
      </c>
      <c r="C1835">
        <v>1</v>
      </c>
      <c r="D1835" s="5" t="s">
        <v>44</v>
      </c>
      <c r="E1835" s="5" t="s">
        <v>45</v>
      </c>
      <c r="F1835" s="5" t="s">
        <v>46</v>
      </c>
      <c r="G1835" s="5" t="s">
        <v>47</v>
      </c>
      <c r="H1835" s="5" t="s">
        <v>57</v>
      </c>
      <c r="I1835" s="5" t="s">
        <v>58</v>
      </c>
      <c r="J1835" s="5" t="s">
        <v>59</v>
      </c>
      <c r="K1835">
        <v>35</v>
      </c>
      <c r="L1835">
        <v>1401038</v>
      </c>
      <c r="M1835" s="26">
        <v>49036330</v>
      </c>
      <c r="N1835">
        <v>23289</v>
      </c>
      <c r="O1835" s="26">
        <v>6375082.1600000001</v>
      </c>
      <c r="P1835" s="5" t="s">
        <v>50</v>
      </c>
      <c r="Q1835" s="5" t="s">
        <v>75</v>
      </c>
      <c r="R1835">
        <v>4.3</v>
      </c>
      <c r="S1835">
        <v>8</v>
      </c>
      <c r="T1835">
        <f t="shared" si="28"/>
        <v>0</v>
      </c>
    </row>
    <row r="1836" spans="1:20">
      <c r="A1836" s="4">
        <v>45299</v>
      </c>
      <c r="B1836">
        <v>2024</v>
      </c>
      <c r="C1836">
        <v>1</v>
      </c>
      <c r="D1836" s="5" t="s">
        <v>54</v>
      </c>
      <c r="E1836" s="5" t="s">
        <v>70</v>
      </c>
      <c r="F1836" s="5" t="s">
        <v>71</v>
      </c>
      <c r="G1836" s="5" t="s">
        <v>72</v>
      </c>
      <c r="H1836" s="5" t="s">
        <v>85</v>
      </c>
      <c r="I1836" s="5" t="s">
        <v>58</v>
      </c>
      <c r="J1836" s="5" t="s">
        <v>49</v>
      </c>
      <c r="K1836">
        <v>6</v>
      </c>
      <c r="L1836">
        <v>995577</v>
      </c>
      <c r="M1836" s="26">
        <v>5973462</v>
      </c>
      <c r="N1836">
        <v>7764</v>
      </c>
      <c r="O1836" s="26">
        <v>589451.64</v>
      </c>
      <c r="P1836" s="5" t="s">
        <v>42</v>
      </c>
      <c r="Q1836" s="5" t="s">
        <v>51</v>
      </c>
      <c r="R1836">
        <v>3.5</v>
      </c>
      <c r="S1836">
        <v>9</v>
      </c>
      <c r="T1836">
        <f t="shared" si="28"/>
        <v>1</v>
      </c>
    </row>
    <row r="1837" spans="1:20">
      <c r="A1837" s="4">
        <v>45294</v>
      </c>
      <c r="B1837">
        <v>2024</v>
      </c>
      <c r="C1837">
        <v>1</v>
      </c>
      <c r="D1837" s="5" t="s">
        <v>66</v>
      </c>
      <c r="E1837" s="5" t="s">
        <v>67</v>
      </c>
      <c r="F1837" s="5" t="s">
        <v>68</v>
      </c>
      <c r="G1837" s="5" t="s">
        <v>69</v>
      </c>
      <c r="H1837" s="5" t="s">
        <v>85</v>
      </c>
      <c r="I1837" s="5" t="s">
        <v>58</v>
      </c>
      <c r="J1837" s="5" t="s">
        <v>49</v>
      </c>
      <c r="K1837">
        <v>49</v>
      </c>
      <c r="L1837">
        <v>963523</v>
      </c>
      <c r="M1837" s="26">
        <v>47212627</v>
      </c>
      <c r="N1837">
        <v>34029</v>
      </c>
      <c r="O1837" s="26">
        <v>6068727.96</v>
      </c>
      <c r="P1837" s="5" t="s">
        <v>50</v>
      </c>
      <c r="Q1837" s="5" t="s">
        <v>75</v>
      </c>
      <c r="R1837">
        <v>4.8</v>
      </c>
      <c r="S1837">
        <v>5</v>
      </c>
      <c r="T1837">
        <f t="shared" si="28"/>
        <v>0</v>
      </c>
    </row>
    <row r="1838" spans="1:20">
      <c r="A1838" s="4">
        <v>45308</v>
      </c>
      <c r="B1838">
        <v>2024</v>
      </c>
      <c r="C1838">
        <v>1</v>
      </c>
      <c r="D1838" s="5" t="s">
        <v>44</v>
      </c>
      <c r="E1838" s="5" t="s">
        <v>82</v>
      </c>
      <c r="F1838" s="5" t="s">
        <v>83</v>
      </c>
      <c r="G1838" s="5" t="s">
        <v>84</v>
      </c>
      <c r="H1838" s="5" t="s">
        <v>39</v>
      </c>
      <c r="I1838" s="5" t="s">
        <v>40</v>
      </c>
      <c r="J1838" s="5" t="s">
        <v>41</v>
      </c>
      <c r="K1838">
        <v>49</v>
      </c>
      <c r="L1838">
        <v>556046</v>
      </c>
      <c r="M1838" s="26">
        <v>27246254</v>
      </c>
      <c r="N1838">
        <v>21967</v>
      </c>
      <c r="O1838" s="26">
        <v>2369014.87</v>
      </c>
      <c r="P1838" s="5" t="s">
        <v>42</v>
      </c>
      <c r="Q1838" s="5" t="s">
        <v>43</v>
      </c>
      <c r="R1838">
        <v>5</v>
      </c>
      <c r="S1838">
        <v>18</v>
      </c>
      <c r="T1838">
        <f t="shared" si="28"/>
        <v>1</v>
      </c>
    </row>
    <row r="1839" spans="1:20">
      <c r="A1839" s="4">
        <v>45305</v>
      </c>
      <c r="B1839">
        <v>2024</v>
      </c>
      <c r="C1839">
        <v>1</v>
      </c>
      <c r="D1839" s="5" t="s">
        <v>44</v>
      </c>
      <c r="E1839" s="5" t="s">
        <v>82</v>
      </c>
      <c r="F1839" s="5" t="s">
        <v>83</v>
      </c>
      <c r="G1839" s="5" t="s">
        <v>84</v>
      </c>
      <c r="H1839" s="5" t="s">
        <v>52</v>
      </c>
      <c r="I1839" s="5" t="s">
        <v>53</v>
      </c>
      <c r="J1839" s="5" t="s">
        <v>41</v>
      </c>
      <c r="K1839">
        <v>10</v>
      </c>
      <c r="L1839">
        <v>960539</v>
      </c>
      <c r="M1839" s="26">
        <v>9605390</v>
      </c>
      <c r="N1839">
        <v>22537</v>
      </c>
      <c r="O1839" s="26">
        <v>1240279.54</v>
      </c>
      <c r="P1839" s="5" t="s">
        <v>42</v>
      </c>
      <c r="Q1839" s="5" t="s">
        <v>75</v>
      </c>
      <c r="R1839">
        <v>4.0999999999999996</v>
      </c>
      <c r="S1839">
        <v>4</v>
      </c>
      <c r="T1839">
        <f t="shared" si="28"/>
        <v>1</v>
      </c>
    </row>
    <row r="1840" spans="1:20">
      <c r="A1840" s="4">
        <v>45319</v>
      </c>
      <c r="B1840">
        <v>2024</v>
      </c>
      <c r="C1840">
        <v>1</v>
      </c>
      <c r="D1840" s="5" t="s">
        <v>35</v>
      </c>
      <c r="E1840" s="5" t="s">
        <v>60</v>
      </c>
      <c r="F1840" s="5" t="s">
        <v>61</v>
      </c>
      <c r="G1840" s="5" t="s">
        <v>62</v>
      </c>
      <c r="H1840" s="5" t="s">
        <v>74</v>
      </c>
      <c r="I1840" s="5" t="s">
        <v>40</v>
      </c>
      <c r="J1840" s="5" t="s">
        <v>49</v>
      </c>
      <c r="K1840">
        <v>46</v>
      </c>
      <c r="L1840">
        <v>653296</v>
      </c>
      <c r="M1840" s="26">
        <v>30051616</v>
      </c>
      <c r="N1840">
        <v>15171</v>
      </c>
      <c r="O1840" s="26">
        <v>4154679.43</v>
      </c>
      <c r="P1840" s="5" t="s">
        <v>50</v>
      </c>
      <c r="Q1840" s="5" t="s">
        <v>43</v>
      </c>
      <c r="R1840">
        <v>4.5999999999999996</v>
      </c>
      <c r="S1840">
        <v>14</v>
      </c>
      <c r="T1840">
        <f t="shared" si="28"/>
        <v>0</v>
      </c>
    </row>
    <row r="1841" spans="1:20">
      <c r="A1841" s="4">
        <v>45297</v>
      </c>
      <c r="B1841">
        <v>2024</v>
      </c>
      <c r="C1841">
        <v>1</v>
      </c>
      <c r="D1841" s="5" t="s">
        <v>44</v>
      </c>
      <c r="E1841" s="5" t="s">
        <v>82</v>
      </c>
      <c r="F1841" s="5" t="s">
        <v>83</v>
      </c>
      <c r="G1841" s="5" t="s">
        <v>84</v>
      </c>
      <c r="H1841" s="5" t="s">
        <v>73</v>
      </c>
      <c r="I1841" s="5" t="s">
        <v>40</v>
      </c>
      <c r="J1841" s="5" t="s">
        <v>49</v>
      </c>
      <c r="K1841">
        <v>43</v>
      </c>
      <c r="L1841">
        <v>711646</v>
      </c>
      <c r="M1841" s="26">
        <v>30600778</v>
      </c>
      <c r="N1841">
        <v>26064</v>
      </c>
      <c r="O1841" s="26">
        <v>3925855.64</v>
      </c>
      <c r="P1841" s="5" t="s">
        <v>42</v>
      </c>
      <c r="Q1841" s="5" t="s">
        <v>51</v>
      </c>
      <c r="R1841">
        <v>3.9</v>
      </c>
      <c r="S1841">
        <v>12</v>
      </c>
      <c r="T1841">
        <f t="shared" si="28"/>
        <v>1</v>
      </c>
    </row>
    <row r="1842" spans="1:20">
      <c r="A1842" s="4">
        <v>45294</v>
      </c>
      <c r="B1842">
        <v>2024</v>
      </c>
      <c r="C1842">
        <v>1</v>
      </c>
      <c r="D1842" s="5" t="s">
        <v>54</v>
      </c>
      <c r="E1842" s="5" t="s">
        <v>70</v>
      </c>
      <c r="F1842" s="5" t="s">
        <v>71</v>
      </c>
      <c r="G1842" s="5" t="s">
        <v>72</v>
      </c>
      <c r="H1842" s="5" t="s">
        <v>85</v>
      </c>
      <c r="I1842" s="5" t="s">
        <v>58</v>
      </c>
      <c r="J1842" s="5" t="s">
        <v>49</v>
      </c>
      <c r="K1842">
        <v>11</v>
      </c>
      <c r="L1842">
        <v>961982</v>
      </c>
      <c r="M1842" s="26">
        <v>10581802</v>
      </c>
      <c r="N1842">
        <v>8690</v>
      </c>
      <c r="O1842" s="26">
        <v>1193514.8</v>
      </c>
      <c r="P1842" s="5" t="s">
        <v>42</v>
      </c>
      <c r="Q1842" s="5" t="s">
        <v>51</v>
      </c>
      <c r="R1842">
        <v>3.8</v>
      </c>
      <c r="S1842">
        <v>17</v>
      </c>
      <c r="T1842">
        <f t="shared" si="28"/>
        <v>1</v>
      </c>
    </row>
    <row r="1843" spans="1:20">
      <c r="A1843" s="4">
        <v>45312</v>
      </c>
      <c r="B1843">
        <v>2024</v>
      </c>
      <c r="C1843">
        <v>1</v>
      </c>
      <c r="D1843" s="5" t="s">
        <v>44</v>
      </c>
      <c r="E1843" s="5" t="s">
        <v>82</v>
      </c>
      <c r="F1843" s="5" t="s">
        <v>83</v>
      </c>
      <c r="G1843" s="5" t="s">
        <v>84</v>
      </c>
      <c r="H1843" s="5" t="s">
        <v>39</v>
      </c>
      <c r="I1843" s="5" t="s">
        <v>40</v>
      </c>
      <c r="J1843" s="5" t="s">
        <v>41</v>
      </c>
      <c r="K1843">
        <v>57</v>
      </c>
      <c r="L1843">
        <v>606978</v>
      </c>
      <c r="M1843" s="26">
        <v>34597746</v>
      </c>
      <c r="N1843">
        <v>9789</v>
      </c>
      <c r="O1843" s="26">
        <v>3683072.19</v>
      </c>
      <c r="P1843" s="5" t="s">
        <v>50</v>
      </c>
      <c r="Q1843" s="5" t="s">
        <v>43</v>
      </c>
      <c r="R1843">
        <v>4.7</v>
      </c>
      <c r="S1843">
        <v>9</v>
      </c>
      <c r="T1843">
        <f t="shared" si="28"/>
        <v>0</v>
      </c>
    </row>
    <row r="1844" spans="1:20">
      <c r="A1844" s="4">
        <v>45303</v>
      </c>
      <c r="B1844">
        <v>2024</v>
      </c>
      <c r="C1844">
        <v>1</v>
      </c>
      <c r="D1844" s="5" t="s">
        <v>35</v>
      </c>
      <c r="E1844" s="5" t="s">
        <v>76</v>
      </c>
      <c r="F1844" s="5" t="s">
        <v>77</v>
      </c>
      <c r="G1844" s="5" t="s">
        <v>78</v>
      </c>
      <c r="H1844" s="5" t="s">
        <v>85</v>
      </c>
      <c r="I1844" s="5" t="s">
        <v>58</v>
      </c>
      <c r="J1844" s="5" t="s">
        <v>49</v>
      </c>
      <c r="K1844">
        <v>46</v>
      </c>
      <c r="L1844">
        <v>978710</v>
      </c>
      <c r="M1844" s="26">
        <v>45020660</v>
      </c>
      <c r="N1844">
        <v>42784</v>
      </c>
      <c r="O1844" s="26">
        <v>6435605.2599999998</v>
      </c>
      <c r="P1844" s="5" t="s">
        <v>50</v>
      </c>
      <c r="Q1844" s="5" t="s">
        <v>75</v>
      </c>
      <c r="R1844">
        <v>4.4000000000000004</v>
      </c>
      <c r="S1844">
        <v>12</v>
      </c>
      <c r="T1844">
        <f t="shared" si="28"/>
        <v>0</v>
      </c>
    </row>
    <row r="1845" spans="1:20">
      <c r="A1845" s="4">
        <v>45314</v>
      </c>
      <c r="B1845">
        <v>2024</v>
      </c>
      <c r="C1845">
        <v>1</v>
      </c>
      <c r="D1845" s="5" t="s">
        <v>35</v>
      </c>
      <c r="E1845" s="5" t="s">
        <v>60</v>
      </c>
      <c r="F1845" s="5" t="s">
        <v>61</v>
      </c>
      <c r="G1845" s="5" t="s">
        <v>62</v>
      </c>
      <c r="H1845" s="5" t="s">
        <v>74</v>
      </c>
      <c r="I1845" s="5" t="s">
        <v>40</v>
      </c>
      <c r="J1845" s="5" t="s">
        <v>49</v>
      </c>
      <c r="K1845">
        <v>58</v>
      </c>
      <c r="L1845">
        <v>644422</v>
      </c>
      <c r="M1845" s="26">
        <v>37376476</v>
      </c>
      <c r="N1845">
        <v>32653</v>
      </c>
      <c r="O1845" s="26">
        <v>4250123.47</v>
      </c>
      <c r="P1845" s="5" t="s">
        <v>50</v>
      </c>
      <c r="Q1845" s="5" t="s">
        <v>51</v>
      </c>
      <c r="R1845">
        <v>3.7</v>
      </c>
      <c r="S1845">
        <v>6</v>
      </c>
      <c r="T1845">
        <f t="shared" si="28"/>
        <v>0</v>
      </c>
    </row>
    <row r="1846" spans="1:20">
      <c r="A1846" s="4">
        <v>45313</v>
      </c>
      <c r="B1846">
        <v>2024</v>
      </c>
      <c r="C1846">
        <v>1</v>
      </c>
      <c r="D1846" s="5" t="s">
        <v>54</v>
      </c>
      <c r="E1846" s="5" t="s">
        <v>55</v>
      </c>
      <c r="F1846" s="5" t="s">
        <v>55</v>
      </c>
      <c r="G1846" s="5" t="s">
        <v>56</v>
      </c>
      <c r="H1846" s="5" t="s">
        <v>57</v>
      </c>
      <c r="I1846" s="5" t="s">
        <v>58</v>
      </c>
      <c r="J1846" s="5" t="s">
        <v>59</v>
      </c>
      <c r="K1846">
        <v>14</v>
      </c>
      <c r="L1846">
        <v>1394673</v>
      </c>
      <c r="M1846" s="26">
        <v>19525422</v>
      </c>
      <c r="N1846">
        <v>31996</v>
      </c>
      <c r="O1846" s="26">
        <v>2044101.94</v>
      </c>
      <c r="P1846" s="5" t="s">
        <v>50</v>
      </c>
      <c r="Q1846" s="5" t="s">
        <v>75</v>
      </c>
      <c r="R1846">
        <v>3.8</v>
      </c>
      <c r="S1846">
        <v>9</v>
      </c>
      <c r="T1846">
        <f t="shared" si="28"/>
        <v>0</v>
      </c>
    </row>
    <row r="1847" spans="1:20">
      <c r="A1847" s="4">
        <v>45294</v>
      </c>
      <c r="B1847">
        <v>2024</v>
      </c>
      <c r="C1847">
        <v>1</v>
      </c>
      <c r="D1847" s="5" t="s">
        <v>35</v>
      </c>
      <c r="E1847" s="5" t="s">
        <v>36</v>
      </c>
      <c r="F1847" s="5" t="s">
        <v>37</v>
      </c>
      <c r="G1847" s="5" t="s">
        <v>38</v>
      </c>
      <c r="H1847" s="5" t="s">
        <v>63</v>
      </c>
      <c r="I1847" s="5" t="s">
        <v>64</v>
      </c>
      <c r="J1847" s="5" t="s">
        <v>41</v>
      </c>
      <c r="K1847">
        <v>56</v>
      </c>
      <c r="L1847">
        <v>757402</v>
      </c>
      <c r="M1847" s="26">
        <v>42414512</v>
      </c>
      <c r="N1847">
        <v>35563</v>
      </c>
      <c r="O1847" s="26">
        <v>5994004.9500000002</v>
      </c>
      <c r="P1847" s="5" t="s">
        <v>42</v>
      </c>
      <c r="Q1847" s="5" t="s">
        <v>43</v>
      </c>
      <c r="R1847">
        <v>4.7</v>
      </c>
      <c r="S1847">
        <v>5</v>
      </c>
      <c r="T1847">
        <f t="shared" si="28"/>
        <v>1</v>
      </c>
    </row>
    <row r="1848" spans="1:20">
      <c r="A1848" s="4">
        <v>45312</v>
      </c>
      <c r="B1848">
        <v>2024</v>
      </c>
      <c r="C1848">
        <v>1</v>
      </c>
      <c r="D1848" s="5" t="s">
        <v>54</v>
      </c>
      <c r="E1848" s="5" t="s">
        <v>70</v>
      </c>
      <c r="F1848" s="5" t="s">
        <v>71</v>
      </c>
      <c r="G1848" s="5" t="s">
        <v>72</v>
      </c>
      <c r="H1848" s="5" t="s">
        <v>39</v>
      </c>
      <c r="I1848" s="5" t="s">
        <v>40</v>
      </c>
      <c r="J1848" s="5" t="s">
        <v>41</v>
      </c>
      <c r="K1848">
        <v>29</v>
      </c>
      <c r="L1848">
        <v>578865</v>
      </c>
      <c r="M1848" s="26">
        <v>16787085</v>
      </c>
      <c r="N1848">
        <v>16135</v>
      </c>
      <c r="O1848" s="26">
        <v>2662405.6</v>
      </c>
      <c r="P1848" s="5" t="s">
        <v>42</v>
      </c>
      <c r="Q1848" s="5" t="s">
        <v>51</v>
      </c>
      <c r="R1848">
        <v>3.6</v>
      </c>
      <c r="S1848">
        <v>10</v>
      </c>
      <c r="T1848">
        <f t="shared" si="28"/>
        <v>1</v>
      </c>
    </row>
    <row r="1849" spans="1:20">
      <c r="A1849" s="4">
        <v>45307</v>
      </c>
      <c r="B1849">
        <v>2024</v>
      </c>
      <c r="C1849">
        <v>1</v>
      </c>
      <c r="D1849" s="5" t="s">
        <v>54</v>
      </c>
      <c r="E1849" s="5" t="s">
        <v>55</v>
      </c>
      <c r="F1849" s="5" t="s">
        <v>55</v>
      </c>
      <c r="G1849" s="5" t="s">
        <v>56</v>
      </c>
      <c r="H1849" s="5" t="s">
        <v>73</v>
      </c>
      <c r="I1849" s="5" t="s">
        <v>40</v>
      </c>
      <c r="J1849" s="5" t="s">
        <v>49</v>
      </c>
      <c r="K1849">
        <v>8</v>
      </c>
      <c r="L1849">
        <v>694476</v>
      </c>
      <c r="M1849" s="26">
        <v>5555808</v>
      </c>
      <c r="N1849">
        <v>44280</v>
      </c>
      <c r="O1849" s="26">
        <v>731131.11</v>
      </c>
      <c r="P1849" s="5" t="s">
        <v>50</v>
      </c>
      <c r="Q1849" s="5" t="s">
        <v>43</v>
      </c>
      <c r="R1849">
        <v>4</v>
      </c>
      <c r="S1849">
        <v>18</v>
      </c>
      <c r="T1849">
        <f t="shared" si="28"/>
        <v>0</v>
      </c>
    </row>
    <row r="1850" spans="1:20">
      <c r="A1850" s="4">
        <v>45300</v>
      </c>
      <c r="B1850">
        <v>2024</v>
      </c>
      <c r="C1850">
        <v>1</v>
      </c>
      <c r="D1850" s="5" t="s">
        <v>44</v>
      </c>
      <c r="E1850" s="5" t="s">
        <v>82</v>
      </c>
      <c r="F1850" s="5" t="s">
        <v>83</v>
      </c>
      <c r="G1850" s="5" t="s">
        <v>84</v>
      </c>
      <c r="H1850" s="5" t="s">
        <v>73</v>
      </c>
      <c r="I1850" s="5" t="s">
        <v>40</v>
      </c>
      <c r="J1850" s="5" t="s">
        <v>49</v>
      </c>
      <c r="K1850">
        <v>42</v>
      </c>
      <c r="L1850">
        <v>723055</v>
      </c>
      <c r="M1850" s="26">
        <v>30368310</v>
      </c>
      <c r="N1850">
        <v>42550</v>
      </c>
      <c r="O1850" s="26">
        <v>3057293.53</v>
      </c>
      <c r="P1850" s="5" t="s">
        <v>42</v>
      </c>
      <c r="Q1850" s="5" t="s">
        <v>43</v>
      </c>
      <c r="R1850">
        <v>4</v>
      </c>
      <c r="S1850">
        <v>14</v>
      </c>
      <c r="T1850">
        <f t="shared" si="28"/>
        <v>1</v>
      </c>
    </row>
    <row r="1851" spans="1:20">
      <c r="A1851" s="4">
        <v>45304</v>
      </c>
      <c r="B1851">
        <v>2024</v>
      </c>
      <c r="C1851">
        <v>1</v>
      </c>
      <c r="D1851" s="5" t="s">
        <v>54</v>
      </c>
      <c r="E1851" s="5" t="s">
        <v>70</v>
      </c>
      <c r="F1851" s="5" t="s">
        <v>71</v>
      </c>
      <c r="G1851" s="5" t="s">
        <v>72</v>
      </c>
      <c r="H1851" s="5" t="s">
        <v>57</v>
      </c>
      <c r="I1851" s="5" t="s">
        <v>58</v>
      </c>
      <c r="J1851" s="5" t="s">
        <v>59</v>
      </c>
      <c r="K1851">
        <v>16</v>
      </c>
      <c r="L1851">
        <v>1380264</v>
      </c>
      <c r="M1851" s="26">
        <v>22084224</v>
      </c>
      <c r="N1851">
        <v>7616</v>
      </c>
      <c r="O1851" s="26">
        <v>2994470.76</v>
      </c>
      <c r="P1851" s="5" t="s">
        <v>50</v>
      </c>
      <c r="Q1851" s="5" t="s">
        <v>75</v>
      </c>
      <c r="R1851">
        <v>4.3</v>
      </c>
      <c r="S1851">
        <v>19</v>
      </c>
      <c r="T1851">
        <f t="shared" si="28"/>
        <v>0</v>
      </c>
    </row>
    <row r="1852" spans="1:20">
      <c r="A1852" s="4">
        <v>45335</v>
      </c>
      <c r="B1852">
        <v>2024</v>
      </c>
      <c r="C1852">
        <v>2</v>
      </c>
      <c r="D1852" s="5" t="s">
        <v>35</v>
      </c>
      <c r="E1852" s="5" t="s">
        <v>76</v>
      </c>
      <c r="F1852" s="5" t="s">
        <v>77</v>
      </c>
      <c r="G1852" s="5" t="s">
        <v>78</v>
      </c>
      <c r="H1852" s="5" t="s">
        <v>57</v>
      </c>
      <c r="I1852" s="5" t="s">
        <v>58</v>
      </c>
      <c r="J1852" s="5" t="s">
        <v>59</v>
      </c>
      <c r="K1852">
        <v>9</v>
      </c>
      <c r="L1852">
        <v>1385014</v>
      </c>
      <c r="M1852" s="26">
        <v>12465126</v>
      </c>
      <c r="N1852">
        <v>22596</v>
      </c>
      <c r="O1852" s="26">
        <v>1183636.83</v>
      </c>
      <c r="P1852" s="5" t="s">
        <v>50</v>
      </c>
      <c r="Q1852" s="5" t="s">
        <v>75</v>
      </c>
      <c r="R1852">
        <v>4.4000000000000004</v>
      </c>
      <c r="S1852">
        <v>17</v>
      </c>
      <c r="T1852">
        <f t="shared" si="28"/>
        <v>0</v>
      </c>
    </row>
    <row r="1853" spans="1:20">
      <c r="A1853" s="4">
        <v>45325</v>
      </c>
      <c r="B1853">
        <v>2024</v>
      </c>
      <c r="C1853">
        <v>2</v>
      </c>
      <c r="D1853" s="5" t="s">
        <v>44</v>
      </c>
      <c r="E1853" s="5" t="s">
        <v>45</v>
      </c>
      <c r="F1853" s="5" t="s">
        <v>46</v>
      </c>
      <c r="G1853" s="5" t="s">
        <v>47</v>
      </c>
      <c r="H1853" s="5" t="s">
        <v>48</v>
      </c>
      <c r="I1853" s="5" t="s">
        <v>40</v>
      </c>
      <c r="J1853" s="5" t="s">
        <v>49</v>
      </c>
      <c r="K1853">
        <v>29</v>
      </c>
      <c r="L1853">
        <v>430341</v>
      </c>
      <c r="M1853" s="26">
        <v>12479889</v>
      </c>
      <c r="N1853">
        <v>46691</v>
      </c>
      <c r="O1853" s="26">
        <v>1225602.98</v>
      </c>
      <c r="P1853" s="5" t="s">
        <v>50</v>
      </c>
      <c r="Q1853" s="5" t="s">
        <v>51</v>
      </c>
      <c r="R1853">
        <v>4</v>
      </c>
      <c r="S1853">
        <v>14</v>
      </c>
      <c r="T1853">
        <f t="shared" si="28"/>
        <v>0</v>
      </c>
    </row>
    <row r="1854" spans="1:20">
      <c r="A1854" s="4">
        <v>45339</v>
      </c>
      <c r="B1854">
        <v>2024</v>
      </c>
      <c r="C1854">
        <v>2</v>
      </c>
      <c r="D1854" s="5" t="s">
        <v>54</v>
      </c>
      <c r="E1854" s="5" t="s">
        <v>70</v>
      </c>
      <c r="F1854" s="5" t="s">
        <v>71</v>
      </c>
      <c r="G1854" s="5" t="s">
        <v>72</v>
      </c>
      <c r="H1854" s="5" t="s">
        <v>65</v>
      </c>
      <c r="I1854" s="5" t="s">
        <v>53</v>
      </c>
      <c r="J1854" s="5" t="s">
        <v>49</v>
      </c>
      <c r="K1854">
        <v>41</v>
      </c>
      <c r="L1854">
        <v>1271887</v>
      </c>
      <c r="M1854" s="26">
        <v>52147367</v>
      </c>
      <c r="N1854">
        <v>22883</v>
      </c>
      <c r="O1854" s="26">
        <v>4628596.79</v>
      </c>
      <c r="P1854" s="5" t="s">
        <v>42</v>
      </c>
      <c r="Q1854" s="5" t="s">
        <v>75</v>
      </c>
      <c r="R1854">
        <v>4.3</v>
      </c>
      <c r="S1854">
        <v>21</v>
      </c>
      <c r="T1854">
        <f t="shared" si="28"/>
        <v>1</v>
      </c>
    </row>
    <row r="1855" spans="1:20">
      <c r="A1855" s="4">
        <v>45343</v>
      </c>
      <c r="B1855">
        <v>2024</v>
      </c>
      <c r="C1855">
        <v>2</v>
      </c>
      <c r="D1855" s="5" t="s">
        <v>66</v>
      </c>
      <c r="E1855" s="5" t="s">
        <v>67</v>
      </c>
      <c r="F1855" s="5" t="s">
        <v>68</v>
      </c>
      <c r="G1855" s="5" t="s">
        <v>69</v>
      </c>
      <c r="H1855" s="5" t="s">
        <v>63</v>
      </c>
      <c r="I1855" s="5" t="s">
        <v>64</v>
      </c>
      <c r="J1855" s="5" t="s">
        <v>41</v>
      </c>
      <c r="K1855">
        <v>31</v>
      </c>
      <c r="L1855">
        <v>741104</v>
      </c>
      <c r="M1855" s="26">
        <v>22974224</v>
      </c>
      <c r="N1855">
        <v>19518</v>
      </c>
      <c r="O1855" s="26">
        <v>1847070.31</v>
      </c>
      <c r="P1855" s="5" t="s">
        <v>42</v>
      </c>
      <c r="Q1855" s="5" t="s">
        <v>51</v>
      </c>
      <c r="R1855">
        <v>4.8</v>
      </c>
      <c r="S1855">
        <v>17</v>
      </c>
      <c r="T1855">
        <f t="shared" si="28"/>
        <v>1</v>
      </c>
    </row>
    <row r="1856" spans="1:20">
      <c r="A1856" s="4">
        <v>45344</v>
      </c>
      <c r="B1856">
        <v>2024</v>
      </c>
      <c r="C1856">
        <v>2</v>
      </c>
      <c r="D1856" s="5" t="s">
        <v>44</v>
      </c>
      <c r="E1856" s="5" t="s">
        <v>45</v>
      </c>
      <c r="F1856" s="5" t="s">
        <v>46</v>
      </c>
      <c r="G1856" s="5" t="s">
        <v>47</v>
      </c>
      <c r="H1856" s="5" t="s">
        <v>85</v>
      </c>
      <c r="I1856" s="5" t="s">
        <v>58</v>
      </c>
      <c r="J1856" s="5" t="s">
        <v>49</v>
      </c>
      <c r="K1856">
        <v>40</v>
      </c>
      <c r="L1856">
        <v>957310</v>
      </c>
      <c r="M1856" s="26">
        <v>38292400</v>
      </c>
      <c r="N1856">
        <v>7484</v>
      </c>
      <c r="O1856" s="26">
        <v>3937389.23</v>
      </c>
      <c r="P1856" s="5" t="s">
        <v>50</v>
      </c>
      <c r="Q1856" s="5" t="s">
        <v>75</v>
      </c>
      <c r="R1856">
        <v>4</v>
      </c>
      <c r="S1856">
        <v>17</v>
      </c>
      <c r="T1856">
        <f t="shared" si="28"/>
        <v>0</v>
      </c>
    </row>
    <row r="1857" spans="1:20">
      <c r="A1857" s="4">
        <v>45329</v>
      </c>
      <c r="B1857">
        <v>2024</v>
      </c>
      <c r="C1857">
        <v>2</v>
      </c>
      <c r="D1857" s="5" t="s">
        <v>44</v>
      </c>
      <c r="E1857" s="5" t="s">
        <v>82</v>
      </c>
      <c r="F1857" s="5" t="s">
        <v>83</v>
      </c>
      <c r="G1857" s="5" t="s">
        <v>84</v>
      </c>
      <c r="H1857" s="5" t="s">
        <v>74</v>
      </c>
      <c r="I1857" s="5" t="s">
        <v>40</v>
      </c>
      <c r="J1857" s="5" t="s">
        <v>49</v>
      </c>
      <c r="K1857">
        <v>53</v>
      </c>
      <c r="L1857">
        <v>642518</v>
      </c>
      <c r="M1857" s="26">
        <v>34053454</v>
      </c>
      <c r="N1857">
        <v>17292</v>
      </c>
      <c r="O1857" s="26">
        <v>4336605.55</v>
      </c>
      <c r="P1857" s="5" t="s">
        <v>42</v>
      </c>
      <c r="Q1857" s="5" t="s">
        <v>75</v>
      </c>
      <c r="R1857">
        <v>4.8</v>
      </c>
      <c r="S1857">
        <v>10</v>
      </c>
      <c r="T1857">
        <f t="shared" si="28"/>
        <v>1</v>
      </c>
    </row>
    <row r="1858" spans="1:20">
      <c r="A1858" s="4">
        <v>45338</v>
      </c>
      <c r="B1858">
        <v>2024</v>
      </c>
      <c r="C1858">
        <v>2</v>
      </c>
      <c r="D1858" s="5" t="s">
        <v>66</v>
      </c>
      <c r="E1858" s="5" t="s">
        <v>67</v>
      </c>
      <c r="F1858" s="5" t="s">
        <v>68</v>
      </c>
      <c r="G1858" s="5" t="s">
        <v>69</v>
      </c>
      <c r="H1858" s="5" t="s">
        <v>74</v>
      </c>
      <c r="I1858" s="5" t="s">
        <v>40</v>
      </c>
      <c r="J1858" s="5" t="s">
        <v>49</v>
      </c>
      <c r="K1858">
        <v>60</v>
      </c>
      <c r="L1858">
        <v>662551</v>
      </c>
      <c r="M1858" s="26">
        <v>39753060</v>
      </c>
      <c r="N1858">
        <v>43315</v>
      </c>
      <c r="O1858" s="26">
        <v>5265071.28</v>
      </c>
      <c r="P1858" s="5" t="s">
        <v>50</v>
      </c>
      <c r="Q1858" s="5" t="s">
        <v>51</v>
      </c>
      <c r="R1858">
        <v>4.5999999999999996</v>
      </c>
      <c r="S1858">
        <v>19</v>
      </c>
      <c r="T1858">
        <f t="shared" ref="T1858:T1921" si="29">IF(AND(OR($B1858=Sel_Year,Sel_Year="All"),OR($C1858=Sel_Month,Sel_Month="All"),OR($D1858=Sel_Region,Sel_Region="All"),OR($E1858=Sel_State,Sel_State="All"),OR($F1858=Sel_City,Sel_City="All"),OR($G1858=Sel_Dealer,Sel_Dealer="All"),OR($H1858=Sel_Model,Sel_Model="All"),OR($I1858=Sel_Segment,Sel_Segment="All"),OR($J1858=Sel_Fuel,Sel_Fuel="All"),OR($P1858=Sel_CustType,Sel_CustType="All"),OR($Q1858=Sel_Payment,Sel_Payment="All")),1,0)</f>
        <v>0</v>
      </c>
    </row>
    <row r="1859" spans="1:20">
      <c r="A1859" s="4">
        <v>45341</v>
      </c>
      <c r="B1859">
        <v>2024</v>
      </c>
      <c r="C1859">
        <v>2</v>
      </c>
      <c r="D1859" s="5" t="s">
        <v>54</v>
      </c>
      <c r="E1859" s="5" t="s">
        <v>55</v>
      </c>
      <c r="F1859" s="5" t="s">
        <v>55</v>
      </c>
      <c r="G1859" s="5" t="s">
        <v>56</v>
      </c>
      <c r="H1859" s="5" t="s">
        <v>79</v>
      </c>
      <c r="I1859" s="5" t="s">
        <v>58</v>
      </c>
      <c r="J1859" s="5" t="s">
        <v>49</v>
      </c>
      <c r="K1859">
        <v>11</v>
      </c>
      <c r="L1859">
        <v>917358</v>
      </c>
      <c r="M1859" s="26">
        <v>10090938</v>
      </c>
      <c r="N1859">
        <v>36172</v>
      </c>
      <c r="O1859" s="26">
        <v>880773.82</v>
      </c>
      <c r="P1859" s="5" t="s">
        <v>50</v>
      </c>
      <c r="Q1859" s="5" t="s">
        <v>43</v>
      </c>
      <c r="R1859">
        <v>4.5999999999999996</v>
      </c>
      <c r="S1859">
        <v>17</v>
      </c>
      <c r="T1859">
        <f t="shared" si="29"/>
        <v>0</v>
      </c>
    </row>
    <row r="1860" spans="1:20">
      <c r="A1860" s="4">
        <v>45346</v>
      </c>
      <c r="B1860">
        <v>2024</v>
      </c>
      <c r="C1860">
        <v>2</v>
      </c>
      <c r="D1860" s="5" t="s">
        <v>66</v>
      </c>
      <c r="E1860" s="5" t="s">
        <v>67</v>
      </c>
      <c r="F1860" s="5" t="s">
        <v>68</v>
      </c>
      <c r="G1860" s="5" t="s">
        <v>69</v>
      </c>
      <c r="H1860" s="5" t="s">
        <v>65</v>
      </c>
      <c r="I1860" s="5" t="s">
        <v>53</v>
      </c>
      <c r="J1860" s="5" t="s">
        <v>49</v>
      </c>
      <c r="K1860">
        <v>46</v>
      </c>
      <c r="L1860">
        <v>1223383</v>
      </c>
      <c r="M1860" s="26">
        <v>56275618</v>
      </c>
      <c r="N1860">
        <v>10265</v>
      </c>
      <c r="O1860" s="26">
        <v>5238257.8499999996</v>
      </c>
      <c r="P1860" s="5" t="s">
        <v>50</v>
      </c>
      <c r="Q1860" s="5" t="s">
        <v>51</v>
      </c>
      <c r="R1860">
        <v>4.5999999999999996</v>
      </c>
      <c r="S1860">
        <v>2</v>
      </c>
      <c r="T1860">
        <f t="shared" si="29"/>
        <v>0</v>
      </c>
    </row>
    <row r="1861" spans="1:20">
      <c r="A1861" s="4">
        <v>45344</v>
      </c>
      <c r="B1861">
        <v>2024</v>
      </c>
      <c r="C1861">
        <v>2</v>
      </c>
      <c r="D1861" s="5" t="s">
        <v>35</v>
      </c>
      <c r="E1861" s="5" t="s">
        <v>60</v>
      </c>
      <c r="F1861" s="5" t="s">
        <v>61</v>
      </c>
      <c r="G1861" s="5" t="s">
        <v>62</v>
      </c>
      <c r="H1861" s="5" t="s">
        <v>86</v>
      </c>
      <c r="I1861" s="5" t="s">
        <v>40</v>
      </c>
      <c r="J1861" s="5" t="s">
        <v>41</v>
      </c>
      <c r="K1861">
        <v>48</v>
      </c>
      <c r="L1861">
        <v>584262</v>
      </c>
      <c r="M1861" s="26">
        <v>28044576</v>
      </c>
      <c r="N1861">
        <v>5572</v>
      </c>
      <c r="O1861" s="26">
        <v>2985074.45</v>
      </c>
      <c r="P1861" s="5" t="s">
        <v>50</v>
      </c>
      <c r="Q1861" s="5" t="s">
        <v>43</v>
      </c>
      <c r="R1861">
        <v>4.4000000000000004</v>
      </c>
      <c r="S1861">
        <v>2</v>
      </c>
      <c r="T1861">
        <f t="shared" si="29"/>
        <v>0</v>
      </c>
    </row>
    <row r="1862" spans="1:20">
      <c r="A1862" s="4">
        <v>45348</v>
      </c>
      <c r="B1862">
        <v>2024</v>
      </c>
      <c r="C1862">
        <v>2</v>
      </c>
      <c r="D1862" s="5" t="s">
        <v>35</v>
      </c>
      <c r="E1862" s="5" t="s">
        <v>60</v>
      </c>
      <c r="F1862" s="5" t="s">
        <v>61</v>
      </c>
      <c r="G1862" s="5" t="s">
        <v>62</v>
      </c>
      <c r="H1862" s="5" t="s">
        <v>73</v>
      </c>
      <c r="I1862" s="5" t="s">
        <v>40</v>
      </c>
      <c r="J1862" s="5" t="s">
        <v>49</v>
      </c>
      <c r="K1862">
        <v>58</v>
      </c>
      <c r="L1862">
        <v>738273</v>
      </c>
      <c r="M1862" s="26">
        <v>42819834</v>
      </c>
      <c r="N1862">
        <v>41783</v>
      </c>
      <c r="O1862" s="26">
        <v>5224085.76</v>
      </c>
      <c r="P1862" s="5" t="s">
        <v>42</v>
      </c>
      <c r="Q1862" s="5" t="s">
        <v>51</v>
      </c>
      <c r="R1862">
        <v>3.6</v>
      </c>
      <c r="S1862">
        <v>20</v>
      </c>
      <c r="T1862">
        <f t="shared" si="29"/>
        <v>1</v>
      </c>
    </row>
    <row r="1863" spans="1:20">
      <c r="A1863" s="4">
        <v>45332</v>
      </c>
      <c r="B1863">
        <v>2024</v>
      </c>
      <c r="C1863">
        <v>2</v>
      </c>
      <c r="D1863" s="5" t="s">
        <v>35</v>
      </c>
      <c r="E1863" s="5" t="s">
        <v>60</v>
      </c>
      <c r="F1863" s="5" t="s">
        <v>61</v>
      </c>
      <c r="G1863" s="5" t="s">
        <v>62</v>
      </c>
      <c r="H1863" s="5" t="s">
        <v>52</v>
      </c>
      <c r="I1863" s="5" t="s">
        <v>53</v>
      </c>
      <c r="J1863" s="5" t="s">
        <v>41</v>
      </c>
      <c r="K1863">
        <v>46</v>
      </c>
      <c r="L1863">
        <v>974668</v>
      </c>
      <c r="M1863" s="26">
        <v>44834728</v>
      </c>
      <c r="N1863">
        <v>46931</v>
      </c>
      <c r="O1863" s="26">
        <v>5977844.9000000004</v>
      </c>
      <c r="P1863" s="5" t="s">
        <v>42</v>
      </c>
      <c r="Q1863" s="5" t="s">
        <v>51</v>
      </c>
      <c r="R1863">
        <v>4.7</v>
      </c>
      <c r="S1863">
        <v>18</v>
      </c>
      <c r="T1863">
        <f t="shared" si="29"/>
        <v>1</v>
      </c>
    </row>
    <row r="1864" spans="1:20">
      <c r="A1864" s="4">
        <v>45346</v>
      </c>
      <c r="B1864">
        <v>2024</v>
      </c>
      <c r="C1864">
        <v>2</v>
      </c>
      <c r="D1864" s="5" t="s">
        <v>35</v>
      </c>
      <c r="E1864" s="5" t="s">
        <v>60</v>
      </c>
      <c r="F1864" s="5" t="s">
        <v>61</v>
      </c>
      <c r="G1864" s="5" t="s">
        <v>62</v>
      </c>
      <c r="H1864" s="5" t="s">
        <v>65</v>
      </c>
      <c r="I1864" s="5" t="s">
        <v>53</v>
      </c>
      <c r="J1864" s="5" t="s">
        <v>49</v>
      </c>
      <c r="K1864">
        <v>14</v>
      </c>
      <c r="L1864">
        <v>1254306</v>
      </c>
      <c r="M1864" s="26">
        <v>17560284</v>
      </c>
      <c r="N1864">
        <v>29666</v>
      </c>
      <c r="O1864" s="26">
        <v>1880098.83</v>
      </c>
      <c r="P1864" s="5" t="s">
        <v>50</v>
      </c>
      <c r="Q1864" s="5" t="s">
        <v>51</v>
      </c>
      <c r="R1864">
        <v>5</v>
      </c>
      <c r="S1864">
        <v>10</v>
      </c>
      <c r="T1864">
        <f t="shared" si="29"/>
        <v>0</v>
      </c>
    </row>
    <row r="1865" spans="1:20">
      <c r="A1865" s="4">
        <v>45338</v>
      </c>
      <c r="B1865">
        <v>2024</v>
      </c>
      <c r="C1865">
        <v>2</v>
      </c>
      <c r="D1865" s="5" t="s">
        <v>35</v>
      </c>
      <c r="E1865" s="5" t="s">
        <v>76</v>
      </c>
      <c r="F1865" s="5" t="s">
        <v>77</v>
      </c>
      <c r="G1865" s="5" t="s">
        <v>78</v>
      </c>
      <c r="H1865" s="5" t="s">
        <v>74</v>
      </c>
      <c r="I1865" s="5" t="s">
        <v>40</v>
      </c>
      <c r="J1865" s="5" t="s">
        <v>49</v>
      </c>
      <c r="K1865">
        <v>44</v>
      </c>
      <c r="L1865">
        <v>627632</v>
      </c>
      <c r="M1865" s="26">
        <v>27615808</v>
      </c>
      <c r="N1865">
        <v>14495</v>
      </c>
      <c r="O1865" s="26">
        <v>3205056.98</v>
      </c>
      <c r="P1865" s="5" t="s">
        <v>50</v>
      </c>
      <c r="Q1865" s="5" t="s">
        <v>75</v>
      </c>
      <c r="R1865">
        <v>4.5999999999999996</v>
      </c>
      <c r="S1865">
        <v>14</v>
      </c>
      <c r="T1865">
        <f t="shared" si="29"/>
        <v>0</v>
      </c>
    </row>
    <row r="1866" spans="1:20">
      <c r="A1866" s="4">
        <v>45323</v>
      </c>
      <c r="B1866">
        <v>2024</v>
      </c>
      <c r="C1866">
        <v>2</v>
      </c>
      <c r="D1866" s="5" t="s">
        <v>66</v>
      </c>
      <c r="E1866" s="5" t="s">
        <v>67</v>
      </c>
      <c r="F1866" s="5" t="s">
        <v>68</v>
      </c>
      <c r="G1866" s="5" t="s">
        <v>69</v>
      </c>
      <c r="H1866" s="5" t="s">
        <v>52</v>
      </c>
      <c r="I1866" s="5" t="s">
        <v>53</v>
      </c>
      <c r="J1866" s="5" t="s">
        <v>41</v>
      </c>
      <c r="K1866">
        <v>6</v>
      </c>
      <c r="L1866">
        <v>941103</v>
      </c>
      <c r="M1866" s="26">
        <v>5646618</v>
      </c>
      <c r="N1866">
        <v>43360</v>
      </c>
      <c r="O1866" s="26">
        <v>708804.12</v>
      </c>
      <c r="P1866" s="5" t="s">
        <v>42</v>
      </c>
      <c r="Q1866" s="5" t="s">
        <v>51</v>
      </c>
      <c r="R1866">
        <v>4</v>
      </c>
      <c r="S1866">
        <v>7</v>
      </c>
      <c r="T1866">
        <f t="shared" si="29"/>
        <v>1</v>
      </c>
    </row>
    <row r="1867" spans="1:20">
      <c r="A1867" s="4">
        <v>45346</v>
      </c>
      <c r="B1867">
        <v>2024</v>
      </c>
      <c r="C1867">
        <v>2</v>
      </c>
      <c r="D1867" s="5" t="s">
        <v>66</v>
      </c>
      <c r="E1867" s="5" t="s">
        <v>67</v>
      </c>
      <c r="F1867" s="5" t="s">
        <v>68</v>
      </c>
      <c r="G1867" s="5" t="s">
        <v>69</v>
      </c>
      <c r="H1867" s="5" t="s">
        <v>73</v>
      </c>
      <c r="I1867" s="5" t="s">
        <v>40</v>
      </c>
      <c r="J1867" s="5" t="s">
        <v>49</v>
      </c>
      <c r="K1867">
        <v>59</v>
      </c>
      <c r="L1867">
        <v>703863</v>
      </c>
      <c r="M1867" s="26">
        <v>41527917</v>
      </c>
      <c r="N1867">
        <v>30153</v>
      </c>
      <c r="O1867" s="26">
        <v>4349561.01</v>
      </c>
      <c r="P1867" s="5" t="s">
        <v>50</v>
      </c>
      <c r="Q1867" s="5" t="s">
        <v>75</v>
      </c>
      <c r="R1867">
        <v>4.9000000000000004</v>
      </c>
      <c r="S1867">
        <v>14</v>
      </c>
      <c r="T1867">
        <f t="shared" si="29"/>
        <v>0</v>
      </c>
    </row>
    <row r="1868" spans="1:20">
      <c r="A1868" s="4">
        <v>45338</v>
      </c>
      <c r="B1868">
        <v>2024</v>
      </c>
      <c r="C1868">
        <v>2</v>
      </c>
      <c r="D1868" s="5" t="s">
        <v>35</v>
      </c>
      <c r="E1868" s="5" t="s">
        <v>36</v>
      </c>
      <c r="F1868" s="5" t="s">
        <v>37</v>
      </c>
      <c r="G1868" s="5" t="s">
        <v>38</v>
      </c>
      <c r="H1868" s="5" t="s">
        <v>63</v>
      </c>
      <c r="I1868" s="5" t="s">
        <v>64</v>
      </c>
      <c r="J1868" s="5" t="s">
        <v>41</v>
      </c>
      <c r="K1868">
        <v>22</v>
      </c>
      <c r="L1868">
        <v>774336</v>
      </c>
      <c r="M1868" s="26">
        <v>17035392</v>
      </c>
      <c r="N1868">
        <v>21508</v>
      </c>
      <c r="O1868" s="26">
        <v>2295648.23</v>
      </c>
      <c r="P1868" s="5" t="s">
        <v>50</v>
      </c>
      <c r="Q1868" s="5" t="s">
        <v>75</v>
      </c>
      <c r="R1868">
        <v>4.7</v>
      </c>
      <c r="S1868">
        <v>7</v>
      </c>
      <c r="T1868">
        <f t="shared" si="29"/>
        <v>0</v>
      </c>
    </row>
    <row r="1869" spans="1:20">
      <c r="A1869" s="4">
        <v>45350</v>
      </c>
      <c r="B1869">
        <v>2024</v>
      </c>
      <c r="C1869">
        <v>2</v>
      </c>
      <c r="D1869" s="5" t="s">
        <v>54</v>
      </c>
      <c r="E1869" s="5" t="s">
        <v>55</v>
      </c>
      <c r="F1869" s="5" t="s">
        <v>55</v>
      </c>
      <c r="G1869" s="5" t="s">
        <v>56</v>
      </c>
      <c r="H1869" s="5" t="s">
        <v>48</v>
      </c>
      <c r="I1869" s="5" t="s">
        <v>40</v>
      </c>
      <c r="J1869" s="5" t="s">
        <v>49</v>
      </c>
      <c r="K1869">
        <v>19</v>
      </c>
      <c r="L1869">
        <v>424089</v>
      </c>
      <c r="M1869" s="26">
        <v>8057691</v>
      </c>
      <c r="N1869">
        <v>35131</v>
      </c>
      <c r="O1869" s="26">
        <v>1169978.79</v>
      </c>
      <c r="P1869" s="5" t="s">
        <v>42</v>
      </c>
      <c r="Q1869" s="5" t="s">
        <v>43</v>
      </c>
      <c r="R1869">
        <v>5</v>
      </c>
      <c r="S1869">
        <v>12</v>
      </c>
      <c r="T1869">
        <f t="shared" si="29"/>
        <v>1</v>
      </c>
    </row>
    <row r="1870" spans="1:20">
      <c r="A1870" s="4">
        <v>45332</v>
      </c>
      <c r="B1870">
        <v>2024</v>
      </c>
      <c r="C1870">
        <v>2</v>
      </c>
      <c r="D1870" s="5" t="s">
        <v>54</v>
      </c>
      <c r="E1870" s="5" t="s">
        <v>55</v>
      </c>
      <c r="F1870" s="5" t="s">
        <v>55</v>
      </c>
      <c r="G1870" s="5" t="s">
        <v>56</v>
      </c>
      <c r="H1870" s="5" t="s">
        <v>52</v>
      </c>
      <c r="I1870" s="5" t="s">
        <v>53</v>
      </c>
      <c r="J1870" s="5" t="s">
        <v>41</v>
      </c>
      <c r="K1870">
        <v>7</v>
      </c>
      <c r="L1870">
        <v>930470</v>
      </c>
      <c r="M1870" s="26">
        <v>6513290</v>
      </c>
      <c r="N1870">
        <v>30579</v>
      </c>
      <c r="O1870" s="26">
        <v>542644.89</v>
      </c>
      <c r="P1870" s="5" t="s">
        <v>42</v>
      </c>
      <c r="Q1870" s="5" t="s">
        <v>75</v>
      </c>
      <c r="R1870">
        <v>4.9000000000000004</v>
      </c>
      <c r="S1870">
        <v>15</v>
      </c>
      <c r="T1870">
        <f t="shared" si="29"/>
        <v>1</v>
      </c>
    </row>
    <row r="1871" spans="1:20">
      <c r="A1871" s="4">
        <v>45333</v>
      </c>
      <c r="B1871">
        <v>2024</v>
      </c>
      <c r="C1871">
        <v>2</v>
      </c>
      <c r="D1871" s="5" t="s">
        <v>44</v>
      </c>
      <c r="E1871" s="5" t="s">
        <v>45</v>
      </c>
      <c r="F1871" s="5" t="s">
        <v>46</v>
      </c>
      <c r="G1871" s="5" t="s">
        <v>47</v>
      </c>
      <c r="H1871" s="5" t="s">
        <v>86</v>
      </c>
      <c r="I1871" s="5" t="s">
        <v>40</v>
      </c>
      <c r="J1871" s="5" t="s">
        <v>41</v>
      </c>
      <c r="K1871">
        <v>48</v>
      </c>
      <c r="L1871">
        <v>585330</v>
      </c>
      <c r="M1871" s="26">
        <v>28095840</v>
      </c>
      <c r="N1871">
        <v>10002</v>
      </c>
      <c r="O1871" s="26">
        <v>4494942.79</v>
      </c>
      <c r="P1871" s="5" t="s">
        <v>50</v>
      </c>
      <c r="Q1871" s="5" t="s">
        <v>43</v>
      </c>
      <c r="R1871">
        <v>3.7</v>
      </c>
      <c r="S1871">
        <v>6</v>
      </c>
      <c r="T1871">
        <f t="shared" si="29"/>
        <v>0</v>
      </c>
    </row>
    <row r="1872" spans="1:20">
      <c r="A1872" s="4">
        <v>45335</v>
      </c>
      <c r="B1872">
        <v>2024</v>
      </c>
      <c r="C1872">
        <v>2</v>
      </c>
      <c r="D1872" s="5" t="s">
        <v>54</v>
      </c>
      <c r="E1872" s="5" t="s">
        <v>55</v>
      </c>
      <c r="F1872" s="5" t="s">
        <v>55</v>
      </c>
      <c r="G1872" s="5" t="s">
        <v>56</v>
      </c>
      <c r="H1872" s="5" t="s">
        <v>39</v>
      </c>
      <c r="I1872" s="5" t="s">
        <v>40</v>
      </c>
      <c r="J1872" s="5" t="s">
        <v>41</v>
      </c>
      <c r="K1872">
        <v>58</v>
      </c>
      <c r="L1872">
        <v>564347</v>
      </c>
      <c r="M1872" s="26">
        <v>32732126</v>
      </c>
      <c r="N1872">
        <v>23817</v>
      </c>
      <c r="O1872" s="26">
        <v>3372549.34</v>
      </c>
      <c r="P1872" s="5" t="s">
        <v>50</v>
      </c>
      <c r="Q1872" s="5" t="s">
        <v>75</v>
      </c>
      <c r="R1872">
        <v>4.0999999999999996</v>
      </c>
      <c r="S1872">
        <v>8</v>
      </c>
      <c r="T1872">
        <f t="shared" si="29"/>
        <v>0</v>
      </c>
    </row>
    <row r="1873" spans="1:20">
      <c r="A1873" s="4">
        <v>45337</v>
      </c>
      <c r="B1873">
        <v>2024</v>
      </c>
      <c r="C1873">
        <v>2</v>
      </c>
      <c r="D1873" s="5" t="s">
        <v>54</v>
      </c>
      <c r="E1873" s="5" t="s">
        <v>70</v>
      </c>
      <c r="F1873" s="5" t="s">
        <v>71</v>
      </c>
      <c r="G1873" s="5" t="s">
        <v>72</v>
      </c>
      <c r="H1873" s="5" t="s">
        <v>52</v>
      </c>
      <c r="I1873" s="5" t="s">
        <v>53</v>
      </c>
      <c r="J1873" s="5" t="s">
        <v>41</v>
      </c>
      <c r="K1873">
        <v>33</v>
      </c>
      <c r="L1873">
        <v>953782</v>
      </c>
      <c r="M1873" s="26">
        <v>31474806</v>
      </c>
      <c r="N1873">
        <v>30669</v>
      </c>
      <c r="O1873" s="26">
        <v>3051889</v>
      </c>
      <c r="P1873" s="5" t="s">
        <v>50</v>
      </c>
      <c r="Q1873" s="5" t="s">
        <v>51</v>
      </c>
      <c r="R1873">
        <v>4.8</v>
      </c>
      <c r="S1873">
        <v>16</v>
      </c>
      <c r="T1873">
        <f t="shared" si="29"/>
        <v>0</v>
      </c>
    </row>
    <row r="1874" spans="1:20">
      <c r="A1874" s="4">
        <v>45345</v>
      </c>
      <c r="B1874">
        <v>2024</v>
      </c>
      <c r="C1874">
        <v>2</v>
      </c>
      <c r="D1874" s="5" t="s">
        <v>54</v>
      </c>
      <c r="E1874" s="5" t="s">
        <v>55</v>
      </c>
      <c r="F1874" s="5" t="s">
        <v>55</v>
      </c>
      <c r="G1874" s="5" t="s">
        <v>56</v>
      </c>
      <c r="H1874" s="5" t="s">
        <v>57</v>
      </c>
      <c r="I1874" s="5" t="s">
        <v>58</v>
      </c>
      <c r="J1874" s="5" t="s">
        <v>59</v>
      </c>
      <c r="K1874">
        <v>47</v>
      </c>
      <c r="L1874">
        <v>1385238</v>
      </c>
      <c r="M1874" s="26">
        <v>65106186</v>
      </c>
      <c r="N1874">
        <v>25351</v>
      </c>
      <c r="O1874" s="26">
        <v>6102741</v>
      </c>
      <c r="P1874" s="5" t="s">
        <v>42</v>
      </c>
      <c r="Q1874" s="5" t="s">
        <v>75</v>
      </c>
      <c r="R1874">
        <v>4.8</v>
      </c>
      <c r="S1874">
        <v>19</v>
      </c>
      <c r="T1874">
        <f t="shared" si="29"/>
        <v>1</v>
      </c>
    </row>
    <row r="1875" spans="1:20">
      <c r="A1875" s="4">
        <v>45332</v>
      </c>
      <c r="B1875">
        <v>2024</v>
      </c>
      <c r="C1875">
        <v>2</v>
      </c>
      <c r="D1875" s="5" t="s">
        <v>35</v>
      </c>
      <c r="E1875" s="5" t="s">
        <v>76</v>
      </c>
      <c r="F1875" s="5" t="s">
        <v>77</v>
      </c>
      <c r="G1875" s="5" t="s">
        <v>78</v>
      </c>
      <c r="H1875" s="5" t="s">
        <v>39</v>
      </c>
      <c r="I1875" s="5" t="s">
        <v>40</v>
      </c>
      <c r="J1875" s="5" t="s">
        <v>41</v>
      </c>
      <c r="K1875">
        <v>33</v>
      </c>
      <c r="L1875">
        <v>607221</v>
      </c>
      <c r="M1875" s="26">
        <v>20038293</v>
      </c>
      <c r="N1875">
        <v>47930</v>
      </c>
      <c r="O1875" s="26">
        <v>2103443.5099999998</v>
      </c>
      <c r="P1875" s="5" t="s">
        <v>42</v>
      </c>
      <c r="Q1875" s="5" t="s">
        <v>43</v>
      </c>
      <c r="R1875">
        <v>4.3</v>
      </c>
      <c r="S1875">
        <v>3</v>
      </c>
      <c r="T1875">
        <f t="shared" si="29"/>
        <v>1</v>
      </c>
    </row>
    <row r="1876" spans="1:20">
      <c r="A1876" s="4">
        <v>45343</v>
      </c>
      <c r="B1876">
        <v>2024</v>
      </c>
      <c r="C1876">
        <v>2</v>
      </c>
      <c r="D1876" s="5" t="s">
        <v>35</v>
      </c>
      <c r="E1876" s="5" t="s">
        <v>60</v>
      </c>
      <c r="F1876" s="5" t="s">
        <v>61</v>
      </c>
      <c r="G1876" s="5" t="s">
        <v>62</v>
      </c>
      <c r="H1876" s="5" t="s">
        <v>57</v>
      </c>
      <c r="I1876" s="5" t="s">
        <v>58</v>
      </c>
      <c r="J1876" s="5" t="s">
        <v>59</v>
      </c>
      <c r="K1876">
        <v>59</v>
      </c>
      <c r="L1876">
        <v>1387585</v>
      </c>
      <c r="M1876" s="26">
        <v>81867515</v>
      </c>
      <c r="N1876">
        <v>49843</v>
      </c>
      <c r="O1876" s="26">
        <v>12318302.060000001</v>
      </c>
      <c r="P1876" s="5" t="s">
        <v>42</v>
      </c>
      <c r="Q1876" s="5" t="s">
        <v>75</v>
      </c>
      <c r="R1876">
        <v>4.4000000000000004</v>
      </c>
      <c r="S1876">
        <v>16</v>
      </c>
      <c r="T1876">
        <f t="shared" si="29"/>
        <v>1</v>
      </c>
    </row>
    <row r="1877" spans="1:20">
      <c r="A1877" s="4">
        <v>45348</v>
      </c>
      <c r="B1877">
        <v>2024</v>
      </c>
      <c r="C1877">
        <v>2</v>
      </c>
      <c r="D1877" s="5" t="s">
        <v>35</v>
      </c>
      <c r="E1877" s="5" t="s">
        <v>60</v>
      </c>
      <c r="F1877" s="5" t="s">
        <v>61</v>
      </c>
      <c r="G1877" s="5" t="s">
        <v>62</v>
      </c>
      <c r="H1877" s="5" t="s">
        <v>73</v>
      </c>
      <c r="I1877" s="5" t="s">
        <v>40</v>
      </c>
      <c r="J1877" s="5" t="s">
        <v>49</v>
      </c>
      <c r="K1877">
        <v>25</v>
      </c>
      <c r="L1877">
        <v>718279</v>
      </c>
      <c r="M1877" s="26">
        <v>17956975</v>
      </c>
      <c r="N1877">
        <v>19228</v>
      </c>
      <c r="O1877" s="26">
        <v>1597918.63</v>
      </c>
      <c r="P1877" s="5" t="s">
        <v>42</v>
      </c>
      <c r="Q1877" s="5" t="s">
        <v>51</v>
      </c>
      <c r="R1877">
        <v>3.6</v>
      </c>
      <c r="S1877">
        <v>6</v>
      </c>
      <c r="T1877">
        <f t="shared" si="29"/>
        <v>1</v>
      </c>
    </row>
    <row r="1878" spans="1:20">
      <c r="A1878" s="4">
        <v>45324</v>
      </c>
      <c r="B1878">
        <v>2024</v>
      </c>
      <c r="C1878">
        <v>2</v>
      </c>
      <c r="D1878" s="5" t="s">
        <v>44</v>
      </c>
      <c r="E1878" s="5" t="s">
        <v>82</v>
      </c>
      <c r="F1878" s="5" t="s">
        <v>83</v>
      </c>
      <c r="G1878" s="5" t="s">
        <v>84</v>
      </c>
      <c r="H1878" s="5" t="s">
        <v>48</v>
      </c>
      <c r="I1878" s="5" t="s">
        <v>40</v>
      </c>
      <c r="J1878" s="5" t="s">
        <v>49</v>
      </c>
      <c r="K1878">
        <v>20</v>
      </c>
      <c r="L1878">
        <v>423938</v>
      </c>
      <c r="M1878" s="26">
        <v>8478760</v>
      </c>
      <c r="N1878">
        <v>7737</v>
      </c>
      <c r="O1878" s="26">
        <v>1072072.24</v>
      </c>
      <c r="P1878" s="5" t="s">
        <v>42</v>
      </c>
      <c r="Q1878" s="5" t="s">
        <v>75</v>
      </c>
      <c r="R1878">
        <v>4.2</v>
      </c>
      <c r="S1878">
        <v>15</v>
      </c>
      <c r="T1878">
        <f t="shared" si="29"/>
        <v>1</v>
      </c>
    </row>
    <row r="1879" spans="1:20">
      <c r="A1879" s="4">
        <v>45343</v>
      </c>
      <c r="B1879">
        <v>2024</v>
      </c>
      <c r="C1879">
        <v>2</v>
      </c>
      <c r="D1879" s="5" t="s">
        <v>35</v>
      </c>
      <c r="E1879" s="5" t="s">
        <v>36</v>
      </c>
      <c r="F1879" s="5" t="s">
        <v>37</v>
      </c>
      <c r="G1879" s="5" t="s">
        <v>38</v>
      </c>
      <c r="H1879" s="5" t="s">
        <v>39</v>
      </c>
      <c r="I1879" s="5" t="s">
        <v>40</v>
      </c>
      <c r="J1879" s="5" t="s">
        <v>41</v>
      </c>
      <c r="K1879">
        <v>49</v>
      </c>
      <c r="L1879">
        <v>607007</v>
      </c>
      <c r="M1879" s="26">
        <v>29743343</v>
      </c>
      <c r="N1879">
        <v>5534</v>
      </c>
      <c r="O1879" s="26">
        <v>3980610.82</v>
      </c>
      <c r="P1879" s="5" t="s">
        <v>42</v>
      </c>
      <c r="Q1879" s="5" t="s">
        <v>75</v>
      </c>
      <c r="R1879">
        <v>4.5999999999999996</v>
      </c>
      <c r="S1879">
        <v>11</v>
      </c>
      <c r="T1879">
        <f t="shared" si="29"/>
        <v>1</v>
      </c>
    </row>
    <row r="1880" spans="1:20">
      <c r="A1880" s="4">
        <v>45327</v>
      </c>
      <c r="B1880">
        <v>2024</v>
      </c>
      <c r="C1880">
        <v>2</v>
      </c>
      <c r="D1880" s="5" t="s">
        <v>35</v>
      </c>
      <c r="E1880" s="5" t="s">
        <v>76</v>
      </c>
      <c r="F1880" s="5" t="s">
        <v>77</v>
      </c>
      <c r="G1880" s="5" t="s">
        <v>78</v>
      </c>
      <c r="H1880" s="5" t="s">
        <v>73</v>
      </c>
      <c r="I1880" s="5" t="s">
        <v>40</v>
      </c>
      <c r="J1880" s="5" t="s">
        <v>49</v>
      </c>
      <c r="K1880">
        <v>53</v>
      </c>
      <c r="L1880">
        <v>713803</v>
      </c>
      <c r="M1880" s="26">
        <v>37831559</v>
      </c>
      <c r="N1880">
        <v>30755</v>
      </c>
      <c r="O1880" s="26">
        <v>3755260.86</v>
      </c>
      <c r="P1880" s="5" t="s">
        <v>42</v>
      </c>
      <c r="Q1880" s="5" t="s">
        <v>43</v>
      </c>
      <c r="R1880">
        <v>3.7</v>
      </c>
      <c r="S1880">
        <v>7</v>
      </c>
      <c r="T1880">
        <f t="shared" si="29"/>
        <v>1</v>
      </c>
    </row>
    <row r="1881" spans="1:20">
      <c r="A1881" s="4">
        <v>45326</v>
      </c>
      <c r="B1881">
        <v>2024</v>
      </c>
      <c r="C1881">
        <v>2</v>
      </c>
      <c r="D1881" s="5" t="s">
        <v>44</v>
      </c>
      <c r="E1881" s="5" t="s">
        <v>45</v>
      </c>
      <c r="F1881" s="5" t="s">
        <v>46</v>
      </c>
      <c r="G1881" s="5" t="s">
        <v>47</v>
      </c>
      <c r="H1881" s="5" t="s">
        <v>79</v>
      </c>
      <c r="I1881" s="5" t="s">
        <v>58</v>
      </c>
      <c r="J1881" s="5" t="s">
        <v>49</v>
      </c>
      <c r="K1881">
        <v>23</v>
      </c>
      <c r="L1881">
        <v>875341</v>
      </c>
      <c r="M1881" s="26">
        <v>20132843</v>
      </c>
      <c r="N1881">
        <v>9166</v>
      </c>
      <c r="O1881" s="26">
        <v>1709771.71</v>
      </c>
      <c r="P1881" s="5" t="s">
        <v>50</v>
      </c>
      <c r="Q1881" s="5" t="s">
        <v>75</v>
      </c>
      <c r="R1881">
        <v>3.9</v>
      </c>
      <c r="S1881">
        <v>10</v>
      </c>
      <c r="T1881">
        <f t="shared" si="29"/>
        <v>0</v>
      </c>
    </row>
    <row r="1882" spans="1:20">
      <c r="A1882" s="4">
        <v>45339</v>
      </c>
      <c r="B1882">
        <v>2024</v>
      </c>
      <c r="C1882">
        <v>2</v>
      </c>
      <c r="D1882" s="5" t="s">
        <v>66</v>
      </c>
      <c r="E1882" s="5" t="s">
        <v>67</v>
      </c>
      <c r="F1882" s="5" t="s">
        <v>68</v>
      </c>
      <c r="G1882" s="5" t="s">
        <v>69</v>
      </c>
      <c r="H1882" s="5" t="s">
        <v>52</v>
      </c>
      <c r="I1882" s="5" t="s">
        <v>53</v>
      </c>
      <c r="J1882" s="5" t="s">
        <v>41</v>
      </c>
      <c r="K1882">
        <v>7</v>
      </c>
      <c r="L1882">
        <v>957460</v>
      </c>
      <c r="M1882" s="26">
        <v>6702220</v>
      </c>
      <c r="N1882">
        <v>38267</v>
      </c>
      <c r="O1882" s="26">
        <v>811915.9</v>
      </c>
      <c r="P1882" s="5" t="s">
        <v>50</v>
      </c>
      <c r="Q1882" s="5" t="s">
        <v>43</v>
      </c>
      <c r="R1882">
        <v>4.2</v>
      </c>
      <c r="S1882">
        <v>19</v>
      </c>
      <c r="T1882">
        <f t="shared" si="29"/>
        <v>0</v>
      </c>
    </row>
    <row r="1883" spans="1:20">
      <c r="A1883" s="4">
        <v>45343</v>
      </c>
      <c r="B1883">
        <v>2024</v>
      </c>
      <c r="C1883">
        <v>2</v>
      </c>
      <c r="D1883" s="5" t="s">
        <v>35</v>
      </c>
      <c r="E1883" s="5" t="s">
        <v>36</v>
      </c>
      <c r="F1883" s="5" t="s">
        <v>37</v>
      </c>
      <c r="G1883" s="5" t="s">
        <v>38</v>
      </c>
      <c r="H1883" s="5" t="s">
        <v>79</v>
      </c>
      <c r="I1883" s="5" t="s">
        <v>58</v>
      </c>
      <c r="J1883" s="5" t="s">
        <v>49</v>
      </c>
      <c r="K1883">
        <v>43</v>
      </c>
      <c r="L1883">
        <v>917502</v>
      </c>
      <c r="M1883" s="26">
        <v>39452586</v>
      </c>
      <c r="N1883">
        <v>44739</v>
      </c>
      <c r="O1883" s="26">
        <v>6153193.5999999996</v>
      </c>
      <c r="P1883" s="5" t="s">
        <v>42</v>
      </c>
      <c r="Q1883" s="5" t="s">
        <v>51</v>
      </c>
      <c r="R1883">
        <v>3.9</v>
      </c>
      <c r="S1883">
        <v>3</v>
      </c>
      <c r="T1883">
        <f t="shared" si="29"/>
        <v>1</v>
      </c>
    </row>
    <row r="1884" spans="1:20">
      <c r="A1884" s="4">
        <v>45324</v>
      </c>
      <c r="B1884">
        <v>2024</v>
      </c>
      <c r="C1884">
        <v>2</v>
      </c>
      <c r="D1884" s="5" t="s">
        <v>54</v>
      </c>
      <c r="E1884" s="5" t="s">
        <v>70</v>
      </c>
      <c r="F1884" s="5" t="s">
        <v>71</v>
      </c>
      <c r="G1884" s="5" t="s">
        <v>72</v>
      </c>
      <c r="H1884" s="5" t="s">
        <v>65</v>
      </c>
      <c r="I1884" s="5" t="s">
        <v>53</v>
      </c>
      <c r="J1884" s="5" t="s">
        <v>49</v>
      </c>
      <c r="K1884">
        <v>28</v>
      </c>
      <c r="L1884">
        <v>1260611</v>
      </c>
      <c r="M1884" s="26">
        <v>35297108</v>
      </c>
      <c r="N1884">
        <v>26717</v>
      </c>
      <c r="O1884" s="26">
        <v>4942030</v>
      </c>
      <c r="P1884" s="5" t="s">
        <v>42</v>
      </c>
      <c r="Q1884" s="5" t="s">
        <v>43</v>
      </c>
      <c r="R1884">
        <v>3.7</v>
      </c>
      <c r="S1884">
        <v>18</v>
      </c>
      <c r="T1884">
        <f t="shared" si="29"/>
        <v>1</v>
      </c>
    </row>
    <row r="1885" spans="1:20">
      <c r="A1885" s="4">
        <v>45325</v>
      </c>
      <c r="B1885">
        <v>2024</v>
      </c>
      <c r="C1885">
        <v>2</v>
      </c>
      <c r="D1885" s="5" t="s">
        <v>66</v>
      </c>
      <c r="E1885" s="5" t="s">
        <v>67</v>
      </c>
      <c r="F1885" s="5" t="s">
        <v>68</v>
      </c>
      <c r="G1885" s="5" t="s">
        <v>69</v>
      </c>
      <c r="H1885" s="5" t="s">
        <v>74</v>
      </c>
      <c r="I1885" s="5" t="s">
        <v>40</v>
      </c>
      <c r="J1885" s="5" t="s">
        <v>49</v>
      </c>
      <c r="K1885">
        <v>46</v>
      </c>
      <c r="L1885">
        <v>629629</v>
      </c>
      <c r="M1885" s="26">
        <v>28962934</v>
      </c>
      <c r="N1885">
        <v>23515</v>
      </c>
      <c r="O1885" s="26">
        <v>4342703.46</v>
      </c>
      <c r="P1885" s="5" t="s">
        <v>42</v>
      </c>
      <c r="Q1885" s="5" t="s">
        <v>43</v>
      </c>
      <c r="R1885">
        <v>4.7</v>
      </c>
      <c r="S1885">
        <v>9</v>
      </c>
      <c r="T1885">
        <f t="shared" si="29"/>
        <v>1</v>
      </c>
    </row>
    <row r="1886" spans="1:20">
      <c r="A1886" s="4">
        <v>45339</v>
      </c>
      <c r="B1886">
        <v>2024</v>
      </c>
      <c r="C1886">
        <v>2</v>
      </c>
      <c r="D1886" s="5" t="s">
        <v>35</v>
      </c>
      <c r="E1886" s="5" t="s">
        <v>36</v>
      </c>
      <c r="F1886" s="5" t="s">
        <v>37</v>
      </c>
      <c r="G1886" s="5" t="s">
        <v>38</v>
      </c>
      <c r="H1886" s="5" t="s">
        <v>48</v>
      </c>
      <c r="I1886" s="5" t="s">
        <v>40</v>
      </c>
      <c r="J1886" s="5" t="s">
        <v>49</v>
      </c>
      <c r="K1886">
        <v>21</v>
      </c>
      <c r="L1886">
        <v>435328</v>
      </c>
      <c r="M1886" s="26">
        <v>9141888</v>
      </c>
      <c r="N1886">
        <v>17271</v>
      </c>
      <c r="O1886" s="26">
        <v>1140904.7</v>
      </c>
      <c r="P1886" s="5" t="s">
        <v>50</v>
      </c>
      <c r="Q1886" s="5" t="s">
        <v>43</v>
      </c>
      <c r="R1886">
        <v>3.8</v>
      </c>
      <c r="S1886">
        <v>11</v>
      </c>
      <c r="T1886">
        <f t="shared" si="29"/>
        <v>0</v>
      </c>
    </row>
    <row r="1887" spans="1:20">
      <c r="A1887" s="4">
        <v>45331</v>
      </c>
      <c r="B1887">
        <v>2024</v>
      </c>
      <c r="C1887">
        <v>2</v>
      </c>
      <c r="D1887" s="5" t="s">
        <v>66</v>
      </c>
      <c r="E1887" s="5" t="s">
        <v>67</v>
      </c>
      <c r="F1887" s="5" t="s">
        <v>68</v>
      </c>
      <c r="G1887" s="5" t="s">
        <v>69</v>
      </c>
      <c r="H1887" s="5" t="s">
        <v>79</v>
      </c>
      <c r="I1887" s="5" t="s">
        <v>58</v>
      </c>
      <c r="J1887" s="5" t="s">
        <v>49</v>
      </c>
      <c r="K1887">
        <v>57</v>
      </c>
      <c r="L1887">
        <v>922576</v>
      </c>
      <c r="M1887" s="26">
        <v>52586832</v>
      </c>
      <c r="N1887">
        <v>49352</v>
      </c>
      <c r="O1887" s="26">
        <v>6382545.6600000001</v>
      </c>
      <c r="P1887" s="5" t="s">
        <v>50</v>
      </c>
      <c r="Q1887" s="5" t="s">
        <v>43</v>
      </c>
      <c r="R1887">
        <v>4.0999999999999996</v>
      </c>
      <c r="S1887">
        <v>8</v>
      </c>
      <c r="T1887">
        <f t="shared" si="29"/>
        <v>0</v>
      </c>
    </row>
    <row r="1888" spans="1:20">
      <c r="A1888" s="4">
        <v>45330</v>
      </c>
      <c r="B1888">
        <v>2024</v>
      </c>
      <c r="C1888">
        <v>2</v>
      </c>
      <c r="D1888" s="5" t="s">
        <v>44</v>
      </c>
      <c r="E1888" s="5" t="s">
        <v>82</v>
      </c>
      <c r="F1888" s="5" t="s">
        <v>83</v>
      </c>
      <c r="G1888" s="5" t="s">
        <v>84</v>
      </c>
      <c r="H1888" s="5" t="s">
        <v>74</v>
      </c>
      <c r="I1888" s="5" t="s">
        <v>40</v>
      </c>
      <c r="J1888" s="5" t="s">
        <v>49</v>
      </c>
      <c r="K1888">
        <v>51</v>
      </c>
      <c r="L1888">
        <v>674701</v>
      </c>
      <c r="M1888" s="26">
        <v>34409751</v>
      </c>
      <c r="N1888">
        <v>40444</v>
      </c>
      <c r="O1888" s="26">
        <v>3152821.27</v>
      </c>
      <c r="P1888" s="5" t="s">
        <v>50</v>
      </c>
      <c r="Q1888" s="5" t="s">
        <v>43</v>
      </c>
      <c r="R1888">
        <v>3.8</v>
      </c>
      <c r="S1888">
        <v>17</v>
      </c>
      <c r="T1888">
        <f t="shared" si="29"/>
        <v>0</v>
      </c>
    </row>
    <row r="1889" spans="1:20">
      <c r="A1889" s="4">
        <v>45344</v>
      </c>
      <c r="B1889">
        <v>2024</v>
      </c>
      <c r="C1889">
        <v>2</v>
      </c>
      <c r="D1889" s="5" t="s">
        <v>35</v>
      </c>
      <c r="E1889" s="5" t="s">
        <v>76</v>
      </c>
      <c r="F1889" s="5" t="s">
        <v>77</v>
      </c>
      <c r="G1889" s="5" t="s">
        <v>78</v>
      </c>
      <c r="H1889" s="5" t="s">
        <v>79</v>
      </c>
      <c r="I1889" s="5" t="s">
        <v>58</v>
      </c>
      <c r="J1889" s="5" t="s">
        <v>49</v>
      </c>
      <c r="K1889">
        <v>26</v>
      </c>
      <c r="L1889">
        <v>911145</v>
      </c>
      <c r="M1889" s="26">
        <v>23689770</v>
      </c>
      <c r="N1889">
        <v>23633</v>
      </c>
      <c r="O1889" s="26">
        <v>2993228.78</v>
      </c>
      <c r="P1889" s="5" t="s">
        <v>50</v>
      </c>
      <c r="Q1889" s="5" t="s">
        <v>75</v>
      </c>
      <c r="R1889">
        <v>4.3</v>
      </c>
      <c r="S1889">
        <v>18</v>
      </c>
      <c r="T1889">
        <f t="shared" si="29"/>
        <v>0</v>
      </c>
    </row>
    <row r="1890" spans="1:20">
      <c r="A1890" s="4">
        <v>45338</v>
      </c>
      <c r="B1890">
        <v>2024</v>
      </c>
      <c r="C1890">
        <v>2</v>
      </c>
      <c r="D1890" s="5" t="s">
        <v>35</v>
      </c>
      <c r="E1890" s="5" t="s">
        <v>76</v>
      </c>
      <c r="F1890" s="5" t="s">
        <v>77</v>
      </c>
      <c r="G1890" s="5" t="s">
        <v>78</v>
      </c>
      <c r="H1890" s="5" t="s">
        <v>80</v>
      </c>
      <c r="I1890" s="5" t="s">
        <v>81</v>
      </c>
      <c r="J1890" s="5" t="s">
        <v>41</v>
      </c>
      <c r="K1890">
        <v>11</v>
      </c>
      <c r="L1890">
        <v>562061</v>
      </c>
      <c r="M1890" s="26">
        <v>6182671</v>
      </c>
      <c r="N1890">
        <v>5464</v>
      </c>
      <c r="O1890" s="26">
        <v>627147.25</v>
      </c>
      <c r="P1890" s="5" t="s">
        <v>42</v>
      </c>
      <c r="Q1890" s="5" t="s">
        <v>51</v>
      </c>
      <c r="R1890">
        <v>4.2</v>
      </c>
      <c r="S1890">
        <v>11</v>
      </c>
      <c r="T1890">
        <f t="shared" si="29"/>
        <v>1</v>
      </c>
    </row>
    <row r="1891" spans="1:20">
      <c r="A1891" s="4">
        <v>45349</v>
      </c>
      <c r="B1891">
        <v>2024</v>
      </c>
      <c r="C1891">
        <v>2</v>
      </c>
      <c r="D1891" s="5" t="s">
        <v>35</v>
      </c>
      <c r="E1891" s="5" t="s">
        <v>60</v>
      </c>
      <c r="F1891" s="5" t="s">
        <v>61</v>
      </c>
      <c r="G1891" s="5" t="s">
        <v>62</v>
      </c>
      <c r="H1891" s="5" t="s">
        <v>39</v>
      </c>
      <c r="I1891" s="5" t="s">
        <v>40</v>
      </c>
      <c r="J1891" s="5" t="s">
        <v>41</v>
      </c>
      <c r="K1891">
        <v>48</v>
      </c>
      <c r="L1891">
        <v>588380</v>
      </c>
      <c r="M1891" s="26">
        <v>28242240</v>
      </c>
      <c r="N1891">
        <v>30280</v>
      </c>
      <c r="O1891" s="26">
        <v>2672248.37</v>
      </c>
      <c r="P1891" s="5" t="s">
        <v>50</v>
      </c>
      <c r="Q1891" s="5" t="s">
        <v>51</v>
      </c>
      <c r="R1891">
        <v>3.9</v>
      </c>
      <c r="S1891">
        <v>9</v>
      </c>
      <c r="T1891">
        <f t="shared" si="29"/>
        <v>0</v>
      </c>
    </row>
    <row r="1892" spans="1:20">
      <c r="A1892" s="4">
        <v>45338</v>
      </c>
      <c r="B1892">
        <v>2024</v>
      </c>
      <c r="C1892">
        <v>2</v>
      </c>
      <c r="D1892" s="5" t="s">
        <v>35</v>
      </c>
      <c r="E1892" s="5" t="s">
        <v>76</v>
      </c>
      <c r="F1892" s="5" t="s">
        <v>77</v>
      </c>
      <c r="G1892" s="5" t="s">
        <v>78</v>
      </c>
      <c r="H1892" s="5" t="s">
        <v>48</v>
      </c>
      <c r="I1892" s="5" t="s">
        <v>40</v>
      </c>
      <c r="J1892" s="5" t="s">
        <v>49</v>
      </c>
      <c r="K1892">
        <v>31</v>
      </c>
      <c r="L1892">
        <v>447633</v>
      </c>
      <c r="M1892" s="26">
        <v>13876623</v>
      </c>
      <c r="N1892">
        <v>29682</v>
      </c>
      <c r="O1892" s="26">
        <v>1823345.86</v>
      </c>
      <c r="P1892" s="5" t="s">
        <v>42</v>
      </c>
      <c r="Q1892" s="5" t="s">
        <v>51</v>
      </c>
      <c r="R1892">
        <v>3.9</v>
      </c>
      <c r="S1892">
        <v>21</v>
      </c>
      <c r="T1892">
        <f t="shared" si="29"/>
        <v>1</v>
      </c>
    </row>
    <row r="1893" spans="1:20">
      <c r="A1893" s="4">
        <v>45346</v>
      </c>
      <c r="B1893">
        <v>2024</v>
      </c>
      <c r="C1893">
        <v>2</v>
      </c>
      <c r="D1893" s="5" t="s">
        <v>54</v>
      </c>
      <c r="E1893" s="5" t="s">
        <v>55</v>
      </c>
      <c r="F1893" s="5" t="s">
        <v>55</v>
      </c>
      <c r="G1893" s="5" t="s">
        <v>56</v>
      </c>
      <c r="H1893" s="5" t="s">
        <v>65</v>
      </c>
      <c r="I1893" s="5" t="s">
        <v>53</v>
      </c>
      <c r="J1893" s="5" t="s">
        <v>49</v>
      </c>
      <c r="K1893">
        <v>19</v>
      </c>
      <c r="L1893">
        <v>1229358</v>
      </c>
      <c r="M1893" s="26">
        <v>23357802</v>
      </c>
      <c r="N1893">
        <v>20288</v>
      </c>
      <c r="O1893" s="26">
        <v>3568563.38</v>
      </c>
      <c r="P1893" s="5" t="s">
        <v>50</v>
      </c>
      <c r="Q1893" s="5" t="s">
        <v>43</v>
      </c>
      <c r="R1893">
        <v>3.5</v>
      </c>
      <c r="S1893">
        <v>3</v>
      </c>
      <c r="T1893">
        <f t="shared" si="29"/>
        <v>0</v>
      </c>
    </row>
    <row r="1894" spans="1:20">
      <c r="A1894" s="4">
        <v>45325</v>
      </c>
      <c r="B1894">
        <v>2024</v>
      </c>
      <c r="C1894">
        <v>2</v>
      </c>
      <c r="D1894" s="5" t="s">
        <v>54</v>
      </c>
      <c r="E1894" s="5" t="s">
        <v>55</v>
      </c>
      <c r="F1894" s="5" t="s">
        <v>55</v>
      </c>
      <c r="G1894" s="5" t="s">
        <v>56</v>
      </c>
      <c r="H1894" s="5" t="s">
        <v>85</v>
      </c>
      <c r="I1894" s="5" t="s">
        <v>58</v>
      </c>
      <c r="J1894" s="5" t="s">
        <v>49</v>
      </c>
      <c r="K1894">
        <v>56</v>
      </c>
      <c r="L1894">
        <v>1000100</v>
      </c>
      <c r="M1894" s="26">
        <v>56005600</v>
      </c>
      <c r="N1894">
        <v>19529</v>
      </c>
      <c r="O1894" s="26">
        <v>7704409.2300000004</v>
      </c>
      <c r="P1894" s="5" t="s">
        <v>42</v>
      </c>
      <c r="Q1894" s="5" t="s">
        <v>43</v>
      </c>
      <c r="R1894">
        <v>4.3</v>
      </c>
      <c r="S1894">
        <v>10</v>
      </c>
      <c r="T1894">
        <f t="shared" si="29"/>
        <v>1</v>
      </c>
    </row>
    <row r="1895" spans="1:20">
      <c r="A1895" s="4">
        <v>45342</v>
      </c>
      <c r="B1895">
        <v>2024</v>
      </c>
      <c r="C1895">
        <v>2</v>
      </c>
      <c r="D1895" s="5" t="s">
        <v>66</v>
      </c>
      <c r="E1895" s="5" t="s">
        <v>67</v>
      </c>
      <c r="F1895" s="5" t="s">
        <v>68</v>
      </c>
      <c r="G1895" s="5" t="s">
        <v>69</v>
      </c>
      <c r="H1895" s="5" t="s">
        <v>74</v>
      </c>
      <c r="I1895" s="5" t="s">
        <v>40</v>
      </c>
      <c r="J1895" s="5" t="s">
        <v>49</v>
      </c>
      <c r="K1895">
        <v>53</v>
      </c>
      <c r="L1895">
        <v>651326</v>
      </c>
      <c r="M1895" s="26">
        <v>34520278</v>
      </c>
      <c r="N1895">
        <v>19247</v>
      </c>
      <c r="O1895" s="26">
        <v>3913075.22</v>
      </c>
      <c r="P1895" s="5" t="s">
        <v>42</v>
      </c>
      <c r="Q1895" s="5" t="s">
        <v>75</v>
      </c>
      <c r="R1895">
        <v>4.2</v>
      </c>
      <c r="S1895">
        <v>10</v>
      </c>
      <c r="T1895">
        <f t="shared" si="29"/>
        <v>1</v>
      </c>
    </row>
    <row r="1896" spans="1:20">
      <c r="A1896" s="4">
        <v>45342</v>
      </c>
      <c r="B1896">
        <v>2024</v>
      </c>
      <c r="C1896">
        <v>2</v>
      </c>
      <c r="D1896" s="5" t="s">
        <v>54</v>
      </c>
      <c r="E1896" s="5" t="s">
        <v>70</v>
      </c>
      <c r="F1896" s="5" t="s">
        <v>71</v>
      </c>
      <c r="G1896" s="5" t="s">
        <v>72</v>
      </c>
      <c r="H1896" s="5" t="s">
        <v>73</v>
      </c>
      <c r="I1896" s="5" t="s">
        <v>40</v>
      </c>
      <c r="J1896" s="5" t="s">
        <v>49</v>
      </c>
      <c r="K1896">
        <v>40</v>
      </c>
      <c r="L1896">
        <v>696368</v>
      </c>
      <c r="M1896" s="26">
        <v>27854720</v>
      </c>
      <c r="N1896">
        <v>14931</v>
      </c>
      <c r="O1896" s="26">
        <v>4415116.12</v>
      </c>
      <c r="P1896" s="5" t="s">
        <v>50</v>
      </c>
      <c r="Q1896" s="5" t="s">
        <v>43</v>
      </c>
      <c r="R1896">
        <v>3.9</v>
      </c>
      <c r="S1896">
        <v>4</v>
      </c>
      <c r="T1896">
        <f t="shared" si="29"/>
        <v>0</v>
      </c>
    </row>
    <row r="1897" spans="1:20">
      <c r="A1897" s="4">
        <v>45340</v>
      </c>
      <c r="B1897">
        <v>2024</v>
      </c>
      <c r="C1897">
        <v>2</v>
      </c>
      <c r="D1897" s="5" t="s">
        <v>44</v>
      </c>
      <c r="E1897" s="5" t="s">
        <v>45</v>
      </c>
      <c r="F1897" s="5" t="s">
        <v>46</v>
      </c>
      <c r="G1897" s="5" t="s">
        <v>47</v>
      </c>
      <c r="H1897" s="5" t="s">
        <v>57</v>
      </c>
      <c r="I1897" s="5" t="s">
        <v>58</v>
      </c>
      <c r="J1897" s="5" t="s">
        <v>59</v>
      </c>
      <c r="K1897">
        <v>45</v>
      </c>
      <c r="L1897">
        <v>1402868</v>
      </c>
      <c r="M1897" s="26">
        <v>63129060</v>
      </c>
      <c r="N1897">
        <v>44221</v>
      </c>
      <c r="O1897" s="26">
        <v>5517103.5199999996</v>
      </c>
      <c r="P1897" s="5" t="s">
        <v>50</v>
      </c>
      <c r="Q1897" s="5" t="s">
        <v>75</v>
      </c>
      <c r="R1897">
        <v>4.9000000000000004</v>
      </c>
      <c r="S1897">
        <v>21</v>
      </c>
      <c r="T1897">
        <f t="shared" si="29"/>
        <v>0</v>
      </c>
    </row>
    <row r="1898" spans="1:20">
      <c r="A1898" s="4">
        <v>45345</v>
      </c>
      <c r="B1898">
        <v>2024</v>
      </c>
      <c r="C1898">
        <v>2</v>
      </c>
      <c r="D1898" s="5" t="s">
        <v>35</v>
      </c>
      <c r="E1898" s="5" t="s">
        <v>76</v>
      </c>
      <c r="F1898" s="5" t="s">
        <v>77</v>
      </c>
      <c r="G1898" s="5" t="s">
        <v>78</v>
      </c>
      <c r="H1898" s="5" t="s">
        <v>74</v>
      </c>
      <c r="I1898" s="5" t="s">
        <v>40</v>
      </c>
      <c r="J1898" s="5" t="s">
        <v>49</v>
      </c>
      <c r="K1898">
        <v>29</v>
      </c>
      <c r="L1898">
        <v>678678</v>
      </c>
      <c r="M1898" s="26">
        <v>19681662</v>
      </c>
      <c r="N1898">
        <v>12069</v>
      </c>
      <c r="O1898" s="26">
        <v>1970784.49</v>
      </c>
      <c r="P1898" s="5" t="s">
        <v>42</v>
      </c>
      <c r="Q1898" s="5" t="s">
        <v>51</v>
      </c>
      <c r="R1898">
        <v>4.8</v>
      </c>
      <c r="S1898">
        <v>14</v>
      </c>
      <c r="T1898">
        <f t="shared" si="29"/>
        <v>1</v>
      </c>
    </row>
    <row r="1899" spans="1:20">
      <c r="A1899" s="4">
        <v>45332</v>
      </c>
      <c r="B1899">
        <v>2024</v>
      </c>
      <c r="C1899">
        <v>2</v>
      </c>
      <c r="D1899" s="5" t="s">
        <v>35</v>
      </c>
      <c r="E1899" s="5" t="s">
        <v>36</v>
      </c>
      <c r="F1899" s="5" t="s">
        <v>37</v>
      </c>
      <c r="G1899" s="5" t="s">
        <v>38</v>
      </c>
      <c r="H1899" s="5" t="s">
        <v>48</v>
      </c>
      <c r="I1899" s="5" t="s">
        <v>40</v>
      </c>
      <c r="J1899" s="5" t="s">
        <v>49</v>
      </c>
      <c r="K1899">
        <v>45</v>
      </c>
      <c r="L1899">
        <v>420391</v>
      </c>
      <c r="M1899" s="26">
        <v>18917595</v>
      </c>
      <c r="N1899">
        <v>17806</v>
      </c>
      <c r="O1899" s="26">
        <v>2038228.51</v>
      </c>
      <c r="P1899" s="5" t="s">
        <v>42</v>
      </c>
      <c r="Q1899" s="5" t="s">
        <v>51</v>
      </c>
      <c r="R1899">
        <v>4.3</v>
      </c>
      <c r="S1899">
        <v>15</v>
      </c>
      <c r="T1899">
        <f t="shared" si="29"/>
        <v>1</v>
      </c>
    </row>
    <row r="1900" spans="1:20">
      <c r="A1900" s="4">
        <v>45348</v>
      </c>
      <c r="B1900">
        <v>2024</v>
      </c>
      <c r="C1900">
        <v>2</v>
      </c>
      <c r="D1900" s="5" t="s">
        <v>35</v>
      </c>
      <c r="E1900" s="5" t="s">
        <v>60</v>
      </c>
      <c r="F1900" s="5" t="s">
        <v>61</v>
      </c>
      <c r="G1900" s="5" t="s">
        <v>62</v>
      </c>
      <c r="H1900" s="5" t="s">
        <v>73</v>
      </c>
      <c r="I1900" s="5" t="s">
        <v>40</v>
      </c>
      <c r="J1900" s="5" t="s">
        <v>49</v>
      </c>
      <c r="K1900">
        <v>56</v>
      </c>
      <c r="L1900">
        <v>729419</v>
      </c>
      <c r="M1900" s="26">
        <v>40847464</v>
      </c>
      <c r="N1900">
        <v>38675</v>
      </c>
      <c r="O1900" s="26">
        <v>4503429.74</v>
      </c>
      <c r="P1900" s="5" t="s">
        <v>42</v>
      </c>
      <c r="Q1900" s="5" t="s">
        <v>43</v>
      </c>
      <c r="R1900">
        <v>3.7</v>
      </c>
      <c r="S1900">
        <v>19</v>
      </c>
      <c r="T1900">
        <f t="shared" si="29"/>
        <v>1</v>
      </c>
    </row>
    <row r="1901" spans="1:20">
      <c r="A1901" s="4">
        <v>45327</v>
      </c>
      <c r="B1901">
        <v>2024</v>
      </c>
      <c r="C1901">
        <v>2</v>
      </c>
      <c r="D1901" s="5" t="s">
        <v>44</v>
      </c>
      <c r="E1901" s="5" t="s">
        <v>45</v>
      </c>
      <c r="F1901" s="5" t="s">
        <v>46</v>
      </c>
      <c r="G1901" s="5" t="s">
        <v>47</v>
      </c>
      <c r="H1901" s="5" t="s">
        <v>57</v>
      </c>
      <c r="I1901" s="5" t="s">
        <v>58</v>
      </c>
      <c r="J1901" s="5" t="s">
        <v>59</v>
      </c>
      <c r="K1901">
        <v>39</v>
      </c>
      <c r="L1901">
        <v>1409201</v>
      </c>
      <c r="M1901" s="26">
        <v>54958839</v>
      </c>
      <c r="N1901">
        <v>11455</v>
      </c>
      <c r="O1901" s="26">
        <v>5725727.04</v>
      </c>
      <c r="P1901" s="5" t="s">
        <v>42</v>
      </c>
      <c r="Q1901" s="5" t="s">
        <v>51</v>
      </c>
      <c r="R1901">
        <v>4.5999999999999996</v>
      </c>
      <c r="S1901">
        <v>17</v>
      </c>
      <c r="T1901">
        <f t="shared" si="29"/>
        <v>1</v>
      </c>
    </row>
    <row r="1902" spans="1:20">
      <c r="A1902" s="4">
        <v>45353</v>
      </c>
      <c r="B1902">
        <v>2024</v>
      </c>
      <c r="C1902">
        <v>3</v>
      </c>
      <c r="D1902" s="5" t="s">
        <v>44</v>
      </c>
      <c r="E1902" s="5" t="s">
        <v>82</v>
      </c>
      <c r="F1902" s="5" t="s">
        <v>83</v>
      </c>
      <c r="G1902" s="5" t="s">
        <v>84</v>
      </c>
      <c r="H1902" s="5" t="s">
        <v>74</v>
      </c>
      <c r="I1902" s="5" t="s">
        <v>40</v>
      </c>
      <c r="J1902" s="5" t="s">
        <v>49</v>
      </c>
      <c r="K1902">
        <v>33</v>
      </c>
      <c r="L1902">
        <v>640422</v>
      </c>
      <c r="M1902" s="26">
        <v>21133926</v>
      </c>
      <c r="N1902">
        <v>12010</v>
      </c>
      <c r="O1902" s="26">
        <v>2290992.46</v>
      </c>
      <c r="P1902" s="5" t="s">
        <v>42</v>
      </c>
      <c r="Q1902" s="5" t="s">
        <v>75</v>
      </c>
      <c r="R1902">
        <v>4.2</v>
      </c>
      <c r="S1902">
        <v>10</v>
      </c>
      <c r="T1902">
        <f t="shared" si="29"/>
        <v>1</v>
      </c>
    </row>
    <row r="1903" spans="1:20">
      <c r="A1903" s="4">
        <v>45372</v>
      </c>
      <c r="B1903">
        <v>2024</v>
      </c>
      <c r="C1903">
        <v>3</v>
      </c>
      <c r="D1903" s="5" t="s">
        <v>35</v>
      </c>
      <c r="E1903" s="5" t="s">
        <v>76</v>
      </c>
      <c r="F1903" s="5" t="s">
        <v>77</v>
      </c>
      <c r="G1903" s="5" t="s">
        <v>78</v>
      </c>
      <c r="H1903" s="5" t="s">
        <v>79</v>
      </c>
      <c r="I1903" s="5" t="s">
        <v>58</v>
      </c>
      <c r="J1903" s="5" t="s">
        <v>49</v>
      </c>
      <c r="K1903">
        <v>11</v>
      </c>
      <c r="L1903">
        <v>899913</v>
      </c>
      <c r="M1903" s="26">
        <v>9899043</v>
      </c>
      <c r="N1903">
        <v>21921</v>
      </c>
      <c r="O1903" s="26">
        <v>1529771.62</v>
      </c>
      <c r="P1903" s="5" t="s">
        <v>50</v>
      </c>
      <c r="Q1903" s="5" t="s">
        <v>43</v>
      </c>
      <c r="R1903">
        <v>4</v>
      </c>
      <c r="S1903">
        <v>14</v>
      </c>
      <c r="T1903">
        <f t="shared" si="29"/>
        <v>0</v>
      </c>
    </row>
    <row r="1904" spans="1:20">
      <c r="A1904" s="4">
        <v>45366</v>
      </c>
      <c r="B1904">
        <v>2024</v>
      </c>
      <c r="C1904">
        <v>3</v>
      </c>
      <c r="D1904" s="5" t="s">
        <v>35</v>
      </c>
      <c r="E1904" s="5" t="s">
        <v>36</v>
      </c>
      <c r="F1904" s="5" t="s">
        <v>37</v>
      </c>
      <c r="G1904" s="5" t="s">
        <v>38</v>
      </c>
      <c r="H1904" s="5" t="s">
        <v>48</v>
      </c>
      <c r="I1904" s="5" t="s">
        <v>40</v>
      </c>
      <c r="J1904" s="5" t="s">
        <v>49</v>
      </c>
      <c r="K1904">
        <v>18</v>
      </c>
      <c r="L1904">
        <v>425907</v>
      </c>
      <c r="M1904" s="26">
        <v>7666326</v>
      </c>
      <c r="N1904">
        <v>7226</v>
      </c>
      <c r="O1904" s="26">
        <v>983051.89</v>
      </c>
      <c r="P1904" s="5" t="s">
        <v>42</v>
      </c>
      <c r="Q1904" s="5" t="s">
        <v>51</v>
      </c>
      <c r="R1904">
        <v>4.4000000000000004</v>
      </c>
      <c r="S1904">
        <v>19</v>
      </c>
      <c r="T1904">
        <f t="shared" si="29"/>
        <v>1</v>
      </c>
    </row>
    <row r="1905" spans="1:20">
      <c r="A1905" s="4">
        <v>45369</v>
      </c>
      <c r="B1905">
        <v>2024</v>
      </c>
      <c r="C1905">
        <v>3</v>
      </c>
      <c r="D1905" s="5" t="s">
        <v>54</v>
      </c>
      <c r="E1905" s="5" t="s">
        <v>55</v>
      </c>
      <c r="F1905" s="5" t="s">
        <v>55</v>
      </c>
      <c r="G1905" s="5" t="s">
        <v>56</v>
      </c>
      <c r="H1905" s="5" t="s">
        <v>48</v>
      </c>
      <c r="I1905" s="5" t="s">
        <v>40</v>
      </c>
      <c r="J1905" s="5" t="s">
        <v>49</v>
      </c>
      <c r="K1905">
        <v>17</v>
      </c>
      <c r="L1905">
        <v>438532</v>
      </c>
      <c r="M1905" s="26">
        <v>7455044</v>
      </c>
      <c r="N1905">
        <v>16337</v>
      </c>
      <c r="O1905" s="26">
        <v>1106836.54</v>
      </c>
      <c r="P1905" s="5" t="s">
        <v>42</v>
      </c>
      <c r="Q1905" s="5" t="s">
        <v>43</v>
      </c>
      <c r="R1905">
        <v>4.2</v>
      </c>
      <c r="S1905">
        <v>13</v>
      </c>
      <c r="T1905">
        <f t="shared" si="29"/>
        <v>1</v>
      </c>
    </row>
    <row r="1906" spans="1:20">
      <c r="A1906" s="4">
        <v>45373</v>
      </c>
      <c r="B1906">
        <v>2024</v>
      </c>
      <c r="C1906">
        <v>3</v>
      </c>
      <c r="D1906" s="5" t="s">
        <v>54</v>
      </c>
      <c r="E1906" s="5" t="s">
        <v>55</v>
      </c>
      <c r="F1906" s="5" t="s">
        <v>55</v>
      </c>
      <c r="G1906" s="5" t="s">
        <v>56</v>
      </c>
      <c r="H1906" s="5" t="s">
        <v>63</v>
      </c>
      <c r="I1906" s="5" t="s">
        <v>64</v>
      </c>
      <c r="J1906" s="5" t="s">
        <v>41</v>
      </c>
      <c r="K1906">
        <v>20</v>
      </c>
      <c r="L1906">
        <v>789320</v>
      </c>
      <c r="M1906" s="26">
        <v>15786400</v>
      </c>
      <c r="N1906">
        <v>8068</v>
      </c>
      <c r="O1906" s="26">
        <v>1666670.69</v>
      </c>
      <c r="P1906" s="5" t="s">
        <v>50</v>
      </c>
      <c r="Q1906" s="5" t="s">
        <v>43</v>
      </c>
      <c r="R1906">
        <v>3.8</v>
      </c>
      <c r="S1906">
        <v>21</v>
      </c>
      <c r="T1906">
        <f t="shared" si="29"/>
        <v>0</v>
      </c>
    </row>
    <row r="1907" spans="1:20">
      <c r="A1907" s="4">
        <v>45370</v>
      </c>
      <c r="B1907">
        <v>2024</v>
      </c>
      <c r="C1907">
        <v>3</v>
      </c>
      <c r="D1907" s="5" t="s">
        <v>66</v>
      </c>
      <c r="E1907" s="5" t="s">
        <v>67</v>
      </c>
      <c r="F1907" s="5" t="s">
        <v>68</v>
      </c>
      <c r="G1907" s="5" t="s">
        <v>69</v>
      </c>
      <c r="H1907" s="5" t="s">
        <v>73</v>
      </c>
      <c r="I1907" s="5" t="s">
        <v>40</v>
      </c>
      <c r="J1907" s="5" t="s">
        <v>49</v>
      </c>
      <c r="K1907">
        <v>32</v>
      </c>
      <c r="L1907">
        <v>732060</v>
      </c>
      <c r="M1907" s="26">
        <v>23425920</v>
      </c>
      <c r="N1907">
        <v>40266</v>
      </c>
      <c r="O1907" s="26">
        <v>3012572.35</v>
      </c>
      <c r="P1907" s="5" t="s">
        <v>42</v>
      </c>
      <c r="Q1907" s="5" t="s">
        <v>75</v>
      </c>
      <c r="R1907">
        <v>4.8</v>
      </c>
      <c r="S1907">
        <v>19</v>
      </c>
      <c r="T1907">
        <f t="shared" si="29"/>
        <v>1</v>
      </c>
    </row>
    <row r="1908" spans="1:20">
      <c r="A1908" s="4">
        <v>45361</v>
      </c>
      <c r="B1908">
        <v>2024</v>
      </c>
      <c r="C1908">
        <v>3</v>
      </c>
      <c r="D1908" s="5" t="s">
        <v>44</v>
      </c>
      <c r="E1908" s="5" t="s">
        <v>45</v>
      </c>
      <c r="F1908" s="5" t="s">
        <v>46</v>
      </c>
      <c r="G1908" s="5" t="s">
        <v>47</v>
      </c>
      <c r="H1908" s="5" t="s">
        <v>74</v>
      </c>
      <c r="I1908" s="5" t="s">
        <v>40</v>
      </c>
      <c r="J1908" s="5" t="s">
        <v>49</v>
      </c>
      <c r="K1908">
        <v>36</v>
      </c>
      <c r="L1908">
        <v>657334</v>
      </c>
      <c r="M1908" s="26">
        <v>23664024</v>
      </c>
      <c r="N1908">
        <v>29080</v>
      </c>
      <c r="O1908" s="26">
        <v>2206987.0099999998</v>
      </c>
      <c r="P1908" s="5" t="s">
        <v>50</v>
      </c>
      <c r="Q1908" s="5" t="s">
        <v>43</v>
      </c>
      <c r="R1908">
        <v>3.8</v>
      </c>
      <c r="S1908">
        <v>5</v>
      </c>
      <c r="T1908">
        <f t="shared" si="29"/>
        <v>0</v>
      </c>
    </row>
    <row r="1909" spans="1:20">
      <c r="A1909" s="4">
        <v>45355</v>
      </c>
      <c r="B1909">
        <v>2024</v>
      </c>
      <c r="C1909">
        <v>3</v>
      </c>
      <c r="D1909" s="5" t="s">
        <v>35</v>
      </c>
      <c r="E1909" s="5" t="s">
        <v>36</v>
      </c>
      <c r="F1909" s="5" t="s">
        <v>37</v>
      </c>
      <c r="G1909" s="5" t="s">
        <v>38</v>
      </c>
      <c r="H1909" s="5" t="s">
        <v>79</v>
      </c>
      <c r="I1909" s="5" t="s">
        <v>58</v>
      </c>
      <c r="J1909" s="5" t="s">
        <v>49</v>
      </c>
      <c r="K1909">
        <v>23</v>
      </c>
      <c r="L1909">
        <v>910785</v>
      </c>
      <c r="M1909" s="26">
        <v>20948055</v>
      </c>
      <c r="N1909">
        <v>38499</v>
      </c>
      <c r="O1909" s="26">
        <v>3216542.95</v>
      </c>
      <c r="P1909" s="5" t="s">
        <v>42</v>
      </c>
      <c r="Q1909" s="5" t="s">
        <v>43</v>
      </c>
      <c r="R1909">
        <v>4.5999999999999996</v>
      </c>
      <c r="S1909">
        <v>4</v>
      </c>
      <c r="T1909">
        <f t="shared" si="29"/>
        <v>1</v>
      </c>
    </row>
    <row r="1910" spans="1:20">
      <c r="A1910" s="4">
        <v>45357</v>
      </c>
      <c r="B1910">
        <v>2024</v>
      </c>
      <c r="C1910">
        <v>3</v>
      </c>
      <c r="D1910" s="5" t="s">
        <v>66</v>
      </c>
      <c r="E1910" s="5" t="s">
        <v>67</v>
      </c>
      <c r="F1910" s="5" t="s">
        <v>68</v>
      </c>
      <c r="G1910" s="5" t="s">
        <v>69</v>
      </c>
      <c r="H1910" s="5" t="s">
        <v>57</v>
      </c>
      <c r="I1910" s="5" t="s">
        <v>58</v>
      </c>
      <c r="J1910" s="5" t="s">
        <v>59</v>
      </c>
      <c r="K1910">
        <v>40</v>
      </c>
      <c r="L1910">
        <v>1379096</v>
      </c>
      <c r="M1910" s="26">
        <v>55163840</v>
      </c>
      <c r="N1910">
        <v>41394</v>
      </c>
      <c r="O1910" s="26">
        <v>5740705.3899999997</v>
      </c>
      <c r="P1910" s="5" t="s">
        <v>50</v>
      </c>
      <c r="Q1910" s="5" t="s">
        <v>43</v>
      </c>
      <c r="R1910">
        <v>3.7</v>
      </c>
      <c r="S1910">
        <v>6</v>
      </c>
      <c r="T1910">
        <f t="shared" si="29"/>
        <v>0</v>
      </c>
    </row>
    <row r="1911" spans="1:20">
      <c r="A1911" s="4">
        <v>45352</v>
      </c>
      <c r="B1911">
        <v>2024</v>
      </c>
      <c r="C1911">
        <v>3</v>
      </c>
      <c r="D1911" s="5" t="s">
        <v>66</v>
      </c>
      <c r="E1911" s="5" t="s">
        <v>67</v>
      </c>
      <c r="F1911" s="5" t="s">
        <v>68</v>
      </c>
      <c r="G1911" s="5" t="s">
        <v>69</v>
      </c>
      <c r="H1911" s="5" t="s">
        <v>39</v>
      </c>
      <c r="I1911" s="5" t="s">
        <v>40</v>
      </c>
      <c r="J1911" s="5" t="s">
        <v>41</v>
      </c>
      <c r="K1911">
        <v>25</v>
      </c>
      <c r="L1911">
        <v>582694</v>
      </c>
      <c r="M1911" s="26">
        <v>14567350</v>
      </c>
      <c r="N1911">
        <v>46242</v>
      </c>
      <c r="O1911" s="26">
        <v>2162175</v>
      </c>
      <c r="P1911" s="5" t="s">
        <v>50</v>
      </c>
      <c r="Q1911" s="5" t="s">
        <v>75</v>
      </c>
      <c r="R1911">
        <v>4.4000000000000004</v>
      </c>
      <c r="S1911">
        <v>8</v>
      </c>
      <c r="T1911">
        <f t="shared" si="29"/>
        <v>0</v>
      </c>
    </row>
    <row r="1912" spans="1:20">
      <c r="A1912" s="4">
        <v>45366</v>
      </c>
      <c r="B1912">
        <v>2024</v>
      </c>
      <c r="C1912">
        <v>3</v>
      </c>
      <c r="D1912" s="5" t="s">
        <v>54</v>
      </c>
      <c r="E1912" s="5" t="s">
        <v>70</v>
      </c>
      <c r="F1912" s="5" t="s">
        <v>71</v>
      </c>
      <c r="G1912" s="5" t="s">
        <v>72</v>
      </c>
      <c r="H1912" s="5" t="s">
        <v>73</v>
      </c>
      <c r="I1912" s="5" t="s">
        <v>40</v>
      </c>
      <c r="J1912" s="5" t="s">
        <v>49</v>
      </c>
      <c r="K1912">
        <v>25</v>
      </c>
      <c r="L1912">
        <v>736002</v>
      </c>
      <c r="M1912" s="26">
        <v>18400050</v>
      </c>
      <c r="N1912">
        <v>39251</v>
      </c>
      <c r="O1912" s="26">
        <v>1980966.59</v>
      </c>
      <c r="P1912" s="5" t="s">
        <v>42</v>
      </c>
      <c r="Q1912" s="5" t="s">
        <v>75</v>
      </c>
      <c r="R1912">
        <v>4.5999999999999996</v>
      </c>
      <c r="S1912">
        <v>15</v>
      </c>
      <c r="T1912">
        <f t="shared" si="29"/>
        <v>1</v>
      </c>
    </row>
    <row r="1913" spans="1:20">
      <c r="A1913" s="4">
        <v>45363</v>
      </c>
      <c r="B1913">
        <v>2024</v>
      </c>
      <c r="C1913">
        <v>3</v>
      </c>
      <c r="D1913" s="5" t="s">
        <v>35</v>
      </c>
      <c r="E1913" s="5" t="s">
        <v>76</v>
      </c>
      <c r="F1913" s="5" t="s">
        <v>77</v>
      </c>
      <c r="G1913" s="5" t="s">
        <v>78</v>
      </c>
      <c r="H1913" s="5" t="s">
        <v>48</v>
      </c>
      <c r="I1913" s="5" t="s">
        <v>40</v>
      </c>
      <c r="J1913" s="5" t="s">
        <v>49</v>
      </c>
      <c r="K1913">
        <v>6</v>
      </c>
      <c r="L1913">
        <v>460554</v>
      </c>
      <c r="M1913" s="26">
        <v>2763324</v>
      </c>
      <c r="N1913">
        <v>49387</v>
      </c>
      <c r="O1913" s="26">
        <v>221411.65</v>
      </c>
      <c r="P1913" s="5" t="s">
        <v>50</v>
      </c>
      <c r="Q1913" s="5" t="s">
        <v>75</v>
      </c>
      <c r="R1913">
        <v>4.5</v>
      </c>
      <c r="S1913">
        <v>5</v>
      </c>
      <c r="T1913">
        <f t="shared" si="29"/>
        <v>0</v>
      </c>
    </row>
    <row r="1914" spans="1:20">
      <c r="A1914" s="4">
        <v>45369</v>
      </c>
      <c r="B1914">
        <v>2024</v>
      </c>
      <c r="C1914">
        <v>3</v>
      </c>
      <c r="D1914" s="5" t="s">
        <v>35</v>
      </c>
      <c r="E1914" s="5" t="s">
        <v>36</v>
      </c>
      <c r="F1914" s="5" t="s">
        <v>37</v>
      </c>
      <c r="G1914" s="5" t="s">
        <v>38</v>
      </c>
      <c r="H1914" s="5" t="s">
        <v>57</v>
      </c>
      <c r="I1914" s="5" t="s">
        <v>58</v>
      </c>
      <c r="J1914" s="5" t="s">
        <v>59</v>
      </c>
      <c r="K1914">
        <v>6</v>
      </c>
      <c r="L1914">
        <v>1422446</v>
      </c>
      <c r="M1914" s="26">
        <v>8534676</v>
      </c>
      <c r="N1914">
        <v>39589</v>
      </c>
      <c r="O1914" s="26">
        <v>1214624.3600000001</v>
      </c>
      <c r="P1914" s="5" t="s">
        <v>50</v>
      </c>
      <c r="Q1914" s="5" t="s">
        <v>51</v>
      </c>
      <c r="R1914">
        <v>4.2</v>
      </c>
      <c r="S1914">
        <v>10</v>
      </c>
      <c r="T1914">
        <f t="shared" si="29"/>
        <v>0</v>
      </c>
    </row>
    <row r="1915" spans="1:20">
      <c r="A1915" s="4">
        <v>45359</v>
      </c>
      <c r="B1915">
        <v>2024</v>
      </c>
      <c r="C1915">
        <v>3</v>
      </c>
      <c r="D1915" s="5" t="s">
        <v>44</v>
      </c>
      <c r="E1915" s="5" t="s">
        <v>45</v>
      </c>
      <c r="F1915" s="5" t="s">
        <v>46</v>
      </c>
      <c r="G1915" s="5" t="s">
        <v>47</v>
      </c>
      <c r="H1915" s="5" t="s">
        <v>52</v>
      </c>
      <c r="I1915" s="5" t="s">
        <v>53</v>
      </c>
      <c r="J1915" s="5" t="s">
        <v>41</v>
      </c>
      <c r="K1915">
        <v>8</v>
      </c>
      <c r="L1915">
        <v>947068</v>
      </c>
      <c r="M1915" s="26">
        <v>7576544</v>
      </c>
      <c r="N1915">
        <v>44637</v>
      </c>
      <c r="O1915" s="26">
        <v>671607.61</v>
      </c>
      <c r="P1915" s="5" t="s">
        <v>50</v>
      </c>
      <c r="Q1915" s="5" t="s">
        <v>75</v>
      </c>
      <c r="R1915">
        <v>4.3</v>
      </c>
      <c r="S1915">
        <v>10</v>
      </c>
      <c r="T1915">
        <f t="shared" si="29"/>
        <v>0</v>
      </c>
    </row>
    <row r="1916" spans="1:20">
      <c r="A1916" s="4">
        <v>45370</v>
      </c>
      <c r="B1916">
        <v>2024</v>
      </c>
      <c r="C1916">
        <v>3</v>
      </c>
      <c r="D1916" s="5" t="s">
        <v>44</v>
      </c>
      <c r="E1916" s="5" t="s">
        <v>45</v>
      </c>
      <c r="F1916" s="5" t="s">
        <v>46</v>
      </c>
      <c r="G1916" s="5" t="s">
        <v>47</v>
      </c>
      <c r="H1916" s="5" t="s">
        <v>52</v>
      </c>
      <c r="I1916" s="5" t="s">
        <v>53</v>
      </c>
      <c r="J1916" s="5" t="s">
        <v>41</v>
      </c>
      <c r="K1916">
        <v>27</v>
      </c>
      <c r="L1916">
        <v>949923</v>
      </c>
      <c r="M1916" s="26">
        <v>25647921</v>
      </c>
      <c r="N1916">
        <v>37990</v>
      </c>
      <c r="O1916" s="26">
        <v>4015927.82</v>
      </c>
      <c r="P1916" s="5" t="s">
        <v>42</v>
      </c>
      <c r="Q1916" s="5" t="s">
        <v>51</v>
      </c>
      <c r="R1916">
        <v>4</v>
      </c>
      <c r="S1916">
        <v>10</v>
      </c>
      <c r="T1916">
        <f t="shared" si="29"/>
        <v>1</v>
      </c>
    </row>
    <row r="1917" spans="1:20">
      <c r="A1917" s="4">
        <v>45358</v>
      </c>
      <c r="B1917">
        <v>2024</v>
      </c>
      <c r="C1917">
        <v>3</v>
      </c>
      <c r="D1917" s="5" t="s">
        <v>66</v>
      </c>
      <c r="E1917" s="5" t="s">
        <v>67</v>
      </c>
      <c r="F1917" s="5" t="s">
        <v>68</v>
      </c>
      <c r="G1917" s="5" t="s">
        <v>69</v>
      </c>
      <c r="H1917" s="5" t="s">
        <v>65</v>
      </c>
      <c r="I1917" s="5" t="s">
        <v>53</v>
      </c>
      <c r="J1917" s="5" t="s">
        <v>49</v>
      </c>
      <c r="K1917">
        <v>39</v>
      </c>
      <c r="L1917">
        <v>1243181</v>
      </c>
      <c r="M1917" s="26">
        <v>48484059</v>
      </c>
      <c r="N1917">
        <v>44236</v>
      </c>
      <c r="O1917" s="26">
        <v>5959146.2199999997</v>
      </c>
      <c r="P1917" s="5" t="s">
        <v>42</v>
      </c>
      <c r="Q1917" s="5" t="s">
        <v>51</v>
      </c>
      <c r="R1917">
        <v>4.3</v>
      </c>
      <c r="S1917">
        <v>19</v>
      </c>
      <c r="T1917">
        <f t="shared" si="29"/>
        <v>1</v>
      </c>
    </row>
    <row r="1918" spans="1:20">
      <c r="A1918" s="4">
        <v>45375</v>
      </c>
      <c r="B1918">
        <v>2024</v>
      </c>
      <c r="C1918">
        <v>3</v>
      </c>
      <c r="D1918" s="5" t="s">
        <v>44</v>
      </c>
      <c r="E1918" s="5" t="s">
        <v>45</v>
      </c>
      <c r="F1918" s="5" t="s">
        <v>46</v>
      </c>
      <c r="G1918" s="5" t="s">
        <v>47</v>
      </c>
      <c r="H1918" s="5" t="s">
        <v>73</v>
      </c>
      <c r="I1918" s="5" t="s">
        <v>40</v>
      </c>
      <c r="J1918" s="5" t="s">
        <v>49</v>
      </c>
      <c r="K1918">
        <v>35</v>
      </c>
      <c r="L1918">
        <v>716902</v>
      </c>
      <c r="M1918" s="26">
        <v>25091570</v>
      </c>
      <c r="N1918">
        <v>41595</v>
      </c>
      <c r="O1918" s="26">
        <v>2381739.84</v>
      </c>
      <c r="P1918" s="5" t="s">
        <v>50</v>
      </c>
      <c r="Q1918" s="5" t="s">
        <v>51</v>
      </c>
      <c r="R1918">
        <v>4</v>
      </c>
      <c r="S1918">
        <v>11</v>
      </c>
      <c r="T1918">
        <f t="shared" si="29"/>
        <v>0</v>
      </c>
    </row>
    <row r="1919" spans="1:20">
      <c r="A1919" s="4">
        <v>45357</v>
      </c>
      <c r="B1919">
        <v>2024</v>
      </c>
      <c r="C1919">
        <v>3</v>
      </c>
      <c r="D1919" s="5" t="s">
        <v>44</v>
      </c>
      <c r="E1919" s="5" t="s">
        <v>45</v>
      </c>
      <c r="F1919" s="5" t="s">
        <v>46</v>
      </c>
      <c r="G1919" s="5" t="s">
        <v>47</v>
      </c>
      <c r="H1919" s="5" t="s">
        <v>85</v>
      </c>
      <c r="I1919" s="5" t="s">
        <v>58</v>
      </c>
      <c r="J1919" s="5" t="s">
        <v>49</v>
      </c>
      <c r="K1919">
        <v>46</v>
      </c>
      <c r="L1919">
        <v>999837</v>
      </c>
      <c r="M1919" s="26">
        <v>45992502</v>
      </c>
      <c r="N1919">
        <v>6931</v>
      </c>
      <c r="O1919" s="26">
        <v>4857958.1500000004</v>
      </c>
      <c r="P1919" s="5" t="s">
        <v>42</v>
      </c>
      <c r="Q1919" s="5" t="s">
        <v>75</v>
      </c>
      <c r="R1919">
        <v>4.8</v>
      </c>
      <c r="S1919">
        <v>11</v>
      </c>
      <c r="T1919">
        <f t="shared" si="29"/>
        <v>1</v>
      </c>
    </row>
    <row r="1920" spans="1:20">
      <c r="A1920" s="4">
        <v>45376</v>
      </c>
      <c r="B1920">
        <v>2024</v>
      </c>
      <c r="C1920">
        <v>3</v>
      </c>
      <c r="D1920" s="5" t="s">
        <v>35</v>
      </c>
      <c r="E1920" s="5" t="s">
        <v>36</v>
      </c>
      <c r="F1920" s="5" t="s">
        <v>37</v>
      </c>
      <c r="G1920" s="5" t="s">
        <v>38</v>
      </c>
      <c r="H1920" s="5" t="s">
        <v>73</v>
      </c>
      <c r="I1920" s="5" t="s">
        <v>40</v>
      </c>
      <c r="J1920" s="5" t="s">
        <v>49</v>
      </c>
      <c r="K1920">
        <v>50</v>
      </c>
      <c r="L1920">
        <v>738578</v>
      </c>
      <c r="M1920" s="26">
        <v>36928900</v>
      </c>
      <c r="N1920">
        <v>14043</v>
      </c>
      <c r="O1920" s="26">
        <v>4177981.88</v>
      </c>
      <c r="P1920" s="5" t="s">
        <v>42</v>
      </c>
      <c r="Q1920" s="5" t="s">
        <v>75</v>
      </c>
      <c r="R1920">
        <v>4.9000000000000004</v>
      </c>
      <c r="S1920">
        <v>16</v>
      </c>
      <c r="T1920">
        <f t="shared" si="29"/>
        <v>1</v>
      </c>
    </row>
    <row r="1921" spans="1:20">
      <c r="A1921" s="4">
        <v>45353</v>
      </c>
      <c r="B1921">
        <v>2024</v>
      </c>
      <c r="C1921">
        <v>3</v>
      </c>
      <c r="D1921" s="5" t="s">
        <v>35</v>
      </c>
      <c r="E1921" s="5" t="s">
        <v>76</v>
      </c>
      <c r="F1921" s="5" t="s">
        <v>77</v>
      </c>
      <c r="G1921" s="5" t="s">
        <v>78</v>
      </c>
      <c r="H1921" s="5" t="s">
        <v>86</v>
      </c>
      <c r="I1921" s="5" t="s">
        <v>40</v>
      </c>
      <c r="J1921" s="5" t="s">
        <v>41</v>
      </c>
      <c r="K1921">
        <v>39</v>
      </c>
      <c r="L1921">
        <v>626116</v>
      </c>
      <c r="M1921" s="26">
        <v>24418524</v>
      </c>
      <c r="N1921">
        <v>8918</v>
      </c>
      <c r="O1921" s="26">
        <v>3670060.37</v>
      </c>
      <c r="P1921" s="5" t="s">
        <v>50</v>
      </c>
      <c r="Q1921" s="5" t="s">
        <v>43</v>
      </c>
      <c r="R1921">
        <v>4.3</v>
      </c>
      <c r="S1921">
        <v>7</v>
      </c>
      <c r="T1921">
        <f t="shared" si="29"/>
        <v>0</v>
      </c>
    </row>
    <row r="1922" spans="1:20">
      <c r="A1922" s="4">
        <v>45364</v>
      </c>
      <c r="B1922">
        <v>2024</v>
      </c>
      <c r="C1922">
        <v>3</v>
      </c>
      <c r="D1922" s="5" t="s">
        <v>35</v>
      </c>
      <c r="E1922" s="5" t="s">
        <v>36</v>
      </c>
      <c r="F1922" s="5" t="s">
        <v>37</v>
      </c>
      <c r="G1922" s="5" t="s">
        <v>38</v>
      </c>
      <c r="H1922" s="5" t="s">
        <v>73</v>
      </c>
      <c r="I1922" s="5" t="s">
        <v>40</v>
      </c>
      <c r="J1922" s="5" t="s">
        <v>49</v>
      </c>
      <c r="K1922">
        <v>44</v>
      </c>
      <c r="L1922">
        <v>729712</v>
      </c>
      <c r="M1922" s="26">
        <v>32107328</v>
      </c>
      <c r="N1922">
        <v>43920</v>
      </c>
      <c r="O1922" s="26">
        <v>3929574.77</v>
      </c>
      <c r="P1922" s="5" t="s">
        <v>42</v>
      </c>
      <c r="Q1922" s="5" t="s">
        <v>51</v>
      </c>
      <c r="R1922">
        <v>4.8</v>
      </c>
      <c r="S1922">
        <v>20</v>
      </c>
      <c r="T1922">
        <f t="shared" ref="T1922:T1985" si="30">IF(AND(OR($B1922=Sel_Year,Sel_Year="All"),OR($C1922=Sel_Month,Sel_Month="All"),OR($D1922=Sel_Region,Sel_Region="All"),OR($E1922=Sel_State,Sel_State="All"),OR($F1922=Sel_City,Sel_City="All"),OR($G1922=Sel_Dealer,Sel_Dealer="All"),OR($H1922=Sel_Model,Sel_Model="All"),OR($I1922=Sel_Segment,Sel_Segment="All"),OR($J1922=Sel_Fuel,Sel_Fuel="All"),OR($P1922=Sel_CustType,Sel_CustType="All"),OR($Q1922=Sel_Payment,Sel_Payment="All")),1,0)</f>
        <v>1</v>
      </c>
    </row>
    <row r="1923" spans="1:20">
      <c r="A1923" s="4">
        <v>45352</v>
      </c>
      <c r="B1923">
        <v>2024</v>
      </c>
      <c r="C1923">
        <v>3</v>
      </c>
      <c r="D1923" s="5" t="s">
        <v>66</v>
      </c>
      <c r="E1923" s="5" t="s">
        <v>67</v>
      </c>
      <c r="F1923" s="5" t="s">
        <v>68</v>
      </c>
      <c r="G1923" s="5" t="s">
        <v>69</v>
      </c>
      <c r="H1923" s="5" t="s">
        <v>74</v>
      </c>
      <c r="I1923" s="5" t="s">
        <v>40</v>
      </c>
      <c r="J1923" s="5" t="s">
        <v>49</v>
      </c>
      <c r="K1923">
        <v>24</v>
      </c>
      <c r="L1923">
        <v>663951</v>
      </c>
      <c r="M1923" s="26">
        <v>15934824</v>
      </c>
      <c r="N1923">
        <v>48044</v>
      </c>
      <c r="O1923" s="26">
        <v>1388407.84</v>
      </c>
      <c r="P1923" s="5" t="s">
        <v>42</v>
      </c>
      <c r="Q1923" s="5" t="s">
        <v>51</v>
      </c>
      <c r="R1923">
        <v>3.6</v>
      </c>
      <c r="S1923">
        <v>6</v>
      </c>
      <c r="T1923">
        <f t="shared" si="30"/>
        <v>1</v>
      </c>
    </row>
    <row r="1924" spans="1:20">
      <c r="A1924" s="4">
        <v>45363</v>
      </c>
      <c r="B1924">
        <v>2024</v>
      </c>
      <c r="C1924">
        <v>3</v>
      </c>
      <c r="D1924" s="5" t="s">
        <v>44</v>
      </c>
      <c r="E1924" s="5" t="s">
        <v>45</v>
      </c>
      <c r="F1924" s="5" t="s">
        <v>46</v>
      </c>
      <c r="G1924" s="5" t="s">
        <v>47</v>
      </c>
      <c r="H1924" s="5" t="s">
        <v>48</v>
      </c>
      <c r="I1924" s="5" t="s">
        <v>40</v>
      </c>
      <c r="J1924" s="5" t="s">
        <v>49</v>
      </c>
      <c r="K1924">
        <v>52</v>
      </c>
      <c r="L1924">
        <v>467798</v>
      </c>
      <c r="M1924" s="26">
        <v>24325496</v>
      </c>
      <c r="N1924">
        <v>20919</v>
      </c>
      <c r="O1924" s="26">
        <v>2559328.14</v>
      </c>
      <c r="P1924" s="5" t="s">
        <v>50</v>
      </c>
      <c r="Q1924" s="5" t="s">
        <v>51</v>
      </c>
      <c r="R1924">
        <v>3.5</v>
      </c>
      <c r="S1924">
        <v>3</v>
      </c>
      <c r="T1924">
        <f t="shared" si="30"/>
        <v>0</v>
      </c>
    </row>
    <row r="1925" spans="1:20">
      <c r="A1925" s="4">
        <v>45357</v>
      </c>
      <c r="B1925">
        <v>2024</v>
      </c>
      <c r="C1925">
        <v>3</v>
      </c>
      <c r="D1925" s="5" t="s">
        <v>35</v>
      </c>
      <c r="E1925" s="5" t="s">
        <v>36</v>
      </c>
      <c r="F1925" s="5" t="s">
        <v>37</v>
      </c>
      <c r="G1925" s="5" t="s">
        <v>38</v>
      </c>
      <c r="H1925" s="5" t="s">
        <v>52</v>
      </c>
      <c r="I1925" s="5" t="s">
        <v>53</v>
      </c>
      <c r="J1925" s="5" t="s">
        <v>41</v>
      </c>
      <c r="K1925">
        <v>45</v>
      </c>
      <c r="L1925">
        <v>953193</v>
      </c>
      <c r="M1925" s="26">
        <v>42893685</v>
      </c>
      <c r="N1925">
        <v>23558</v>
      </c>
      <c r="O1925" s="26">
        <v>5661748.8200000003</v>
      </c>
      <c r="P1925" s="5" t="s">
        <v>50</v>
      </c>
      <c r="Q1925" s="5" t="s">
        <v>51</v>
      </c>
      <c r="R1925">
        <v>4.2</v>
      </c>
      <c r="S1925">
        <v>15</v>
      </c>
      <c r="T1925">
        <f t="shared" si="30"/>
        <v>0</v>
      </c>
    </row>
    <row r="1926" spans="1:20">
      <c r="A1926" s="4">
        <v>45362</v>
      </c>
      <c r="B1926">
        <v>2024</v>
      </c>
      <c r="C1926">
        <v>3</v>
      </c>
      <c r="D1926" s="5" t="s">
        <v>54</v>
      </c>
      <c r="E1926" s="5" t="s">
        <v>55</v>
      </c>
      <c r="F1926" s="5" t="s">
        <v>55</v>
      </c>
      <c r="G1926" s="5" t="s">
        <v>56</v>
      </c>
      <c r="H1926" s="5" t="s">
        <v>79</v>
      </c>
      <c r="I1926" s="5" t="s">
        <v>58</v>
      </c>
      <c r="J1926" s="5" t="s">
        <v>49</v>
      </c>
      <c r="K1926">
        <v>11</v>
      </c>
      <c r="L1926">
        <v>908502</v>
      </c>
      <c r="M1926" s="26">
        <v>9993522</v>
      </c>
      <c r="N1926">
        <v>18146</v>
      </c>
      <c r="O1926" s="26">
        <v>1388555.89</v>
      </c>
      <c r="P1926" s="5" t="s">
        <v>42</v>
      </c>
      <c r="Q1926" s="5" t="s">
        <v>75</v>
      </c>
      <c r="R1926">
        <v>4.5</v>
      </c>
      <c r="S1926">
        <v>4</v>
      </c>
      <c r="T1926">
        <f t="shared" si="30"/>
        <v>1</v>
      </c>
    </row>
    <row r="1927" spans="1:20">
      <c r="A1927" s="4">
        <v>45377</v>
      </c>
      <c r="B1927">
        <v>2024</v>
      </c>
      <c r="C1927">
        <v>3</v>
      </c>
      <c r="D1927" s="5" t="s">
        <v>35</v>
      </c>
      <c r="E1927" s="5" t="s">
        <v>36</v>
      </c>
      <c r="F1927" s="5" t="s">
        <v>37</v>
      </c>
      <c r="G1927" s="5" t="s">
        <v>38</v>
      </c>
      <c r="H1927" s="5" t="s">
        <v>86</v>
      </c>
      <c r="I1927" s="5" t="s">
        <v>40</v>
      </c>
      <c r="J1927" s="5" t="s">
        <v>41</v>
      </c>
      <c r="K1927">
        <v>58</v>
      </c>
      <c r="L1927">
        <v>627851</v>
      </c>
      <c r="M1927" s="26">
        <v>36415358</v>
      </c>
      <c r="N1927">
        <v>8076</v>
      </c>
      <c r="O1927" s="26">
        <v>5220166.92</v>
      </c>
      <c r="P1927" s="5" t="s">
        <v>50</v>
      </c>
      <c r="Q1927" s="5" t="s">
        <v>43</v>
      </c>
      <c r="R1927">
        <v>4.9000000000000004</v>
      </c>
      <c r="S1927">
        <v>8</v>
      </c>
      <c r="T1927">
        <f t="shared" si="30"/>
        <v>0</v>
      </c>
    </row>
    <row r="1928" spans="1:20">
      <c r="A1928" s="4">
        <v>45362</v>
      </c>
      <c r="B1928">
        <v>2024</v>
      </c>
      <c r="C1928">
        <v>3</v>
      </c>
      <c r="D1928" s="5" t="s">
        <v>54</v>
      </c>
      <c r="E1928" s="5" t="s">
        <v>55</v>
      </c>
      <c r="F1928" s="5" t="s">
        <v>55</v>
      </c>
      <c r="G1928" s="5" t="s">
        <v>56</v>
      </c>
      <c r="H1928" s="5" t="s">
        <v>39</v>
      </c>
      <c r="I1928" s="5" t="s">
        <v>40</v>
      </c>
      <c r="J1928" s="5" t="s">
        <v>41</v>
      </c>
      <c r="K1928">
        <v>34</v>
      </c>
      <c r="L1928">
        <v>599676</v>
      </c>
      <c r="M1928" s="26">
        <v>20388984</v>
      </c>
      <c r="N1928">
        <v>6137</v>
      </c>
      <c r="O1928" s="26">
        <v>2980008.1</v>
      </c>
      <c r="P1928" s="5" t="s">
        <v>42</v>
      </c>
      <c r="Q1928" s="5" t="s">
        <v>75</v>
      </c>
      <c r="R1928">
        <v>4.4000000000000004</v>
      </c>
      <c r="S1928">
        <v>21</v>
      </c>
      <c r="T1928">
        <f t="shared" si="30"/>
        <v>1</v>
      </c>
    </row>
    <row r="1929" spans="1:20">
      <c r="A1929" s="4">
        <v>45358</v>
      </c>
      <c r="B1929">
        <v>2024</v>
      </c>
      <c r="C1929">
        <v>3</v>
      </c>
      <c r="D1929" s="5" t="s">
        <v>35</v>
      </c>
      <c r="E1929" s="5" t="s">
        <v>76</v>
      </c>
      <c r="F1929" s="5" t="s">
        <v>77</v>
      </c>
      <c r="G1929" s="5" t="s">
        <v>78</v>
      </c>
      <c r="H1929" s="5" t="s">
        <v>48</v>
      </c>
      <c r="I1929" s="5" t="s">
        <v>40</v>
      </c>
      <c r="J1929" s="5" t="s">
        <v>49</v>
      </c>
      <c r="K1929">
        <v>19</v>
      </c>
      <c r="L1929">
        <v>449343</v>
      </c>
      <c r="M1929" s="26">
        <v>8537517</v>
      </c>
      <c r="N1929">
        <v>9840</v>
      </c>
      <c r="O1929" s="26">
        <v>1255376.49</v>
      </c>
      <c r="P1929" s="5" t="s">
        <v>50</v>
      </c>
      <c r="Q1929" s="5" t="s">
        <v>51</v>
      </c>
      <c r="R1929">
        <v>4</v>
      </c>
      <c r="S1929">
        <v>3</v>
      </c>
      <c r="T1929">
        <f t="shared" si="30"/>
        <v>0</v>
      </c>
    </row>
    <row r="1930" spans="1:20">
      <c r="A1930" s="4">
        <v>45355</v>
      </c>
      <c r="B1930">
        <v>2024</v>
      </c>
      <c r="C1930">
        <v>3</v>
      </c>
      <c r="D1930" s="5" t="s">
        <v>54</v>
      </c>
      <c r="E1930" s="5" t="s">
        <v>70</v>
      </c>
      <c r="F1930" s="5" t="s">
        <v>71</v>
      </c>
      <c r="G1930" s="5" t="s">
        <v>72</v>
      </c>
      <c r="H1930" s="5" t="s">
        <v>65</v>
      </c>
      <c r="I1930" s="5" t="s">
        <v>53</v>
      </c>
      <c r="J1930" s="5" t="s">
        <v>49</v>
      </c>
      <c r="K1930">
        <v>37</v>
      </c>
      <c r="L1930">
        <v>1253892</v>
      </c>
      <c r="M1930" s="26">
        <v>46394004</v>
      </c>
      <c r="N1930">
        <v>17955</v>
      </c>
      <c r="O1930" s="26">
        <v>5249216.03</v>
      </c>
      <c r="P1930" s="5" t="s">
        <v>42</v>
      </c>
      <c r="Q1930" s="5" t="s">
        <v>75</v>
      </c>
      <c r="R1930">
        <v>4.5999999999999996</v>
      </c>
      <c r="S1930">
        <v>4</v>
      </c>
      <c r="T1930">
        <f t="shared" si="30"/>
        <v>1</v>
      </c>
    </row>
    <row r="1931" spans="1:20">
      <c r="A1931" s="4">
        <v>45356</v>
      </c>
      <c r="B1931">
        <v>2024</v>
      </c>
      <c r="C1931">
        <v>3</v>
      </c>
      <c r="D1931" s="5" t="s">
        <v>54</v>
      </c>
      <c r="E1931" s="5" t="s">
        <v>70</v>
      </c>
      <c r="F1931" s="5" t="s">
        <v>71</v>
      </c>
      <c r="G1931" s="5" t="s">
        <v>72</v>
      </c>
      <c r="H1931" s="5" t="s">
        <v>63</v>
      </c>
      <c r="I1931" s="5" t="s">
        <v>64</v>
      </c>
      <c r="J1931" s="5" t="s">
        <v>41</v>
      </c>
      <c r="K1931">
        <v>60</v>
      </c>
      <c r="L1931">
        <v>764906</v>
      </c>
      <c r="M1931" s="26">
        <v>45894360</v>
      </c>
      <c r="N1931">
        <v>8034</v>
      </c>
      <c r="O1931" s="26">
        <v>5809370.7400000002</v>
      </c>
      <c r="P1931" s="5" t="s">
        <v>42</v>
      </c>
      <c r="Q1931" s="5" t="s">
        <v>51</v>
      </c>
      <c r="R1931">
        <v>4.2</v>
      </c>
      <c r="S1931">
        <v>10</v>
      </c>
      <c r="T1931">
        <f t="shared" si="30"/>
        <v>1</v>
      </c>
    </row>
    <row r="1932" spans="1:20">
      <c r="A1932" s="4">
        <v>45352</v>
      </c>
      <c r="B1932">
        <v>2024</v>
      </c>
      <c r="C1932">
        <v>3</v>
      </c>
      <c r="D1932" s="5" t="s">
        <v>54</v>
      </c>
      <c r="E1932" s="5" t="s">
        <v>55</v>
      </c>
      <c r="F1932" s="5" t="s">
        <v>55</v>
      </c>
      <c r="G1932" s="5" t="s">
        <v>56</v>
      </c>
      <c r="H1932" s="5" t="s">
        <v>63</v>
      </c>
      <c r="I1932" s="5" t="s">
        <v>64</v>
      </c>
      <c r="J1932" s="5" t="s">
        <v>41</v>
      </c>
      <c r="K1932">
        <v>30</v>
      </c>
      <c r="L1932">
        <v>783820</v>
      </c>
      <c r="M1932" s="26">
        <v>23514600</v>
      </c>
      <c r="N1932">
        <v>32603</v>
      </c>
      <c r="O1932" s="26">
        <v>2482745.7000000002</v>
      </c>
      <c r="P1932" s="5" t="s">
        <v>50</v>
      </c>
      <c r="Q1932" s="5" t="s">
        <v>43</v>
      </c>
      <c r="R1932">
        <v>3.8</v>
      </c>
      <c r="S1932">
        <v>11</v>
      </c>
      <c r="T1932">
        <f t="shared" si="30"/>
        <v>0</v>
      </c>
    </row>
    <row r="1933" spans="1:20">
      <c r="A1933" s="4">
        <v>45366</v>
      </c>
      <c r="B1933">
        <v>2024</v>
      </c>
      <c r="C1933">
        <v>3</v>
      </c>
      <c r="D1933" s="5" t="s">
        <v>44</v>
      </c>
      <c r="E1933" s="5" t="s">
        <v>82</v>
      </c>
      <c r="F1933" s="5" t="s">
        <v>83</v>
      </c>
      <c r="G1933" s="5" t="s">
        <v>84</v>
      </c>
      <c r="H1933" s="5" t="s">
        <v>85</v>
      </c>
      <c r="I1933" s="5" t="s">
        <v>58</v>
      </c>
      <c r="J1933" s="5" t="s">
        <v>49</v>
      </c>
      <c r="K1933">
        <v>17</v>
      </c>
      <c r="L1933">
        <v>957105</v>
      </c>
      <c r="M1933" s="26">
        <v>16270785</v>
      </c>
      <c r="N1933">
        <v>7777</v>
      </c>
      <c r="O1933" s="26">
        <v>1845752.76</v>
      </c>
      <c r="P1933" s="5" t="s">
        <v>50</v>
      </c>
      <c r="Q1933" s="5" t="s">
        <v>43</v>
      </c>
      <c r="R1933">
        <v>4.2</v>
      </c>
      <c r="S1933">
        <v>13</v>
      </c>
      <c r="T1933">
        <f t="shared" si="30"/>
        <v>0</v>
      </c>
    </row>
    <row r="1934" spans="1:20">
      <c r="A1934" s="4">
        <v>45375</v>
      </c>
      <c r="B1934">
        <v>2024</v>
      </c>
      <c r="C1934">
        <v>3</v>
      </c>
      <c r="D1934" s="5" t="s">
        <v>54</v>
      </c>
      <c r="E1934" s="5" t="s">
        <v>70</v>
      </c>
      <c r="F1934" s="5" t="s">
        <v>71</v>
      </c>
      <c r="G1934" s="5" t="s">
        <v>72</v>
      </c>
      <c r="H1934" s="5" t="s">
        <v>73</v>
      </c>
      <c r="I1934" s="5" t="s">
        <v>40</v>
      </c>
      <c r="J1934" s="5" t="s">
        <v>49</v>
      </c>
      <c r="K1934">
        <v>16</v>
      </c>
      <c r="L1934">
        <v>701554</v>
      </c>
      <c r="M1934" s="26">
        <v>11224864</v>
      </c>
      <c r="N1934">
        <v>31938</v>
      </c>
      <c r="O1934" s="26">
        <v>1136563.3799999999</v>
      </c>
      <c r="P1934" s="5" t="s">
        <v>50</v>
      </c>
      <c r="Q1934" s="5" t="s">
        <v>43</v>
      </c>
      <c r="R1934">
        <v>3.9</v>
      </c>
      <c r="S1934">
        <v>9</v>
      </c>
      <c r="T1934">
        <f t="shared" si="30"/>
        <v>0</v>
      </c>
    </row>
    <row r="1935" spans="1:20">
      <c r="A1935" s="4">
        <v>45357</v>
      </c>
      <c r="B1935">
        <v>2024</v>
      </c>
      <c r="C1935">
        <v>3</v>
      </c>
      <c r="D1935" s="5" t="s">
        <v>66</v>
      </c>
      <c r="E1935" s="5" t="s">
        <v>67</v>
      </c>
      <c r="F1935" s="5" t="s">
        <v>68</v>
      </c>
      <c r="G1935" s="5" t="s">
        <v>69</v>
      </c>
      <c r="H1935" s="5" t="s">
        <v>39</v>
      </c>
      <c r="I1935" s="5" t="s">
        <v>40</v>
      </c>
      <c r="J1935" s="5" t="s">
        <v>41</v>
      </c>
      <c r="K1935">
        <v>21</v>
      </c>
      <c r="L1935">
        <v>562945</v>
      </c>
      <c r="M1935" s="26">
        <v>11821845</v>
      </c>
      <c r="N1935">
        <v>30077</v>
      </c>
      <c r="O1935" s="26">
        <v>1292626.27</v>
      </c>
      <c r="P1935" s="5" t="s">
        <v>42</v>
      </c>
      <c r="Q1935" s="5" t="s">
        <v>75</v>
      </c>
      <c r="R1935">
        <v>4.2</v>
      </c>
      <c r="S1935">
        <v>14</v>
      </c>
      <c r="T1935">
        <f t="shared" si="30"/>
        <v>1</v>
      </c>
    </row>
    <row r="1936" spans="1:20">
      <c r="A1936" s="4">
        <v>45360</v>
      </c>
      <c r="B1936">
        <v>2024</v>
      </c>
      <c r="C1936">
        <v>3</v>
      </c>
      <c r="D1936" s="5" t="s">
        <v>54</v>
      </c>
      <c r="E1936" s="5" t="s">
        <v>70</v>
      </c>
      <c r="F1936" s="5" t="s">
        <v>71</v>
      </c>
      <c r="G1936" s="5" t="s">
        <v>72</v>
      </c>
      <c r="H1936" s="5" t="s">
        <v>80</v>
      </c>
      <c r="I1936" s="5" t="s">
        <v>81</v>
      </c>
      <c r="J1936" s="5" t="s">
        <v>41</v>
      </c>
      <c r="K1936">
        <v>17</v>
      </c>
      <c r="L1936">
        <v>534190</v>
      </c>
      <c r="M1936" s="26">
        <v>9081230</v>
      </c>
      <c r="N1936">
        <v>6701</v>
      </c>
      <c r="O1936" s="26">
        <v>790433.03</v>
      </c>
      <c r="P1936" s="5" t="s">
        <v>42</v>
      </c>
      <c r="Q1936" s="5" t="s">
        <v>75</v>
      </c>
      <c r="R1936">
        <v>3.7</v>
      </c>
      <c r="S1936">
        <v>8</v>
      </c>
      <c r="T1936">
        <f t="shared" si="30"/>
        <v>1</v>
      </c>
    </row>
    <row r="1937" spans="1:20">
      <c r="A1937" s="4">
        <v>45353</v>
      </c>
      <c r="B1937">
        <v>2024</v>
      </c>
      <c r="C1937">
        <v>3</v>
      </c>
      <c r="D1937" s="5" t="s">
        <v>54</v>
      </c>
      <c r="E1937" s="5" t="s">
        <v>55</v>
      </c>
      <c r="F1937" s="5" t="s">
        <v>55</v>
      </c>
      <c r="G1937" s="5" t="s">
        <v>56</v>
      </c>
      <c r="H1937" s="5" t="s">
        <v>79</v>
      </c>
      <c r="I1937" s="5" t="s">
        <v>58</v>
      </c>
      <c r="J1937" s="5" t="s">
        <v>49</v>
      </c>
      <c r="K1937">
        <v>41</v>
      </c>
      <c r="L1937">
        <v>902756</v>
      </c>
      <c r="M1937" s="26">
        <v>37012996</v>
      </c>
      <c r="N1937">
        <v>5167</v>
      </c>
      <c r="O1937" s="26">
        <v>3075529.42</v>
      </c>
      <c r="P1937" s="5" t="s">
        <v>50</v>
      </c>
      <c r="Q1937" s="5" t="s">
        <v>51</v>
      </c>
      <c r="R1937">
        <v>4.0999999999999996</v>
      </c>
      <c r="S1937">
        <v>19</v>
      </c>
      <c r="T1937">
        <f t="shared" si="30"/>
        <v>0</v>
      </c>
    </row>
    <row r="1938" spans="1:20">
      <c r="A1938" s="4">
        <v>45371</v>
      </c>
      <c r="B1938">
        <v>2024</v>
      </c>
      <c r="C1938">
        <v>3</v>
      </c>
      <c r="D1938" s="5" t="s">
        <v>35</v>
      </c>
      <c r="E1938" s="5" t="s">
        <v>76</v>
      </c>
      <c r="F1938" s="5" t="s">
        <v>77</v>
      </c>
      <c r="G1938" s="5" t="s">
        <v>78</v>
      </c>
      <c r="H1938" s="5" t="s">
        <v>48</v>
      </c>
      <c r="I1938" s="5" t="s">
        <v>40</v>
      </c>
      <c r="J1938" s="5" t="s">
        <v>49</v>
      </c>
      <c r="K1938">
        <v>19</v>
      </c>
      <c r="L1938">
        <v>467831</v>
      </c>
      <c r="M1938" s="26">
        <v>8888789</v>
      </c>
      <c r="N1938">
        <v>22556</v>
      </c>
      <c r="O1938" s="26">
        <v>1377082.16</v>
      </c>
      <c r="P1938" s="5" t="s">
        <v>42</v>
      </c>
      <c r="Q1938" s="5" t="s">
        <v>75</v>
      </c>
      <c r="R1938">
        <v>3.5</v>
      </c>
      <c r="S1938">
        <v>14</v>
      </c>
      <c r="T1938">
        <f t="shared" si="30"/>
        <v>1</v>
      </c>
    </row>
    <row r="1939" spans="1:20">
      <c r="A1939" s="4">
        <v>45360</v>
      </c>
      <c r="B1939">
        <v>2024</v>
      </c>
      <c r="C1939">
        <v>3</v>
      </c>
      <c r="D1939" s="5" t="s">
        <v>35</v>
      </c>
      <c r="E1939" s="5" t="s">
        <v>76</v>
      </c>
      <c r="F1939" s="5" t="s">
        <v>77</v>
      </c>
      <c r="G1939" s="5" t="s">
        <v>78</v>
      </c>
      <c r="H1939" s="5" t="s">
        <v>86</v>
      </c>
      <c r="I1939" s="5" t="s">
        <v>40</v>
      </c>
      <c r="J1939" s="5" t="s">
        <v>41</v>
      </c>
      <c r="K1939">
        <v>54</v>
      </c>
      <c r="L1939">
        <v>574341</v>
      </c>
      <c r="M1939" s="26">
        <v>31014414</v>
      </c>
      <c r="N1939">
        <v>36824</v>
      </c>
      <c r="O1939" s="26">
        <v>3441308.56</v>
      </c>
      <c r="P1939" s="5" t="s">
        <v>42</v>
      </c>
      <c r="Q1939" s="5" t="s">
        <v>51</v>
      </c>
      <c r="R1939">
        <v>4.4000000000000004</v>
      </c>
      <c r="S1939">
        <v>13</v>
      </c>
      <c r="T1939">
        <f t="shared" si="30"/>
        <v>1</v>
      </c>
    </row>
    <row r="1940" spans="1:20">
      <c r="A1940" s="4">
        <v>45369</v>
      </c>
      <c r="B1940">
        <v>2024</v>
      </c>
      <c r="C1940">
        <v>3</v>
      </c>
      <c r="D1940" s="5" t="s">
        <v>35</v>
      </c>
      <c r="E1940" s="5" t="s">
        <v>36</v>
      </c>
      <c r="F1940" s="5" t="s">
        <v>37</v>
      </c>
      <c r="G1940" s="5" t="s">
        <v>38</v>
      </c>
      <c r="H1940" s="5" t="s">
        <v>73</v>
      </c>
      <c r="I1940" s="5" t="s">
        <v>40</v>
      </c>
      <c r="J1940" s="5" t="s">
        <v>49</v>
      </c>
      <c r="K1940">
        <v>22</v>
      </c>
      <c r="L1940">
        <v>705649</v>
      </c>
      <c r="M1940" s="26">
        <v>15524278</v>
      </c>
      <c r="N1940">
        <v>42804</v>
      </c>
      <c r="O1940" s="26">
        <v>1454709.14</v>
      </c>
      <c r="P1940" s="5" t="s">
        <v>42</v>
      </c>
      <c r="Q1940" s="5" t="s">
        <v>43</v>
      </c>
      <c r="R1940">
        <v>3.7</v>
      </c>
      <c r="S1940">
        <v>17</v>
      </c>
      <c r="T1940">
        <f t="shared" si="30"/>
        <v>1</v>
      </c>
    </row>
    <row r="1941" spans="1:20">
      <c r="A1941" s="4">
        <v>45377</v>
      </c>
      <c r="B1941">
        <v>2024</v>
      </c>
      <c r="C1941">
        <v>3</v>
      </c>
      <c r="D1941" s="5" t="s">
        <v>44</v>
      </c>
      <c r="E1941" s="5" t="s">
        <v>82</v>
      </c>
      <c r="F1941" s="5" t="s">
        <v>83</v>
      </c>
      <c r="G1941" s="5" t="s">
        <v>84</v>
      </c>
      <c r="H1941" s="5" t="s">
        <v>65</v>
      </c>
      <c r="I1941" s="5" t="s">
        <v>53</v>
      </c>
      <c r="J1941" s="5" t="s">
        <v>49</v>
      </c>
      <c r="K1941">
        <v>40</v>
      </c>
      <c r="L1941">
        <v>1274696</v>
      </c>
      <c r="M1941" s="26">
        <v>50987840</v>
      </c>
      <c r="N1941">
        <v>14639</v>
      </c>
      <c r="O1941" s="26">
        <v>7452327.6200000001</v>
      </c>
      <c r="P1941" s="5" t="s">
        <v>42</v>
      </c>
      <c r="Q1941" s="5" t="s">
        <v>43</v>
      </c>
      <c r="R1941">
        <v>4.8</v>
      </c>
      <c r="S1941">
        <v>7</v>
      </c>
      <c r="T1941">
        <f t="shared" si="30"/>
        <v>1</v>
      </c>
    </row>
    <row r="1942" spans="1:20">
      <c r="A1942" s="4">
        <v>45375</v>
      </c>
      <c r="B1942">
        <v>2024</v>
      </c>
      <c r="C1942">
        <v>3</v>
      </c>
      <c r="D1942" s="5" t="s">
        <v>35</v>
      </c>
      <c r="E1942" s="5" t="s">
        <v>60</v>
      </c>
      <c r="F1942" s="5" t="s">
        <v>61</v>
      </c>
      <c r="G1942" s="5" t="s">
        <v>62</v>
      </c>
      <c r="H1942" s="5" t="s">
        <v>73</v>
      </c>
      <c r="I1942" s="5" t="s">
        <v>40</v>
      </c>
      <c r="J1942" s="5" t="s">
        <v>49</v>
      </c>
      <c r="K1942">
        <v>60</v>
      </c>
      <c r="L1942">
        <v>705999</v>
      </c>
      <c r="M1942" s="26">
        <v>42359940</v>
      </c>
      <c r="N1942">
        <v>42525</v>
      </c>
      <c r="O1942" s="26">
        <v>4645304.01</v>
      </c>
      <c r="P1942" s="5" t="s">
        <v>50</v>
      </c>
      <c r="Q1942" s="5" t="s">
        <v>43</v>
      </c>
      <c r="R1942">
        <v>3.8</v>
      </c>
      <c r="S1942">
        <v>4</v>
      </c>
      <c r="T1942">
        <f t="shared" si="30"/>
        <v>0</v>
      </c>
    </row>
    <row r="1943" spans="1:20">
      <c r="A1943" s="4">
        <v>45375</v>
      </c>
      <c r="B1943">
        <v>2024</v>
      </c>
      <c r="C1943">
        <v>3</v>
      </c>
      <c r="D1943" s="5" t="s">
        <v>44</v>
      </c>
      <c r="E1943" s="5" t="s">
        <v>45</v>
      </c>
      <c r="F1943" s="5" t="s">
        <v>46</v>
      </c>
      <c r="G1943" s="5" t="s">
        <v>47</v>
      </c>
      <c r="H1943" s="5" t="s">
        <v>85</v>
      </c>
      <c r="I1943" s="5" t="s">
        <v>58</v>
      </c>
      <c r="J1943" s="5" t="s">
        <v>49</v>
      </c>
      <c r="K1943">
        <v>29</v>
      </c>
      <c r="L1943">
        <v>986110</v>
      </c>
      <c r="M1943" s="26">
        <v>28597190</v>
      </c>
      <c r="N1943">
        <v>7671</v>
      </c>
      <c r="O1943" s="26">
        <v>3421561.8</v>
      </c>
      <c r="P1943" s="5" t="s">
        <v>50</v>
      </c>
      <c r="Q1943" s="5" t="s">
        <v>75</v>
      </c>
      <c r="R1943">
        <v>4.7</v>
      </c>
      <c r="S1943">
        <v>6</v>
      </c>
      <c r="T1943">
        <f t="shared" si="30"/>
        <v>0</v>
      </c>
    </row>
    <row r="1944" spans="1:20">
      <c r="A1944" s="4">
        <v>45355</v>
      </c>
      <c r="B1944">
        <v>2024</v>
      </c>
      <c r="C1944">
        <v>3</v>
      </c>
      <c r="D1944" s="5" t="s">
        <v>54</v>
      </c>
      <c r="E1944" s="5" t="s">
        <v>55</v>
      </c>
      <c r="F1944" s="5" t="s">
        <v>55</v>
      </c>
      <c r="G1944" s="5" t="s">
        <v>56</v>
      </c>
      <c r="H1944" s="5" t="s">
        <v>48</v>
      </c>
      <c r="I1944" s="5" t="s">
        <v>40</v>
      </c>
      <c r="J1944" s="5" t="s">
        <v>49</v>
      </c>
      <c r="K1944">
        <v>56</v>
      </c>
      <c r="L1944">
        <v>421261</v>
      </c>
      <c r="M1944" s="26">
        <v>23590616</v>
      </c>
      <c r="N1944">
        <v>38147</v>
      </c>
      <c r="O1944" s="26">
        <v>3741012.07</v>
      </c>
      <c r="P1944" s="5" t="s">
        <v>50</v>
      </c>
      <c r="Q1944" s="5" t="s">
        <v>75</v>
      </c>
      <c r="R1944">
        <v>4.4000000000000004</v>
      </c>
      <c r="S1944">
        <v>10</v>
      </c>
      <c r="T1944">
        <f t="shared" si="30"/>
        <v>0</v>
      </c>
    </row>
    <row r="1945" spans="1:20">
      <c r="A1945" s="4">
        <v>45362</v>
      </c>
      <c r="B1945">
        <v>2024</v>
      </c>
      <c r="C1945">
        <v>3</v>
      </c>
      <c r="D1945" s="5" t="s">
        <v>35</v>
      </c>
      <c r="E1945" s="5" t="s">
        <v>36</v>
      </c>
      <c r="F1945" s="5" t="s">
        <v>37</v>
      </c>
      <c r="G1945" s="5" t="s">
        <v>38</v>
      </c>
      <c r="H1945" s="5" t="s">
        <v>48</v>
      </c>
      <c r="I1945" s="5" t="s">
        <v>40</v>
      </c>
      <c r="J1945" s="5" t="s">
        <v>49</v>
      </c>
      <c r="K1945">
        <v>14</v>
      </c>
      <c r="L1945">
        <v>451574</v>
      </c>
      <c r="M1945" s="26">
        <v>6322036</v>
      </c>
      <c r="N1945">
        <v>22881</v>
      </c>
      <c r="O1945" s="26">
        <v>854214.33</v>
      </c>
      <c r="P1945" s="5" t="s">
        <v>42</v>
      </c>
      <c r="Q1945" s="5" t="s">
        <v>51</v>
      </c>
      <c r="R1945">
        <v>4.5999999999999996</v>
      </c>
      <c r="S1945">
        <v>5</v>
      </c>
      <c r="T1945">
        <f t="shared" si="30"/>
        <v>1</v>
      </c>
    </row>
    <row r="1946" spans="1:20">
      <c r="A1946" s="4">
        <v>45362</v>
      </c>
      <c r="B1946">
        <v>2024</v>
      </c>
      <c r="C1946">
        <v>3</v>
      </c>
      <c r="D1946" s="5" t="s">
        <v>35</v>
      </c>
      <c r="E1946" s="5" t="s">
        <v>36</v>
      </c>
      <c r="F1946" s="5" t="s">
        <v>37</v>
      </c>
      <c r="G1946" s="5" t="s">
        <v>38</v>
      </c>
      <c r="H1946" s="5" t="s">
        <v>57</v>
      </c>
      <c r="I1946" s="5" t="s">
        <v>58</v>
      </c>
      <c r="J1946" s="5" t="s">
        <v>59</v>
      </c>
      <c r="K1946">
        <v>58</v>
      </c>
      <c r="L1946">
        <v>1427190</v>
      </c>
      <c r="M1946" s="26">
        <v>82777020</v>
      </c>
      <c r="N1946">
        <v>8137</v>
      </c>
      <c r="O1946" s="26">
        <v>9541593.1600000001</v>
      </c>
      <c r="P1946" s="5" t="s">
        <v>50</v>
      </c>
      <c r="Q1946" s="5" t="s">
        <v>51</v>
      </c>
      <c r="R1946">
        <v>4.9000000000000004</v>
      </c>
      <c r="S1946">
        <v>15</v>
      </c>
      <c r="T1946">
        <f t="shared" si="30"/>
        <v>0</v>
      </c>
    </row>
    <row r="1947" spans="1:20">
      <c r="A1947" s="4">
        <v>45352</v>
      </c>
      <c r="B1947">
        <v>2024</v>
      </c>
      <c r="C1947">
        <v>3</v>
      </c>
      <c r="D1947" s="5" t="s">
        <v>35</v>
      </c>
      <c r="E1947" s="5" t="s">
        <v>60</v>
      </c>
      <c r="F1947" s="5" t="s">
        <v>61</v>
      </c>
      <c r="G1947" s="5" t="s">
        <v>62</v>
      </c>
      <c r="H1947" s="5" t="s">
        <v>39</v>
      </c>
      <c r="I1947" s="5" t="s">
        <v>40</v>
      </c>
      <c r="J1947" s="5" t="s">
        <v>41</v>
      </c>
      <c r="K1947">
        <v>30</v>
      </c>
      <c r="L1947">
        <v>602625</v>
      </c>
      <c r="M1947" s="26">
        <v>18078750</v>
      </c>
      <c r="N1947">
        <v>39898</v>
      </c>
      <c r="O1947" s="26">
        <v>1926456.89</v>
      </c>
      <c r="P1947" s="5" t="s">
        <v>42</v>
      </c>
      <c r="Q1947" s="5" t="s">
        <v>75</v>
      </c>
      <c r="R1947">
        <v>3.8</v>
      </c>
      <c r="S1947">
        <v>11</v>
      </c>
      <c r="T1947">
        <f t="shared" si="30"/>
        <v>1</v>
      </c>
    </row>
    <row r="1948" spans="1:20">
      <c r="A1948" s="4">
        <v>45366</v>
      </c>
      <c r="B1948">
        <v>2024</v>
      </c>
      <c r="C1948">
        <v>3</v>
      </c>
      <c r="D1948" s="5" t="s">
        <v>35</v>
      </c>
      <c r="E1948" s="5" t="s">
        <v>60</v>
      </c>
      <c r="F1948" s="5" t="s">
        <v>61</v>
      </c>
      <c r="G1948" s="5" t="s">
        <v>62</v>
      </c>
      <c r="H1948" s="5" t="s">
        <v>39</v>
      </c>
      <c r="I1948" s="5" t="s">
        <v>40</v>
      </c>
      <c r="J1948" s="5" t="s">
        <v>41</v>
      </c>
      <c r="K1948">
        <v>9</v>
      </c>
      <c r="L1948">
        <v>600225</v>
      </c>
      <c r="M1948" s="26">
        <v>5402025</v>
      </c>
      <c r="N1948">
        <v>48740</v>
      </c>
      <c r="O1948" s="26">
        <v>625311.37</v>
      </c>
      <c r="P1948" s="5" t="s">
        <v>50</v>
      </c>
      <c r="Q1948" s="5" t="s">
        <v>43</v>
      </c>
      <c r="R1948">
        <v>4.4000000000000004</v>
      </c>
      <c r="S1948">
        <v>17</v>
      </c>
      <c r="T1948">
        <f t="shared" si="30"/>
        <v>0</v>
      </c>
    </row>
    <row r="1949" spans="1:20">
      <c r="A1949" s="4">
        <v>45370</v>
      </c>
      <c r="B1949">
        <v>2024</v>
      </c>
      <c r="C1949">
        <v>3</v>
      </c>
      <c r="D1949" s="5" t="s">
        <v>54</v>
      </c>
      <c r="E1949" s="5" t="s">
        <v>55</v>
      </c>
      <c r="F1949" s="5" t="s">
        <v>55</v>
      </c>
      <c r="G1949" s="5" t="s">
        <v>56</v>
      </c>
      <c r="H1949" s="5" t="s">
        <v>52</v>
      </c>
      <c r="I1949" s="5" t="s">
        <v>53</v>
      </c>
      <c r="J1949" s="5" t="s">
        <v>41</v>
      </c>
      <c r="K1949">
        <v>39</v>
      </c>
      <c r="L1949">
        <v>976762</v>
      </c>
      <c r="M1949" s="26">
        <v>38093718</v>
      </c>
      <c r="N1949">
        <v>33877</v>
      </c>
      <c r="O1949" s="26">
        <v>5625586.5300000003</v>
      </c>
      <c r="P1949" s="5" t="s">
        <v>50</v>
      </c>
      <c r="Q1949" s="5" t="s">
        <v>75</v>
      </c>
      <c r="R1949">
        <v>4.2</v>
      </c>
      <c r="S1949">
        <v>17</v>
      </c>
      <c r="T1949">
        <f t="shared" si="30"/>
        <v>0</v>
      </c>
    </row>
    <row r="1950" spans="1:20">
      <c r="A1950" s="4">
        <v>45362</v>
      </c>
      <c r="B1950">
        <v>2024</v>
      </c>
      <c r="C1950">
        <v>3</v>
      </c>
      <c r="D1950" s="5" t="s">
        <v>35</v>
      </c>
      <c r="E1950" s="5" t="s">
        <v>36</v>
      </c>
      <c r="F1950" s="5" t="s">
        <v>37</v>
      </c>
      <c r="G1950" s="5" t="s">
        <v>38</v>
      </c>
      <c r="H1950" s="5" t="s">
        <v>74</v>
      </c>
      <c r="I1950" s="5" t="s">
        <v>40</v>
      </c>
      <c r="J1950" s="5" t="s">
        <v>49</v>
      </c>
      <c r="K1950">
        <v>11</v>
      </c>
      <c r="L1950">
        <v>621906</v>
      </c>
      <c r="M1950" s="26">
        <v>6840966</v>
      </c>
      <c r="N1950">
        <v>22345</v>
      </c>
      <c r="O1950" s="26">
        <v>987519.8</v>
      </c>
      <c r="P1950" s="5" t="s">
        <v>50</v>
      </c>
      <c r="Q1950" s="5" t="s">
        <v>75</v>
      </c>
      <c r="R1950">
        <v>4.4000000000000004</v>
      </c>
      <c r="S1950">
        <v>4</v>
      </c>
      <c r="T1950">
        <f t="shared" si="30"/>
        <v>0</v>
      </c>
    </row>
    <row r="1951" spans="1:20">
      <c r="A1951" s="4">
        <v>45357</v>
      </c>
      <c r="B1951">
        <v>2024</v>
      </c>
      <c r="C1951">
        <v>3</v>
      </c>
      <c r="D1951" s="5" t="s">
        <v>44</v>
      </c>
      <c r="E1951" s="5" t="s">
        <v>45</v>
      </c>
      <c r="F1951" s="5" t="s">
        <v>46</v>
      </c>
      <c r="G1951" s="5" t="s">
        <v>47</v>
      </c>
      <c r="H1951" s="5" t="s">
        <v>80</v>
      </c>
      <c r="I1951" s="5" t="s">
        <v>81</v>
      </c>
      <c r="J1951" s="5" t="s">
        <v>41</v>
      </c>
      <c r="K1951">
        <v>6</v>
      </c>
      <c r="L1951">
        <v>523362</v>
      </c>
      <c r="M1951" s="26">
        <v>3140172</v>
      </c>
      <c r="N1951">
        <v>47454</v>
      </c>
      <c r="O1951" s="26">
        <v>261556.74</v>
      </c>
      <c r="P1951" s="5" t="s">
        <v>42</v>
      </c>
      <c r="Q1951" s="5" t="s">
        <v>75</v>
      </c>
      <c r="R1951">
        <v>3.7</v>
      </c>
      <c r="S1951">
        <v>18</v>
      </c>
      <c r="T1951">
        <f t="shared" si="30"/>
        <v>1</v>
      </c>
    </row>
    <row r="1952" spans="1:20">
      <c r="A1952" s="4">
        <v>45400</v>
      </c>
      <c r="B1952">
        <v>2024</v>
      </c>
      <c r="C1952">
        <v>4</v>
      </c>
      <c r="D1952" s="5" t="s">
        <v>66</v>
      </c>
      <c r="E1952" s="5" t="s">
        <v>67</v>
      </c>
      <c r="F1952" s="5" t="s">
        <v>68</v>
      </c>
      <c r="G1952" s="5" t="s">
        <v>69</v>
      </c>
      <c r="H1952" s="5" t="s">
        <v>74</v>
      </c>
      <c r="I1952" s="5" t="s">
        <v>40</v>
      </c>
      <c r="J1952" s="5" t="s">
        <v>49</v>
      </c>
      <c r="K1952">
        <v>32</v>
      </c>
      <c r="L1952">
        <v>644911</v>
      </c>
      <c r="M1952" s="26">
        <v>20637152</v>
      </c>
      <c r="N1952">
        <v>21429</v>
      </c>
      <c r="O1952" s="26">
        <v>1802287.03</v>
      </c>
      <c r="P1952" s="5" t="s">
        <v>50</v>
      </c>
      <c r="Q1952" s="5" t="s">
        <v>75</v>
      </c>
      <c r="R1952">
        <v>4.5</v>
      </c>
      <c r="S1952">
        <v>16</v>
      </c>
      <c r="T1952">
        <f t="shared" si="30"/>
        <v>0</v>
      </c>
    </row>
    <row r="1953" spans="1:20">
      <c r="A1953" s="4">
        <v>45390</v>
      </c>
      <c r="B1953">
        <v>2024</v>
      </c>
      <c r="C1953">
        <v>4</v>
      </c>
      <c r="D1953" s="5" t="s">
        <v>35</v>
      </c>
      <c r="E1953" s="5" t="s">
        <v>60</v>
      </c>
      <c r="F1953" s="5" t="s">
        <v>61</v>
      </c>
      <c r="G1953" s="5" t="s">
        <v>62</v>
      </c>
      <c r="H1953" s="5" t="s">
        <v>39</v>
      </c>
      <c r="I1953" s="5" t="s">
        <v>40</v>
      </c>
      <c r="J1953" s="5" t="s">
        <v>41</v>
      </c>
      <c r="K1953">
        <v>42</v>
      </c>
      <c r="L1953">
        <v>587854</v>
      </c>
      <c r="M1953" s="26">
        <v>24689868</v>
      </c>
      <c r="N1953">
        <v>37802</v>
      </c>
      <c r="O1953" s="26">
        <v>2559055.15</v>
      </c>
      <c r="P1953" s="5" t="s">
        <v>42</v>
      </c>
      <c r="Q1953" s="5" t="s">
        <v>75</v>
      </c>
      <c r="R1953">
        <v>4.5</v>
      </c>
      <c r="S1953">
        <v>2</v>
      </c>
      <c r="T1953">
        <f t="shared" si="30"/>
        <v>1</v>
      </c>
    </row>
    <row r="1954" spans="1:20">
      <c r="A1954" s="4">
        <v>45386</v>
      </c>
      <c r="B1954">
        <v>2024</v>
      </c>
      <c r="C1954">
        <v>4</v>
      </c>
      <c r="D1954" s="5" t="s">
        <v>44</v>
      </c>
      <c r="E1954" s="5" t="s">
        <v>45</v>
      </c>
      <c r="F1954" s="5" t="s">
        <v>46</v>
      </c>
      <c r="G1954" s="5" t="s">
        <v>47</v>
      </c>
      <c r="H1954" s="5" t="s">
        <v>79</v>
      </c>
      <c r="I1954" s="5" t="s">
        <v>58</v>
      </c>
      <c r="J1954" s="5" t="s">
        <v>49</v>
      </c>
      <c r="K1954">
        <v>28</v>
      </c>
      <c r="L1954">
        <v>925460</v>
      </c>
      <c r="M1954" s="26">
        <v>25912880</v>
      </c>
      <c r="N1954">
        <v>11239</v>
      </c>
      <c r="O1954" s="26">
        <v>2175516.1</v>
      </c>
      <c r="P1954" s="5" t="s">
        <v>50</v>
      </c>
      <c r="Q1954" s="5" t="s">
        <v>75</v>
      </c>
      <c r="R1954">
        <v>5</v>
      </c>
      <c r="S1954">
        <v>11</v>
      </c>
      <c r="T1954">
        <f t="shared" si="30"/>
        <v>0</v>
      </c>
    </row>
    <row r="1955" spans="1:20">
      <c r="A1955" s="4">
        <v>45392</v>
      </c>
      <c r="B1955">
        <v>2024</v>
      </c>
      <c r="C1955">
        <v>4</v>
      </c>
      <c r="D1955" s="5" t="s">
        <v>44</v>
      </c>
      <c r="E1955" s="5" t="s">
        <v>82</v>
      </c>
      <c r="F1955" s="5" t="s">
        <v>83</v>
      </c>
      <c r="G1955" s="5" t="s">
        <v>84</v>
      </c>
      <c r="H1955" s="5" t="s">
        <v>73</v>
      </c>
      <c r="I1955" s="5" t="s">
        <v>40</v>
      </c>
      <c r="J1955" s="5" t="s">
        <v>49</v>
      </c>
      <c r="K1955">
        <v>5</v>
      </c>
      <c r="L1955">
        <v>723707</v>
      </c>
      <c r="M1955" s="26">
        <v>3618535</v>
      </c>
      <c r="N1955">
        <v>11244</v>
      </c>
      <c r="O1955" s="26">
        <v>521558.91</v>
      </c>
      <c r="P1955" s="5" t="s">
        <v>42</v>
      </c>
      <c r="Q1955" s="5" t="s">
        <v>43</v>
      </c>
      <c r="R1955">
        <v>3.9</v>
      </c>
      <c r="S1955">
        <v>2</v>
      </c>
      <c r="T1955">
        <f t="shared" si="30"/>
        <v>1</v>
      </c>
    </row>
    <row r="1956" spans="1:20">
      <c r="A1956" s="4">
        <v>45403</v>
      </c>
      <c r="B1956">
        <v>2024</v>
      </c>
      <c r="C1956">
        <v>4</v>
      </c>
      <c r="D1956" s="5" t="s">
        <v>54</v>
      </c>
      <c r="E1956" s="5" t="s">
        <v>55</v>
      </c>
      <c r="F1956" s="5" t="s">
        <v>55</v>
      </c>
      <c r="G1956" s="5" t="s">
        <v>56</v>
      </c>
      <c r="H1956" s="5" t="s">
        <v>73</v>
      </c>
      <c r="I1956" s="5" t="s">
        <v>40</v>
      </c>
      <c r="J1956" s="5" t="s">
        <v>49</v>
      </c>
      <c r="K1956">
        <v>33</v>
      </c>
      <c r="L1956">
        <v>721683</v>
      </c>
      <c r="M1956" s="26">
        <v>23815539</v>
      </c>
      <c r="N1956">
        <v>13812</v>
      </c>
      <c r="O1956" s="26">
        <v>2988077.11</v>
      </c>
      <c r="P1956" s="5" t="s">
        <v>42</v>
      </c>
      <c r="Q1956" s="5" t="s">
        <v>43</v>
      </c>
      <c r="R1956">
        <v>4.5</v>
      </c>
      <c r="S1956">
        <v>19</v>
      </c>
      <c r="T1956">
        <f t="shared" si="30"/>
        <v>1</v>
      </c>
    </row>
    <row r="1957" spans="1:20">
      <c r="A1957" s="4">
        <v>45409</v>
      </c>
      <c r="B1957">
        <v>2024</v>
      </c>
      <c r="C1957">
        <v>4</v>
      </c>
      <c r="D1957" s="5" t="s">
        <v>35</v>
      </c>
      <c r="E1957" s="5" t="s">
        <v>60</v>
      </c>
      <c r="F1957" s="5" t="s">
        <v>61</v>
      </c>
      <c r="G1957" s="5" t="s">
        <v>62</v>
      </c>
      <c r="H1957" s="5" t="s">
        <v>86</v>
      </c>
      <c r="I1957" s="5" t="s">
        <v>40</v>
      </c>
      <c r="J1957" s="5" t="s">
        <v>41</v>
      </c>
      <c r="K1957">
        <v>45</v>
      </c>
      <c r="L1957">
        <v>621923</v>
      </c>
      <c r="M1957" s="26">
        <v>27986535</v>
      </c>
      <c r="N1957">
        <v>12961</v>
      </c>
      <c r="O1957" s="26">
        <v>3930758.11</v>
      </c>
      <c r="P1957" s="5" t="s">
        <v>50</v>
      </c>
      <c r="Q1957" s="5" t="s">
        <v>75</v>
      </c>
      <c r="R1957">
        <v>4.5</v>
      </c>
      <c r="S1957">
        <v>6</v>
      </c>
      <c r="T1957">
        <f t="shared" si="30"/>
        <v>0</v>
      </c>
    </row>
    <row r="1958" spans="1:20">
      <c r="A1958" s="4">
        <v>45405</v>
      </c>
      <c r="B1958">
        <v>2024</v>
      </c>
      <c r="C1958">
        <v>4</v>
      </c>
      <c r="D1958" s="5" t="s">
        <v>35</v>
      </c>
      <c r="E1958" s="5" t="s">
        <v>36</v>
      </c>
      <c r="F1958" s="5" t="s">
        <v>37</v>
      </c>
      <c r="G1958" s="5" t="s">
        <v>38</v>
      </c>
      <c r="H1958" s="5" t="s">
        <v>65</v>
      </c>
      <c r="I1958" s="5" t="s">
        <v>53</v>
      </c>
      <c r="J1958" s="5" t="s">
        <v>49</v>
      </c>
      <c r="K1958">
        <v>22</v>
      </c>
      <c r="L1958">
        <v>1252947</v>
      </c>
      <c r="M1958" s="26">
        <v>27564834</v>
      </c>
      <c r="N1958">
        <v>9636</v>
      </c>
      <c r="O1958" s="26">
        <v>3534727.2</v>
      </c>
      <c r="P1958" s="5" t="s">
        <v>42</v>
      </c>
      <c r="Q1958" s="5" t="s">
        <v>75</v>
      </c>
      <c r="R1958">
        <v>4.3</v>
      </c>
      <c r="S1958">
        <v>2</v>
      </c>
      <c r="T1958">
        <f t="shared" si="30"/>
        <v>1</v>
      </c>
    </row>
    <row r="1959" spans="1:20">
      <c r="A1959" s="4">
        <v>45390</v>
      </c>
      <c r="B1959">
        <v>2024</v>
      </c>
      <c r="C1959">
        <v>4</v>
      </c>
      <c r="D1959" s="5" t="s">
        <v>44</v>
      </c>
      <c r="E1959" s="5" t="s">
        <v>82</v>
      </c>
      <c r="F1959" s="5" t="s">
        <v>83</v>
      </c>
      <c r="G1959" s="5" t="s">
        <v>84</v>
      </c>
      <c r="H1959" s="5" t="s">
        <v>86</v>
      </c>
      <c r="I1959" s="5" t="s">
        <v>40</v>
      </c>
      <c r="J1959" s="5" t="s">
        <v>41</v>
      </c>
      <c r="K1959">
        <v>18</v>
      </c>
      <c r="L1959">
        <v>574007</v>
      </c>
      <c r="M1959" s="26">
        <v>10332126</v>
      </c>
      <c r="N1959">
        <v>29512</v>
      </c>
      <c r="O1959" s="26">
        <v>886042.5</v>
      </c>
      <c r="P1959" s="5" t="s">
        <v>42</v>
      </c>
      <c r="Q1959" s="5" t="s">
        <v>43</v>
      </c>
      <c r="R1959">
        <v>3.5</v>
      </c>
      <c r="S1959">
        <v>8</v>
      </c>
      <c r="T1959">
        <f t="shared" si="30"/>
        <v>1</v>
      </c>
    </row>
    <row r="1960" spans="1:20">
      <c r="A1960" s="4">
        <v>45394</v>
      </c>
      <c r="B1960">
        <v>2024</v>
      </c>
      <c r="C1960">
        <v>4</v>
      </c>
      <c r="D1960" s="5" t="s">
        <v>54</v>
      </c>
      <c r="E1960" s="5" t="s">
        <v>55</v>
      </c>
      <c r="F1960" s="5" t="s">
        <v>55</v>
      </c>
      <c r="G1960" s="5" t="s">
        <v>56</v>
      </c>
      <c r="H1960" s="5" t="s">
        <v>73</v>
      </c>
      <c r="I1960" s="5" t="s">
        <v>40</v>
      </c>
      <c r="J1960" s="5" t="s">
        <v>49</v>
      </c>
      <c r="K1960">
        <v>41</v>
      </c>
      <c r="L1960">
        <v>694064</v>
      </c>
      <c r="M1960" s="26">
        <v>28456624</v>
      </c>
      <c r="N1960">
        <v>23704</v>
      </c>
      <c r="O1960" s="26">
        <v>2768700.8</v>
      </c>
      <c r="P1960" s="5" t="s">
        <v>50</v>
      </c>
      <c r="Q1960" s="5" t="s">
        <v>43</v>
      </c>
      <c r="R1960">
        <v>3.8</v>
      </c>
      <c r="S1960">
        <v>16</v>
      </c>
      <c r="T1960">
        <f t="shared" si="30"/>
        <v>0</v>
      </c>
    </row>
    <row r="1961" spans="1:20">
      <c r="A1961" s="4">
        <v>45405</v>
      </c>
      <c r="B1961">
        <v>2024</v>
      </c>
      <c r="C1961">
        <v>4</v>
      </c>
      <c r="D1961" s="5" t="s">
        <v>54</v>
      </c>
      <c r="E1961" s="5" t="s">
        <v>55</v>
      </c>
      <c r="F1961" s="5" t="s">
        <v>55</v>
      </c>
      <c r="G1961" s="5" t="s">
        <v>56</v>
      </c>
      <c r="H1961" s="5" t="s">
        <v>74</v>
      </c>
      <c r="I1961" s="5" t="s">
        <v>40</v>
      </c>
      <c r="J1961" s="5" t="s">
        <v>49</v>
      </c>
      <c r="K1961">
        <v>8</v>
      </c>
      <c r="L1961">
        <v>663100</v>
      </c>
      <c r="M1961" s="26">
        <v>5304800</v>
      </c>
      <c r="N1961">
        <v>31867</v>
      </c>
      <c r="O1961" s="26">
        <v>783565.94</v>
      </c>
      <c r="P1961" s="5" t="s">
        <v>50</v>
      </c>
      <c r="Q1961" s="5" t="s">
        <v>43</v>
      </c>
      <c r="R1961">
        <v>4.5999999999999996</v>
      </c>
      <c r="S1961">
        <v>21</v>
      </c>
      <c r="T1961">
        <f t="shared" si="30"/>
        <v>0</v>
      </c>
    </row>
    <row r="1962" spans="1:20">
      <c r="A1962" s="4">
        <v>45386</v>
      </c>
      <c r="B1962">
        <v>2024</v>
      </c>
      <c r="C1962">
        <v>4</v>
      </c>
      <c r="D1962" s="5" t="s">
        <v>35</v>
      </c>
      <c r="E1962" s="5" t="s">
        <v>60</v>
      </c>
      <c r="F1962" s="5" t="s">
        <v>61</v>
      </c>
      <c r="G1962" s="5" t="s">
        <v>62</v>
      </c>
      <c r="H1962" s="5" t="s">
        <v>48</v>
      </c>
      <c r="I1962" s="5" t="s">
        <v>40</v>
      </c>
      <c r="J1962" s="5" t="s">
        <v>49</v>
      </c>
      <c r="K1962">
        <v>56</v>
      </c>
      <c r="L1962">
        <v>441665</v>
      </c>
      <c r="M1962" s="26">
        <v>24733240</v>
      </c>
      <c r="N1962">
        <v>35267</v>
      </c>
      <c r="O1962" s="26">
        <v>2421388.44</v>
      </c>
      <c r="P1962" s="5" t="s">
        <v>42</v>
      </c>
      <c r="Q1962" s="5" t="s">
        <v>75</v>
      </c>
      <c r="R1962">
        <v>3.8</v>
      </c>
      <c r="S1962">
        <v>12</v>
      </c>
      <c r="T1962">
        <f t="shared" si="30"/>
        <v>1</v>
      </c>
    </row>
    <row r="1963" spans="1:20">
      <c r="A1963" s="4">
        <v>45386</v>
      </c>
      <c r="B1963">
        <v>2024</v>
      </c>
      <c r="C1963">
        <v>4</v>
      </c>
      <c r="D1963" s="5" t="s">
        <v>66</v>
      </c>
      <c r="E1963" s="5" t="s">
        <v>67</v>
      </c>
      <c r="F1963" s="5" t="s">
        <v>68</v>
      </c>
      <c r="G1963" s="5" t="s">
        <v>69</v>
      </c>
      <c r="H1963" s="5" t="s">
        <v>79</v>
      </c>
      <c r="I1963" s="5" t="s">
        <v>58</v>
      </c>
      <c r="J1963" s="5" t="s">
        <v>49</v>
      </c>
      <c r="K1963">
        <v>17</v>
      </c>
      <c r="L1963">
        <v>925442</v>
      </c>
      <c r="M1963" s="26">
        <v>15732514</v>
      </c>
      <c r="N1963">
        <v>39885</v>
      </c>
      <c r="O1963" s="26">
        <v>1353882.69</v>
      </c>
      <c r="P1963" s="5" t="s">
        <v>42</v>
      </c>
      <c r="Q1963" s="5" t="s">
        <v>51</v>
      </c>
      <c r="R1963">
        <v>4.3</v>
      </c>
      <c r="S1963">
        <v>16</v>
      </c>
      <c r="T1963">
        <f t="shared" si="30"/>
        <v>1</v>
      </c>
    </row>
    <row r="1964" spans="1:20">
      <c r="A1964" s="4">
        <v>45408</v>
      </c>
      <c r="B1964">
        <v>2024</v>
      </c>
      <c r="C1964">
        <v>4</v>
      </c>
      <c r="D1964" s="5" t="s">
        <v>44</v>
      </c>
      <c r="E1964" s="5" t="s">
        <v>82</v>
      </c>
      <c r="F1964" s="5" t="s">
        <v>83</v>
      </c>
      <c r="G1964" s="5" t="s">
        <v>84</v>
      </c>
      <c r="H1964" s="5" t="s">
        <v>79</v>
      </c>
      <c r="I1964" s="5" t="s">
        <v>58</v>
      </c>
      <c r="J1964" s="5" t="s">
        <v>49</v>
      </c>
      <c r="K1964">
        <v>45</v>
      </c>
      <c r="L1964">
        <v>875137</v>
      </c>
      <c r="M1964" s="26">
        <v>39381165</v>
      </c>
      <c r="N1964">
        <v>17449</v>
      </c>
      <c r="O1964" s="26">
        <v>3373902.26</v>
      </c>
      <c r="P1964" s="5" t="s">
        <v>50</v>
      </c>
      <c r="Q1964" s="5" t="s">
        <v>51</v>
      </c>
      <c r="R1964">
        <v>4.0999999999999996</v>
      </c>
      <c r="S1964">
        <v>2</v>
      </c>
      <c r="T1964">
        <f t="shared" si="30"/>
        <v>0</v>
      </c>
    </row>
    <row r="1965" spans="1:20">
      <c r="A1965" s="4">
        <v>45409</v>
      </c>
      <c r="B1965">
        <v>2024</v>
      </c>
      <c r="C1965">
        <v>4</v>
      </c>
      <c r="D1965" s="5" t="s">
        <v>54</v>
      </c>
      <c r="E1965" s="5" t="s">
        <v>70</v>
      </c>
      <c r="F1965" s="5" t="s">
        <v>71</v>
      </c>
      <c r="G1965" s="5" t="s">
        <v>72</v>
      </c>
      <c r="H1965" s="5" t="s">
        <v>48</v>
      </c>
      <c r="I1965" s="5" t="s">
        <v>40</v>
      </c>
      <c r="J1965" s="5" t="s">
        <v>49</v>
      </c>
      <c r="K1965">
        <v>47</v>
      </c>
      <c r="L1965">
        <v>424294</v>
      </c>
      <c r="M1965" s="26">
        <v>19941818</v>
      </c>
      <c r="N1965">
        <v>32434</v>
      </c>
      <c r="O1965" s="26">
        <v>3179770.68</v>
      </c>
      <c r="P1965" s="5" t="s">
        <v>50</v>
      </c>
      <c r="Q1965" s="5" t="s">
        <v>51</v>
      </c>
      <c r="R1965">
        <v>4.8</v>
      </c>
      <c r="S1965">
        <v>19</v>
      </c>
      <c r="T1965">
        <f t="shared" si="30"/>
        <v>0</v>
      </c>
    </row>
    <row r="1966" spans="1:20">
      <c r="A1966" s="4">
        <v>45394</v>
      </c>
      <c r="B1966">
        <v>2024</v>
      </c>
      <c r="C1966">
        <v>4</v>
      </c>
      <c r="D1966" s="5" t="s">
        <v>66</v>
      </c>
      <c r="E1966" s="5" t="s">
        <v>67</v>
      </c>
      <c r="F1966" s="5" t="s">
        <v>68</v>
      </c>
      <c r="G1966" s="5" t="s">
        <v>69</v>
      </c>
      <c r="H1966" s="5" t="s">
        <v>80</v>
      </c>
      <c r="I1966" s="5" t="s">
        <v>81</v>
      </c>
      <c r="J1966" s="5" t="s">
        <v>41</v>
      </c>
      <c r="K1966">
        <v>21</v>
      </c>
      <c r="L1966">
        <v>573423</v>
      </c>
      <c r="M1966" s="26">
        <v>12041883</v>
      </c>
      <c r="N1966">
        <v>20882</v>
      </c>
      <c r="O1966" s="26">
        <v>1898285.75</v>
      </c>
      <c r="P1966" s="5" t="s">
        <v>50</v>
      </c>
      <c r="Q1966" s="5" t="s">
        <v>51</v>
      </c>
      <c r="R1966">
        <v>4.2</v>
      </c>
      <c r="S1966">
        <v>2</v>
      </c>
      <c r="T1966">
        <f t="shared" si="30"/>
        <v>0</v>
      </c>
    </row>
    <row r="1967" spans="1:20">
      <c r="A1967" s="4">
        <v>45409</v>
      </c>
      <c r="B1967">
        <v>2024</v>
      </c>
      <c r="C1967">
        <v>4</v>
      </c>
      <c r="D1967" s="5" t="s">
        <v>54</v>
      </c>
      <c r="E1967" s="5" t="s">
        <v>70</v>
      </c>
      <c r="F1967" s="5" t="s">
        <v>71</v>
      </c>
      <c r="G1967" s="5" t="s">
        <v>72</v>
      </c>
      <c r="H1967" s="5" t="s">
        <v>79</v>
      </c>
      <c r="I1967" s="5" t="s">
        <v>58</v>
      </c>
      <c r="J1967" s="5" t="s">
        <v>49</v>
      </c>
      <c r="K1967">
        <v>45</v>
      </c>
      <c r="L1967">
        <v>901696</v>
      </c>
      <c r="M1967" s="26">
        <v>40576320</v>
      </c>
      <c r="N1967">
        <v>36643</v>
      </c>
      <c r="O1967" s="26">
        <v>4036475.81</v>
      </c>
      <c r="P1967" s="5" t="s">
        <v>50</v>
      </c>
      <c r="Q1967" s="5" t="s">
        <v>75</v>
      </c>
      <c r="R1967">
        <v>4.3</v>
      </c>
      <c r="S1967">
        <v>13</v>
      </c>
      <c r="T1967">
        <f t="shared" si="30"/>
        <v>0</v>
      </c>
    </row>
    <row r="1968" spans="1:20">
      <c r="A1968" s="4">
        <v>45403</v>
      </c>
      <c r="B1968">
        <v>2024</v>
      </c>
      <c r="C1968">
        <v>4</v>
      </c>
      <c r="D1968" s="5" t="s">
        <v>35</v>
      </c>
      <c r="E1968" s="5" t="s">
        <v>60</v>
      </c>
      <c r="F1968" s="5" t="s">
        <v>61</v>
      </c>
      <c r="G1968" s="5" t="s">
        <v>62</v>
      </c>
      <c r="H1968" s="5" t="s">
        <v>86</v>
      </c>
      <c r="I1968" s="5" t="s">
        <v>40</v>
      </c>
      <c r="J1968" s="5" t="s">
        <v>41</v>
      </c>
      <c r="K1968">
        <v>25</v>
      </c>
      <c r="L1968">
        <v>581389</v>
      </c>
      <c r="M1968" s="26">
        <v>14534725</v>
      </c>
      <c r="N1968">
        <v>25751</v>
      </c>
      <c r="O1968" s="26">
        <v>1942196.94</v>
      </c>
      <c r="P1968" s="5" t="s">
        <v>42</v>
      </c>
      <c r="Q1968" s="5" t="s">
        <v>43</v>
      </c>
      <c r="R1968">
        <v>4</v>
      </c>
      <c r="S1968">
        <v>5</v>
      </c>
      <c r="T1968">
        <f t="shared" si="30"/>
        <v>1</v>
      </c>
    </row>
    <row r="1969" spans="1:20">
      <c r="A1969" s="4">
        <v>45394</v>
      </c>
      <c r="B1969">
        <v>2024</v>
      </c>
      <c r="C1969">
        <v>4</v>
      </c>
      <c r="D1969" s="5" t="s">
        <v>44</v>
      </c>
      <c r="E1969" s="5" t="s">
        <v>45</v>
      </c>
      <c r="F1969" s="5" t="s">
        <v>46</v>
      </c>
      <c r="G1969" s="5" t="s">
        <v>47</v>
      </c>
      <c r="H1969" s="5" t="s">
        <v>74</v>
      </c>
      <c r="I1969" s="5" t="s">
        <v>40</v>
      </c>
      <c r="J1969" s="5" t="s">
        <v>49</v>
      </c>
      <c r="K1969">
        <v>9</v>
      </c>
      <c r="L1969">
        <v>656874</v>
      </c>
      <c r="M1969" s="26">
        <v>5911866</v>
      </c>
      <c r="N1969">
        <v>12242</v>
      </c>
      <c r="O1969" s="26">
        <v>687712.36</v>
      </c>
      <c r="P1969" s="5" t="s">
        <v>42</v>
      </c>
      <c r="Q1969" s="5" t="s">
        <v>51</v>
      </c>
      <c r="R1969">
        <v>5</v>
      </c>
      <c r="S1969">
        <v>8</v>
      </c>
      <c r="T1969">
        <f t="shared" si="30"/>
        <v>1</v>
      </c>
    </row>
    <row r="1970" spans="1:20">
      <c r="A1970" s="4">
        <v>45405</v>
      </c>
      <c r="B1970">
        <v>2024</v>
      </c>
      <c r="C1970">
        <v>4</v>
      </c>
      <c r="D1970" s="5" t="s">
        <v>44</v>
      </c>
      <c r="E1970" s="5" t="s">
        <v>45</v>
      </c>
      <c r="F1970" s="5" t="s">
        <v>46</v>
      </c>
      <c r="G1970" s="5" t="s">
        <v>47</v>
      </c>
      <c r="H1970" s="5" t="s">
        <v>73</v>
      </c>
      <c r="I1970" s="5" t="s">
        <v>40</v>
      </c>
      <c r="J1970" s="5" t="s">
        <v>49</v>
      </c>
      <c r="K1970">
        <v>33</v>
      </c>
      <c r="L1970">
        <v>737863</v>
      </c>
      <c r="M1970" s="26">
        <v>24349479</v>
      </c>
      <c r="N1970">
        <v>35366</v>
      </c>
      <c r="O1970" s="26">
        <v>3662771.69</v>
      </c>
      <c r="P1970" s="5" t="s">
        <v>50</v>
      </c>
      <c r="Q1970" s="5" t="s">
        <v>51</v>
      </c>
      <c r="R1970">
        <v>4.5</v>
      </c>
      <c r="S1970">
        <v>20</v>
      </c>
      <c r="T1970">
        <f t="shared" si="30"/>
        <v>0</v>
      </c>
    </row>
    <row r="1971" spans="1:20">
      <c r="A1971" s="4">
        <v>45401</v>
      </c>
      <c r="B1971">
        <v>2024</v>
      </c>
      <c r="C1971">
        <v>4</v>
      </c>
      <c r="D1971" s="5" t="s">
        <v>44</v>
      </c>
      <c r="E1971" s="5" t="s">
        <v>82</v>
      </c>
      <c r="F1971" s="5" t="s">
        <v>83</v>
      </c>
      <c r="G1971" s="5" t="s">
        <v>84</v>
      </c>
      <c r="H1971" s="5" t="s">
        <v>39</v>
      </c>
      <c r="I1971" s="5" t="s">
        <v>40</v>
      </c>
      <c r="J1971" s="5" t="s">
        <v>41</v>
      </c>
      <c r="K1971">
        <v>18</v>
      </c>
      <c r="L1971">
        <v>608822</v>
      </c>
      <c r="M1971" s="26">
        <v>10958796</v>
      </c>
      <c r="N1971">
        <v>30693</v>
      </c>
      <c r="O1971" s="26">
        <v>1196705.68</v>
      </c>
      <c r="P1971" s="5" t="s">
        <v>42</v>
      </c>
      <c r="Q1971" s="5" t="s">
        <v>51</v>
      </c>
      <c r="R1971">
        <v>4.5999999999999996</v>
      </c>
      <c r="S1971">
        <v>14</v>
      </c>
      <c r="T1971">
        <f t="shared" si="30"/>
        <v>1</v>
      </c>
    </row>
    <row r="1972" spans="1:20">
      <c r="A1972" s="4">
        <v>45408</v>
      </c>
      <c r="B1972">
        <v>2024</v>
      </c>
      <c r="C1972">
        <v>4</v>
      </c>
      <c r="D1972" s="5" t="s">
        <v>54</v>
      </c>
      <c r="E1972" s="5" t="s">
        <v>55</v>
      </c>
      <c r="F1972" s="5" t="s">
        <v>55</v>
      </c>
      <c r="G1972" s="5" t="s">
        <v>56</v>
      </c>
      <c r="H1972" s="5" t="s">
        <v>52</v>
      </c>
      <c r="I1972" s="5" t="s">
        <v>53</v>
      </c>
      <c r="J1972" s="5" t="s">
        <v>41</v>
      </c>
      <c r="K1972">
        <v>22</v>
      </c>
      <c r="L1972">
        <v>928402</v>
      </c>
      <c r="M1972" s="26">
        <v>20424844</v>
      </c>
      <c r="N1972">
        <v>23979</v>
      </c>
      <c r="O1972" s="26">
        <v>2470556.34</v>
      </c>
      <c r="P1972" s="5" t="s">
        <v>42</v>
      </c>
      <c r="Q1972" s="5" t="s">
        <v>51</v>
      </c>
      <c r="R1972">
        <v>3.9</v>
      </c>
      <c r="S1972">
        <v>20</v>
      </c>
      <c r="T1972">
        <f t="shared" si="30"/>
        <v>1</v>
      </c>
    </row>
    <row r="1973" spans="1:20">
      <c r="A1973" s="4">
        <v>45389</v>
      </c>
      <c r="B1973">
        <v>2024</v>
      </c>
      <c r="C1973">
        <v>4</v>
      </c>
      <c r="D1973" s="5" t="s">
        <v>44</v>
      </c>
      <c r="E1973" s="5" t="s">
        <v>45</v>
      </c>
      <c r="F1973" s="5" t="s">
        <v>46</v>
      </c>
      <c r="G1973" s="5" t="s">
        <v>47</v>
      </c>
      <c r="H1973" s="5" t="s">
        <v>73</v>
      </c>
      <c r="I1973" s="5" t="s">
        <v>40</v>
      </c>
      <c r="J1973" s="5" t="s">
        <v>49</v>
      </c>
      <c r="K1973">
        <v>53</v>
      </c>
      <c r="L1973">
        <v>731063</v>
      </c>
      <c r="M1973" s="26">
        <v>38746339</v>
      </c>
      <c r="N1973">
        <v>30296</v>
      </c>
      <c r="O1973" s="26">
        <v>4181529.11</v>
      </c>
      <c r="P1973" s="5" t="s">
        <v>50</v>
      </c>
      <c r="Q1973" s="5" t="s">
        <v>75</v>
      </c>
      <c r="R1973">
        <v>4.5</v>
      </c>
      <c r="S1973">
        <v>7</v>
      </c>
      <c r="T1973">
        <f t="shared" si="30"/>
        <v>0</v>
      </c>
    </row>
    <row r="1974" spans="1:20">
      <c r="A1974" s="4">
        <v>45400</v>
      </c>
      <c r="B1974">
        <v>2024</v>
      </c>
      <c r="C1974">
        <v>4</v>
      </c>
      <c r="D1974" s="5" t="s">
        <v>44</v>
      </c>
      <c r="E1974" s="5" t="s">
        <v>45</v>
      </c>
      <c r="F1974" s="5" t="s">
        <v>46</v>
      </c>
      <c r="G1974" s="5" t="s">
        <v>47</v>
      </c>
      <c r="H1974" s="5" t="s">
        <v>73</v>
      </c>
      <c r="I1974" s="5" t="s">
        <v>40</v>
      </c>
      <c r="J1974" s="5" t="s">
        <v>49</v>
      </c>
      <c r="K1974">
        <v>5</v>
      </c>
      <c r="L1974">
        <v>737425</v>
      </c>
      <c r="M1974" s="26">
        <v>3687125</v>
      </c>
      <c r="N1974">
        <v>24572</v>
      </c>
      <c r="O1974" s="26">
        <v>362538.25</v>
      </c>
      <c r="P1974" s="5" t="s">
        <v>50</v>
      </c>
      <c r="Q1974" s="5" t="s">
        <v>43</v>
      </c>
      <c r="R1974">
        <v>4.2</v>
      </c>
      <c r="S1974">
        <v>5</v>
      </c>
      <c r="T1974">
        <f t="shared" si="30"/>
        <v>0</v>
      </c>
    </row>
    <row r="1975" spans="1:20">
      <c r="A1975" s="4">
        <v>45400</v>
      </c>
      <c r="B1975">
        <v>2024</v>
      </c>
      <c r="C1975">
        <v>4</v>
      </c>
      <c r="D1975" s="5" t="s">
        <v>54</v>
      </c>
      <c r="E1975" s="5" t="s">
        <v>70</v>
      </c>
      <c r="F1975" s="5" t="s">
        <v>71</v>
      </c>
      <c r="G1975" s="5" t="s">
        <v>72</v>
      </c>
      <c r="H1975" s="5" t="s">
        <v>65</v>
      </c>
      <c r="I1975" s="5" t="s">
        <v>53</v>
      </c>
      <c r="J1975" s="5" t="s">
        <v>49</v>
      </c>
      <c r="K1975">
        <v>52</v>
      </c>
      <c r="L1975">
        <v>1242355</v>
      </c>
      <c r="M1975" s="26">
        <v>64602460</v>
      </c>
      <c r="N1975">
        <v>38897</v>
      </c>
      <c r="O1975" s="26">
        <v>7512098.6799999997</v>
      </c>
      <c r="P1975" s="5" t="s">
        <v>50</v>
      </c>
      <c r="Q1975" s="5" t="s">
        <v>43</v>
      </c>
      <c r="R1975">
        <v>3.7</v>
      </c>
      <c r="S1975">
        <v>6</v>
      </c>
      <c r="T1975">
        <f t="shared" si="30"/>
        <v>0</v>
      </c>
    </row>
    <row r="1976" spans="1:20">
      <c r="A1976" s="4">
        <v>45402</v>
      </c>
      <c r="B1976">
        <v>2024</v>
      </c>
      <c r="C1976">
        <v>4</v>
      </c>
      <c r="D1976" s="5" t="s">
        <v>44</v>
      </c>
      <c r="E1976" s="5" t="s">
        <v>82</v>
      </c>
      <c r="F1976" s="5" t="s">
        <v>83</v>
      </c>
      <c r="G1976" s="5" t="s">
        <v>84</v>
      </c>
      <c r="H1976" s="5" t="s">
        <v>74</v>
      </c>
      <c r="I1976" s="5" t="s">
        <v>40</v>
      </c>
      <c r="J1976" s="5" t="s">
        <v>49</v>
      </c>
      <c r="K1976">
        <v>26</v>
      </c>
      <c r="L1976">
        <v>644759</v>
      </c>
      <c r="M1976" s="26">
        <v>16763734</v>
      </c>
      <c r="N1976">
        <v>27577</v>
      </c>
      <c r="O1976" s="26">
        <v>1935635.9</v>
      </c>
      <c r="P1976" s="5" t="s">
        <v>42</v>
      </c>
      <c r="Q1976" s="5" t="s">
        <v>51</v>
      </c>
      <c r="R1976">
        <v>4.0999999999999996</v>
      </c>
      <c r="S1976">
        <v>20</v>
      </c>
      <c r="T1976">
        <f t="shared" si="30"/>
        <v>1</v>
      </c>
    </row>
    <row r="1977" spans="1:20">
      <c r="A1977" s="4">
        <v>45390</v>
      </c>
      <c r="B1977">
        <v>2024</v>
      </c>
      <c r="C1977">
        <v>4</v>
      </c>
      <c r="D1977" s="5" t="s">
        <v>35</v>
      </c>
      <c r="E1977" s="5" t="s">
        <v>76</v>
      </c>
      <c r="F1977" s="5" t="s">
        <v>77</v>
      </c>
      <c r="G1977" s="5" t="s">
        <v>78</v>
      </c>
      <c r="H1977" s="5" t="s">
        <v>52</v>
      </c>
      <c r="I1977" s="5" t="s">
        <v>53</v>
      </c>
      <c r="J1977" s="5" t="s">
        <v>41</v>
      </c>
      <c r="K1977">
        <v>44</v>
      </c>
      <c r="L1977">
        <v>926083</v>
      </c>
      <c r="M1977" s="26">
        <v>40747652</v>
      </c>
      <c r="N1977">
        <v>34224</v>
      </c>
      <c r="O1977" s="26">
        <v>5441834.8799999999</v>
      </c>
      <c r="P1977" s="5" t="s">
        <v>50</v>
      </c>
      <c r="Q1977" s="5" t="s">
        <v>43</v>
      </c>
      <c r="R1977">
        <v>4.5999999999999996</v>
      </c>
      <c r="S1977">
        <v>20</v>
      </c>
      <c r="T1977">
        <f t="shared" si="30"/>
        <v>0</v>
      </c>
    </row>
    <row r="1978" spans="1:20">
      <c r="A1978" s="4">
        <v>45404</v>
      </c>
      <c r="B1978">
        <v>2024</v>
      </c>
      <c r="C1978">
        <v>4</v>
      </c>
      <c r="D1978" s="5" t="s">
        <v>54</v>
      </c>
      <c r="E1978" s="5" t="s">
        <v>70</v>
      </c>
      <c r="F1978" s="5" t="s">
        <v>71</v>
      </c>
      <c r="G1978" s="5" t="s">
        <v>72</v>
      </c>
      <c r="H1978" s="5" t="s">
        <v>80</v>
      </c>
      <c r="I1978" s="5" t="s">
        <v>81</v>
      </c>
      <c r="J1978" s="5" t="s">
        <v>41</v>
      </c>
      <c r="K1978">
        <v>35</v>
      </c>
      <c r="L1978">
        <v>531531</v>
      </c>
      <c r="M1978" s="26">
        <v>18603585</v>
      </c>
      <c r="N1978">
        <v>26818</v>
      </c>
      <c r="O1978" s="26">
        <v>2697920.9</v>
      </c>
      <c r="P1978" s="5" t="s">
        <v>50</v>
      </c>
      <c r="Q1978" s="5" t="s">
        <v>43</v>
      </c>
      <c r="R1978">
        <v>5</v>
      </c>
      <c r="S1978">
        <v>15</v>
      </c>
      <c r="T1978">
        <f t="shared" si="30"/>
        <v>0</v>
      </c>
    </row>
    <row r="1979" spans="1:20">
      <c r="A1979" s="4">
        <v>45395</v>
      </c>
      <c r="B1979">
        <v>2024</v>
      </c>
      <c r="C1979">
        <v>4</v>
      </c>
      <c r="D1979" s="5" t="s">
        <v>54</v>
      </c>
      <c r="E1979" s="5" t="s">
        <v>55</v>
      </c>
      <c r="F1979" s="5" t="s">
        <v>55</v>
      </c>
      <c r="G1979" s="5" t="s">
        <v>56</v>
      </c>
      <c r="H1979" s="5" t="s">
        <v>57</v>
      </c>
      <c r="I1979" s="5" t="s">
        <v>58</v>
      </c>
      <c r="J1979" s="5" t="s">
        <v>59</v>
      </c>
      <c r="K1979">
        <v>45</v>
      </c>
      <c r="L1979">
        <v>1396190</v>
      </c>
      <c r="M1979" s="26">
        <v>62828550</v>
      </c>
      <c r="N1979">
        <v>18405</v>
      </c>
      <c r="O1979" s="26">
        <v>7301824</v>
      </c>
      <c r="P1979" s="5" t="s">
        <v>50</v>
      </c>
      <c r="Q1979" s="5" t="s">
        <v>75</v>
      </c>
      <c r="R1979">
        <v>3.6</v>
      </c>
      <c r="S1979">
        <v>12</v>
      </c>
      <c r="T1979">
        <f t="shared" si="30"/>
        <v>0</v>
      </c>
    </row>
    <row r="1980" spans="1:20">
      <c r="A1980" s="4">
        <v>45394</v>
      </c>
      <c r="B1980">
        <v>2024</v>
      </c>
      <c r="C1980">
        <v>4</v>
      </c>
      <c r="D1980" s="5" t="s">
        <v>44</v>
      </c>
      <c r="E1980" s="5" t="s">
        <v>45</v>
      </c>
      <c r="F1980" s="5" t="s">
        <v>46</v>
      </c>
      <c r="G1980" s="5" t="s">
        <v>47</v>
      </c>
      <c r="H1980" s="5" t="s">
        <v>52</v>
      </c>
      <c r="I1980" s="5" t="s">
        <v>53</v>
      </c>
      <c r="J1980" s="5" t="s">
        <v>41</v>
      </c>
      <c r="K1980">
        <v>44</v>
      </c>
      <c r="L1980">
        <v>944682</v>
      </c>
      <c r="M1980" s="26">
        <v>41566008</v>
      </c>
      <c r="N1980">
        <v>17805</v>
      </c>
      <c r="O1980" s="26">
        <v>5385039.8399999999</v>
      </c>
      <c r="P1980" s="5" t="s">
        <v>42</v>
      </c>
      <c r="Q1980" s="5" t="s">
        <v>43</v>
      </c>
      <c r="R1980">
        <v>3.6</v>
      </c>
      <c r="S1980">
        <v>4</v>
      </c>
      <c r="T1980">
        <f t="shared" si="30"/>
        <v>1</v>
      </c>
    </row>
    <row r="1981" spans="1:20">
      <c r="A1981" s="4">
        <v>45385</v>
      </c>
      <c r="B1981">
        <v>2024</v>
      </c>
      <c r="C1981">
        <v>4</v>
      </c>
      <c r="D1981" s="5" t="s">
        <v>35</v>
      </c>
      <c r="E1981" s="5" t="s">
        <v>60</v>
      </c>
      <c r="F1981" s="5" t="s">
        <v>61</v>
      </c>
      <c r="G1981" s="5" t="s">
        <v>62</v>
      </c>
      <c r="H1981" s="5" t="s">
        <v>65</v>
      </c>
      <c r="I1981" s="5" t="s">
        <v>53</v>
      </c>
      <c r="J1981" s="5" t="s">
        <v>49</v>
      </c>
      <c r="K1981">
        <v>53</v>
      </c>
      <c r="L1981">
        <v>1255096</v>
      </c>
      <c r="M1981" s="26">
        <v>66520088</v>
      </c>
      <c r="N1981">
        <v>16620</v>
      </c>
      <c r="O1981" s="26">
        <v>9112562.25</v>
      </c>
      <c r="P1981" s="5" t="s">
        <v>50</v>
      </c>
      <c r="Q1981" s="5" t="s">
        <v>43</v>
      </c>
      <c r="R1981">
        <v>4.7</v>
      </c>
      <c r="S1981">
        <v>13</v>
      </c>
      <c r="T1981">
        <f t="shared" si="30"/>
        <v>0</v>
      </c>
    </row>
    <row r="1982" spans="1:20">
      <c r="A1982" s="4">
        <v>45389</v>
      </c>
      <c r="B1982">
        <v>2024</v>
      </c>
      <c r="C1982">
        <v>4</v>
      </c>
      <c r="D1982" s="5" t="s">
        <v>35</v>
      </c>
      <c r="E1982" s="5" t="s">
        <v>60</v>
      </c>
      <c r="F1982" s="5" t="s">
        <v>61</v>
      </c>
      <c r="G1982" s="5" t="s">
        <v>62</v>
      </c>
      <c r="H1982" s="5" t="s">
        <v>48</v>
      </c>
      <c r="I1982" s="5" t="s">
        <v>40</v>
      </c>
      <c r="J1982" s="5" t="s">
        <v>49</v>
      </c>
      <c r="K1982">
        <v>39</v>
      </c>
      <c r="L1982">
        <v>422105</v>
      </c>
      <c r="M1982" s="26">
        <v>16462095</v>
      </c>
      <c r="N1982">
        <v>17591</v>
      </c>
      <c r="O1982" s="26">
        <v>1413384.36</v>
      </c>
      <c r="P1982" s="5" t="s">
        <v>50</v>
      </c>
      <c r="Q1982" s="5" t="s">
        <v>51</v>
      </c>
      <c r="R1982">
        <v>4.7</v>
      </c>
      <c r="S1982">
        <v>18</v>
      </c>
      <c r="T1982">
        <f t="shared" si="30"/>
        <v>0</v>
      </c>
    </row>
    <row r="1983" spans="1:20">
      <c r="A1983" s="4">
        <v>45400</v>
      </c>
      <c r="B1983">
        <v>2024</v>
      </c>
      <c r="C1983">
        <v>4</v>
      </c>
      <c r="D1983" s="5" t="s">
        <v>44</v>
      </c>
      <c r="E1983" s="5" t="s">
        <v>45</v>
      </c>
      <c r="F1983" s="5" t="s">
        <v>46</v>
      </c>
      <c r="G1983" s="5" t="s">
        <v>47</v>
      </c>
      <c r="H1983" s="5" t="s">
        <v>86</v>
      </c>
      <c r="I1983" s="5" t="s">
        <v>40</v>
      </c>
      <c r="J1983" s="5" t="s">
        <v>41</v>
      </c>
      <c r="K1983">
        <v>40</v>
      </c>
      <c r="L1983">
        <v>591368</v>
      </c>
      <c r="M1983" s="26">
        <v>23654720</v>
      </c>
      <c r="N1983">
        <v>38605</v>
      </c>
      <c r="O1983" s="26">
        <v>2192667.4700000002</v>
      </c>
      <c r="P1983" s="5" t="s">
        <v>50</v>
      </c>
      <c r="Q1983" s="5" t="s">
        <v>43</v>
      </c>
      <c r="R1983">
        <v>4.9000000000000004</v>
      </c>
      <c r="S1983">
        <v>5</v>
      </c>
      <c r="T1983">
        <f t="shared" si="30"/>
        <v>0</v>
      </c>
    </row>
    <row r="1984" spans="1:20">
      <c r="A1984" s="4">
        <v>45397</v>
      </c>
      <c r="B1984">
        <v>2024</v>
      </c>
      <c r="C1984">
        <v>4</v>
      </c>
      <c r="D1984" s="5" t="s">
        <v>54</v>
      </c>
      <c r="E1984" s="5" t="s">
        <v>70</v>
      </c>
      <c r="F1984" s="5" t="s">
        <v>71</v>
      </c>
      <c r="G1984" s="5" t="s">
        <v>72</v>
      </c>
      <c r="H1984" s="5" t="s">
        <v>39</v>
      </c>
      <c r="I1984" s="5" t="s">
        <v>40</v>
      </c>
      <c r="J1984" s="5" t="s">
        <v>41</v>
      </c>
      <c r="K1984">
        <v>52</v>
      </c>
      <c r="L1984">
        <v>577924</v>
      </c>
      <c r="M1984" s="26">
        <v>30052048</v>
      </c>
      <c r="N1984">
        <v>11485</v>
      </c>
      <c r="O1984" s="26">
        <v>2901408.39</v>
      </c>
      <c r="P1984" s="5" t="s">
        <v>50</v>
      </c>
      <c r="Q1984" s="5" t="s">
        <v>43</v>
      </c>
      <c r="R1984">
        <v>4.8</v>
      </c>
      <c r="S1984">
        <v>11</v>
      </c>
      <c r="T1984">
        <f t="shared" si="30"/>
        <v>0</v>
      </c>
    </row>
    <row r="1985" spans="1:20">
      <c r="A1985" s="4">
        <v>45403</v>
      </c>
      <c r="B1985">
        <v>2024</v>
      </c>
      <c r="C1985">
        <v>4</v>
      </c>
      <c r="D1985" s="5" t="s">
        <v>54</v>
      </c>
      <c r="E1985" s="5" t="s">
        <v>70</v>
      </c>
      <c r="F1985" s="5" t="s">
        <v>71</v>
      </c>
      <c r="G1985" s="5" t="s">
        <v>72</v>
      </c>
      <c r="H1985" s="5" t="s">
        <v>52</v>
      </c>
      <c r="I1985" s="5" t="s">
        <v>53</v>
      </c>
      <c r="J1985" s="5" t="s">
        <v>41</v>
      </c>
      <c r="K1985">
        <v>27</v>
      </c>
      <c r="L1985">
        <v>936867</v>
      </c>
      <c r="M1985" s="26">
        <v>25295409</v>
      </c>
      <c r="N1985">
        <v>5331</v>
      </c>
      <c r="O1985" s="26">
        <v>3446366.44</v>
      </c>
      <c r="P1985" s="5" t="s">
        <v>42</v>
      </c>
      <c r="Q1985" s="5" t="s">
        <v>75</v>
      </c>
      <c r="R1985">
        <v>4.2</v>
      </c>
      <c r="S1985">
        <v>11</v>
      </c>
      <c r="T1985">
        <f t="shared" si="30"/>
        <v>1</v>
      </c>
    </row>
    <row r="1986" spans="1:20">
      <c r="A1986" s="4">
        <v>45404</v>
      </c>
      <c r="B1986">
        <v>2024</v>
      </c>
      <c r="C1986">
        <v>4</v>
      </c>
      <c r="D1986" s="5" t="s">
        <v>35</v>
      </c>
      <c r="E1986" s="5" t="s">
        <v>76</v>
      </c>
      <c r="F1986" s="5" t="s">
        <v>77</v>
      </c>
      <c r="G1986" s="5" t="s">
        <v>78</v>
      </c>
      <c r="H1986" s="5" t="s">
        <v>73</v>
      </c>
      <c r="I1986" s="5" t="s">
        <v>40</v>
      </c>
      <c r="J1986" s="5" t="s">
        <v>49</v>
      </c>
      <c r="K1986">
        <v>24</v>
      </c>
      <c r="L1986">
        <v>714306</v>
      </c>
      <c r="M1986" s="26">
        <v>17143344</v>
      </c>
      <c r="N1986">
        <v>39570</v>
      </c>
      <c r="O1986" s="26">
        <v>1841606.81</v>
      </c>
      <c r="P1986" s="5" t="s">
        <v>42</v>
      </c>
      <c r="Q1986" s="5" t="s">
        <v>51</v>
      </c>
      <c r="R1986">
        <v>4.8</v>
      </c>
      <c r="S1986">
        <v>9</v>
      </c>
      <c r="T1986">
        <f t="shared" ref="T1986:T2049" si="31">IF(AND(OR($B1986=Sel_Year,Sel_Year="All"),OR($C1986=Sel_Month,Sel_Month="All"),OR($D1986=Sel_Region,Sel_Region="All"),OR($E1986=Sel_State,Sel_State="All"),OR($F1986=Sel_City,Sel_City="All"),OR($G1986=Sel_Dealer,Sel_Dealer="All"),OR($H1986=Sel_Model,Sel_Model="All"),OR($I1986=Sel_Segment,Sel_Segment="All"),OR($J1986=Sel_Fuel,Sel_Fuel="All"),OR($P1986=Sel_CustType,Sel_CustType="All"),OR($Q1986=Sel_Payment,Sel_Payment="All")),1,0)</f>
        <v>1</v>
      </c>
    </row>
    <row r="1987" spans="1:20">
      <c r="A1987" s="4">
        <v>45407</v>
      </c>
      <c r="B1987">
        <v>2024</v>
      </c>
      <c r="C1987">
        <v>4</v>
      </c>
      <c r="D1987" s="5" t="s">
        <v>35</v>
      </c>
      <c r="E1987" s="5" t="s">
        <v>36</v>
      </c>
      <c r="F1987" s="5" t="s">
        <v>37</v>
      </c>
      <c r="G1987" s="5" t="s">
        <v>38</v>
      </c>
      <c r="H1987" s="5" t="s">
        <v>39</v>
      </c>
      <c r="I1987" s="5" t="s">
        <v>40</v>
      </c>
      <c r="J1987" s="5" t="s">
        <v>41</v>
      </c>
      <c r="K1987">
        <v>8</v>
      </c>
      <c r="L1987">
        <v>604027</v>
      </c>
      <c r="M1987" s="26">
        <v>4832216</v>
      </c>
      <c r="N1987">
        <v>30723</v>
      </c>
      <c r="O1987" s="26">
        <v>484562.52</v>
      </c>
      <c r="P1987" s="5" t="s">
        <v>50</v>
      </c>
      <c r="Q1987" s="5" t="s">
        <v>43</v>
      </c>
      <c r="R1987">
        <v>4.9000000000000004</v>
      </c>
      <c r="S1987">
        <v>2</v>
      </c>
      <c r="T1987">
        <f t="shared" si="31"/>
        <v>0</v>
      </c>
    </row>
    <row r="1988" spans="1:20">
      <c r="A1988" s="4">
        <v>45398</v>
      </c>
      <c r="B1988">
        <v>2024</v>
      </c>
      <c r="C1988">
        <v>4</v>
      </c>
      <c r="D1988" s="5" t="s">
        <v>35</v>
      </c>
      <c r="E1988" s="5" t="s">
        <v>76</v>
      </c>
      <c r="F1988" s="5" t="s">
        <v>77</v>
      </c>
      <c r="G1988" s="5" t="s">
        <v>78</v>
      </c>
      <c r="H1988" s="5" t="s">
        <v>80</v>
      </c>
      <c r="I1988" s="5" t="s">
        <v>81</v>
      </c>
      <c r="J1988" s="5" t="s">
        <v>41</v>
      </c>
      <c r="K1988">
        <v>44</v>
      </c>
      <c r="L1988">
        <v>566237</v>
      </c>
      <c r="M1988" s="26">
        <v>24914428</v>
      </c>
      <c r="N1988">
        <v>43551</v>
      </c>
      <c r="O1988" s="26">
        <v>3408029.27</v>
      </c>
      <c r="P1988" s="5" t="s">
        <v>42</v>
      </c>
      <c r="Q1988" s="5" t="s">
        <v>51</v>
      </c>
      <c r="R1988">
        <v>4.9000000000000004</v>
      </c>
      <c r="S1988">
        <v>19</v>
      </c>
      <c r="T1988">
        <f t="shared" si="31"/>
        <v>1</v>
      </c>
    </row>
    <row r="1989" spans="1:20">
      <c r="A1989" s="4">
        <v>45404</v>
      </c>
      <c r="B1989">
        <v>2024</v>
      </c>
      <c r="C1989">
        <v>4</v>
      </c>
      <c r="D1989" s="5" t="s">
        <v>35</v>
      </c>
      <c r="E1989" s="5" t="s">
        <v>60</v>
      </c>
      <c r="F1989" s="5" t="s">
        <v>61</v>
      </c>
      <c r="G1989" s="5" t="s">
        <v>62</v>
      </c>
      <c r="H1989" s="5" t="s">
        <v>65</v>
      </c>
      <c r="I1989" s="5" t="s">
        <v>53</v>
      </c>
      <c r="J1989" s="5" t="s">
        <v>49</v>
      </c>
      <c r="K1989">
        <v>60</v>
      </c>
      <c r="L1989">
        <v>1261367</v>
      </c>
      <c r="M1989" s="26">
        <v>75682020</v>
      </c>
      <c r="N1989">
        <v>47153</v>
      </c>
      <c r="O1989" s="26">
        <v>11691843.76</v>
      </c>
      <c r="P1989" s="5" t="s">
        <v>50</v>
      </c>
      <c r="Q1989" s="5" t="s">
        <v>43</v>
      </c>
      <c r="R1989">
        <v>4.5</v>
      </c>
      <c r="S1989">
        <v>14</v>
      </c>
      <c r="T1989">
        <f t="shared" si="31"/>
        <v>0</v>
      </c>
    </row>
    <row r="1990" spans="1:20">
      <c r="A1990" s="4">
        <v>45403</v>
      </c>
      <c r="B1990">
        <v>2024</v>
      </c>
      <c r="C1990">
        <v>4</v>
      </c>
      <c r="D1990" s="5" t="s">
        <v>44</v>
      </c>
      <c r="E1990" s="5" t="s">
        <v>82</v>
      </c>
      <c r="F1990" s="5" t="s">
        <v>83</v>
      </c>
      <c r="G1990" s="5" t="s">
        <v>84</v>
      </c>
      <c r="H1990" s="5" t="s">
        <v>86</v>
      </c>
      <c r="I1990" s="5" t="s">
        <v>40</v>
      </c>
      <c r="J1990" s="5" t="s">
        <v>41</v>
      </c>
      <c r="K1990">
        <v>5</v>
      </c>
      <c r="L1990">
        <v>605212</v>
      </c>
      <c r="M1990" s="26">
        <v>3026060</v>
      </c>
      <c r="N1990">
        <v>6922</v>
      </c>
      <c r="O1990" s="26">
        <v>250996.49</v>
      </c>
      <c r="P1990" s="5" t="s">
        <v>42</v>
      </c>
      <c r="Q1990" s="5" t="s">
        <v>51</v>
      </c>
      <c r="R1990">
        <v>4.0999999999999996</v>
      </c>
      <c r="S1990">
        <v>20</v>
      </c>
      <c r="T1990">
        <f t="shared" si="31"/>
        <v>1</v>
      </c>
    </row>
    <row r="1991" spans="1:20">
      <c r="A1991" s="4">
        <v>45396</v>
      </c>
      <c r="B1991">
        <v>2024</v>
      </c>
      <c r="C1991">
        <v>4</v>
      </c>
      <c r="D1991" s="5" t="s">
        <v>35</v>
      </c>
      <c r="E1991" s="5" t="s">
        <v>36</v>
      </c>
      <c r="F1991" s="5" t="s">
        <v>37</v>
      </c>
      <c r="G1991" s="5" t="s">
        <v>38</v>
      </c>
      <c r="H1991" s="5" t="s">
        <v>79</v>
      </c>
      <c r="I1991" s="5" t="s">
        <v>58</v>
      </c>
      <c r="J1991" s="5" t="s">
        <v>49</v>
      </c>
      <c r="K1991">
        <v>46</v>
      </c>
      <c r="L1991">
        <v>888108</v>
      </c>
      <c r="M1991" s="26">
        <v>40852968</v>
      </c>
      <c r="N1991">
        <v>30100</v>
      </c>
      <c r="O1991" s="26">
        <v>5666565.7300000004</v>
      </c>
      <c r="P1991" s="5" t="s">
        <v>42</v>
      </c>
      <c r="Q1991" s="5" t="s">
        <v>43</v>
      </c>
      <c r="R1991">
        <v>4.4000000000000004</v>
      </c>
      <c r="S1991">
        <v>11</v>
      </c>
      <c r="T1991">
        <f t="shared" si="31"/>
        <v>1</v>
      </c>
    </row>
    <row r="1992" spans="1:20">
      <c r="A1992" s="4">
        <v>45401</v>
      </c>
      <c r="B1992">
        <v>2024</v>
      </c>
      <c r="C1992">
        <v>4</v>
      </c>
      <c r="D1992" s="5" t="s">
        <v>35</v>
      </c>
      <c r="E1992" s="5" t="s">
        <v>76</v>
      </c>
      <c r="F1992" s="5" t="s">
        <v>77</v>
      </c>
      <c r="G1992" s="5" t="s">
        <v>78</v>
      </c>
      <c r="H1992" s="5" t="s">
        <v>79</v>
      </c>
      <c r="I1992" s="5" t="s">
        <v>58</v>
      </c>
      <c r="J1992" s="5" t="s">
        <v>49</v>
      </c>
      <c r="K1992">
        <v>57</v>
      </c>
      <c r="L1992">
        <v>911213</v>
      </c>
      <c r="M1992" s="26">
        <v>51939141</v>
      </c>
      <c r="N1992">
        <v>24785</v>
      </c>
      <c r="O1992" s="26">
        <v>6259050.8300000001</v>
      </c>
      <c r="P1992" s="5" t="s">
        <v>42</v>
      </c>
      <c r="Q1992" s="5" t="s">
        <v>43</v>
      </c>
      <c r="R1992">
        <v>4.7</v>
      </c>
      <c r="S1992">
        <v>13</v>
      </c>
      <c r="T1992">
        <f t="shared" si="31"/>
        <v>1</v>
      </c>
    </row>
    <row r="1993" spans="1:20">
      <c r="A1993" s="4">
        <v>45402</v>
      </c>
      <c r="B1993">
        <v>2024</v>
      </c>
      <c r="C1993">
        <v>4</v>
      </c>
      <c r="D1993" s="5" t="s">
        <v>35</v>
      </c>
      <c r="E1993" s="5" t="s">
        <v>76</v>
      </c>
      <c r="F1993" s="5" t="s">
        <v>77</v>
      </c>
      <c r="G1993" s="5" t="s">
        <v>78</v>
      </c>
      <c r="H1993" s="5" t="s">
        <v>52</v>
      </c>
      <c r="I1993" s="5" t="s">
        <v>53</v>
      </c>
      <c r="J1993" s="5" t="s">
        <v>41</v>
      </c>
      <c r="K1993">
        <v>41</v>
      </c>
      <c r="L1993">
        <v>974552</v>
      </c>
      <c r="M1993" s="26">
        <v>39956632</v>
      </c>
      <c r="N1993">
        <v>26145</v>
      </c>
      <c r="O1993" s="26">
        <v>5593953.0599999996</v>
      </c>
      <c r="P1993" s="5" t="s">
        <v>42</v>
      </c>
      <c r="Q1993" s="5" t="s">
        <v>51</v>
      </c>
      <c r="R1993">
        <v>4.7</v>
      </c>
      <c r="S1993">
        <v>20</v>
      </c>
      <c r="T1993">
        <f t="shared" si="31"/>
        <v>1</v>
      </c>
    </row>
    <row r="1994" spans="1:20">
      <c r="A1994" s="4">
        <v>45384</v>
      </c>
      <c r="B1994">
        <v>2024</v>
      </c>
      <c r="C1994">
        <v>4</v>
      </c>
      <c r="D1994" s="5" t="s">
        <v>66</v>
      </c>
      <c r="E1994" s="5" t="s">
        <v>67</v>
      </c>
      <c r="F1994" s="5" t="s">
        <v>68</v>
      </c>
      <c r="G1994" s="5" t="s">
        <v>69</v>
      </c>
      <c r="H1994" s="5" t="s">
        <v>74</v>
      </c>
      <c r="I1994" s="5" t="s">
        <v>40</v>
      </c>
      <c r="J1994" s="5" t="s">
        <v>49</v>
      </c>
      <c r="K1994">
        <v>39</v>
      </c>
      <c r="L1994">
        <v>638683</v>
      </c>
      <c r="M1994" s="26">
        <v>24908637</v>
      </c>
      <c r="N1994">
        <v>49639</v>
      </c>
      <c r="O1994" s="26">
        <v>2340658.7200000002</v>
      </c>
      <c r="P1994" s="5" t="s">
        <v>50</v>
      </c>
      <c r="Q1994" s="5" t="s">
        <v>43</v>
      </c>
      <c r="R1994">
        <v>4.8</v>
      </c>
      <c r="S1994">
        <v>11</v>
      </c>
      <c r="T1994">
        <f t="shared" si="31"/>
        <v>0</v>
      </c>
    </row>
    <row r="1995" spans="1:20">
      <c r="A1995" s="4">
        <v>45406</v>
      </c>
      <c r="B1995">
        <v>2024</v>
      </c>
      <c r="C1995">
        <v>4</v>
      </c>
      <c r="D1995" s="5" t="s">
        <v>44</v>
      </c>
      <c r="E1995" s="5" t="s">
        <v>82</v>
      </c>
      <c r="F1995" s="5" t="s">
        <v>83</v>
      </c>
      <c r="G1995" s="5" t="s">
        <v>84</v>
      </c>
      <c r="H1995" s="5" t="s">
        <v>79</v>
      </c>
      <c r="I1995" s="5" t="s">
        <v>58</v>
      </c>
      <c r="J1995" s="5" t="s">
        <v>49</v>
      </c>
      <c r="K1995">
        <v>55</v>
      </c>
      <c r="L1995">
        <v>899148</v>
      </c>
      <c r="M1995" s="26">
        <v>49453140</v>
      </c>
      <c r="N1995">
        <v>7848</v>
      </c>
      <c r="O1995" s="26">
        <v>5337230.91</v>
      </c>
      <c r="P1995" s="5" t="s">
        <v>50</v>
      </c>
      <c r="Q1995" s="5" t="s">
        <v>75</v>
      </c>
      <c r="R1995">
        <v>4.8</v>
      </c>
      <c r="S1995">
        <v>21</v>
      </c>
      <c r="T1995">
        <f t="shared" si="31"/>
        <v>0</v>
      </c>
    </row>
    <row r="1996" spans="1:20">
      <c r="A1996" s="4">
        <v>45410</v>
      </c>
      <c r="B1996">
        <v>2024</v>
      </c>
      <c r="C1996">
        <v>4</v>
      </c>
      <c r="D1996" s="5" t="s">
        <v>54</v>
      </c>
      <c r="E1996" s="5" t="s">
        <v>55</v>
      </c>
      <c r="F1996" s="5" t="s">
        <v>55</v>
      </c>
      <c r="G1996" s="5" t="s">
        <v>56</v>
      </c>
      <c r="H1996" s="5" t="s">
        <v>74</v>
      </c>
      <c r="I1996" s="5" t="s">
        <v>40</v>
      </c>
      <c r="J1996" s="5" t="s">
        <v>49</v>
      </c>
      <c r="K1996">
        <v>17</v>
      </c>
      <c r="L1996">
        <v>621567</v>
      </c>
      <c r="M1996" s="26">
        <v>10566639</v>
      </c>
      <c r="N1996">
        <v>22742</v>
      </c>
      <c r="O1996" s="26">
        <v>943795.6</v>
      </c>
      <c r="P1996" s="5" t="s">
        <v>42</v>
      </c>
      <c r="Q1996" s="5" t="s">
        <v>51</v>
      </c>
      <c r="R1996">
        <v>4.9000000000000004</v>
      </c>
      <c r="S1996">
        <v>20</v>
      </c>
      <c r="T1996">
        <f t="shared" si="31"/>
        <v>1</v>
      </c>
    </row>
    <row r="1997" spans="1:20">
      <c r="A1997" s="4">
        <v>45397</v>
      </c>
      <c r="B1997">
        <v>2024</v>
      </c>
      <c r="C1997">
        <v>4</v>
      </c>
      <c r="D1997" s="5" t="s">
        <v>35</v>
      </c>
      <c r="E1997" s="5" t="s">
        <v>60</v>
      </c>
      <c r="F1997" s="5" t="s">
        <v>61</v>
      </c>
      <c r="G1997" s="5" t="s">
        <v>62</v>
      </c>
      <c r="H1997" s="5" t="s">
        <v>74</v>
      </c>
      <c r="I1997" s="5" t="s">
        <v>40</v>
      </c>
      <c r="J1997" s="5" t="s">
        <v>49</v>
      </c>
      <c r="K1997">
        <v>43</v>
      </c>
      <c r="L1997">
        <v>633697</v>
      </c>
      <c r="M1997" s="26">
        <v>27248971</v>
      </c>
      <c r="N1997">
        <v>44521</v>
      </c>
      <c r="O1997" s="26">
        <v>3130192.47</v>
      </c>
      <c r="P1997" s="5" t="s">
        <v>50</v>
      </c>
      <c r="Q1997" s="5" t="s">
        <v>51</v>
      </c>
      <c r="R1997">
        <v>3.7</v>
      </c>
      <c r="S1997">
        <v>15</v>
      </c>
      <c r="T1997">
        <f t="shared" si="31"/>
        <v>0</v>
      </c>
    </row>
    <row r="1998" spans="1:20">
      <c r="A1998" s="4">
        <v>45401</v>
      </c>
      <c r="B1998">
        <v>2024</v>
      </c>
      <c r="C1998">
        <v>4</v>
      </c>
      <c r="D1998" s="5" t="s">
        <v>35</v>
      </c>
      <c r="E1998" s="5" t="s">
        <v>60</v>
      </c>
      <c r="F1998" s="5" t="s">
        <v>61</v>
      </c>
      <c r="G1998" s="5" t="s">
        <v>62</v>
      </c>
      <c r="H1998" s="5" t="s">
        <v>85</v>
      </c>
      <c r="I1998" s="5" t="s">
        <v>58</v>
      </c>
      <c r="J1998" s="5" t="s">
        <v>49</v>
      </c>
      <c r="K1998">
        <v>34</v>
      </c>
      <c r="L1998">
        <v>966975</v>
      </c>
      <c r="M1998" s="26">
        <v>32877150</v>
      </c>
      <c r="N1998">
        <v>24190</v>
      </c>
      <c r="O1998" s="26">
        <v>4854911.03</v>
      </c>
      <c r="P1998" s="5" t="s">
        <v>42</v>
      </c>
      <c r="Q1998" s="5" t="s">
        <v>51</v>
      </c>
      <c r="R1998">
        <v>4.3</v>
      </c>
      <c r="S1998">
        <v>2</v>
      </c>
      <c r="T1998">
        <f t="shared" si="31"/>
        <v>1</v>
      </c>
    </row>
    <row r="1999" spans="1:20">
      <c r="A1999" s="4">
        <v>45384</v>
      </c>
      <c r="B1999">
        <v>2024</v>
      </c>
      <c r="C1999">
        <v>4</v>
      </c>
      <c r="D1999" s="5" t="s">
        <v>35</v>
      </c>
      <c r="E1999" s="5" t="s">
        <v>36</v>
      </c>
      <c r="F1999" s="5" t="s">
        <v>37</v>
      </c>
      <c r="G1999" s="5" t="s">
        <v>38</v>
      </c>
      <c r="H1999" s="5" t="s">
        <v>63</v>
      </c>
      <c r="I1999" s="5" t="s">
        <v>64</v>
      </c>
      <c r="J1999" s="5" t="s">
        <v>41</v>
      </c>
      <c r="K1999">
        <v>49</v>
      </c>
      <c r="L1999">
        <v>766255</v>
      </c>
      <c r="M1999" s="26">
        <v>37546495</v>
      </c>
      <c r="N1999">
        <v>42281</v>
      </c>
      <c r="O1999" s="26">
        <v>4547232.42</v>
      </c>
      <c r="P1999" s="5" t="s">
        <v>42</v>
      </c>
      <c r="Q1999" s="5" t="s">
        <v>43</v>
      </c>
      <c r="R1999">
        <v>3.8</v>
      </c>
      <c r="S1999">
        <v>8</v>
      </c>
      <c r="T1999">
        <f t="shared" si="31"/>
        <v>1</v>
      </c>
    </row>
    <row r="2000" spans="1:20">
      <c r="A2000" s="4">
        <v>45400</v>
      </c>
      <c r="B2000">
        <v>2024</v>
      </c>
      <c r="C2000">
        <v>4</v>
      </c>
      <c r="D2000" s="5" t="s">
        <v>44</v>
      </c>
      <c r="E2000" s="5" t="s">
        <v>45</v>
      </c>
      <c r="F2000" s="5" t="s">
        <v>46</v>
      </c>
      <c r="G2000" s="5" t="s">
        <v>47</v>
      </c>
      <c r="H2000" s="5" t="s">
        <v>86</v>
      </c>
      <c r="I2000" s="5" t="s">
        <v>40</v>
      </c>
      <c r="J2000" s="5" t="s">
        <v>41</v>
      </c>
      <c r="K2000">
        <v>46</v>
      </c>
      <c r="L2000">
        <v>610841</v>
      </c>
      <c r="M2000" s="26">
        <v>28098686</v>
      </c>
      <c r="N2000">
        <v>35463</v>
      </c>
      <c r="O2000" s="26">
        <v>3259897.06</v>
      </c>
      <c r="P2000" s="5" t="s">
        <v>42</v>
      </c>
      <c r="Q2000" s="5" t="s">
        <v>43</v>
      </c>
      <c r="R2000">
        <v>4.8</v>
      </c>
      <c r="S2000">
        <v>15</v>
      </c>
      <c r="T2000">
        <f t="shared" si="31"/>
        <v>1</v>
      </c>
    </row>
    <row r="2001" spans="1:20">
      <c r="A2001" s="4">
        <v>45390</v>
      </c>
      <c r="B2001">
        <v>2024</v>
      </c>
      <c r="C2001">
        <v>4</v>
      </c>
      <c r="D2001" s="5" t="s">
        <v>44</v>
      </c>
      <c r="E2001" s="5" t="s">
        <v>82</v>
      </c>
      <c r="F2001" s="5" t="s">
        <v>83</v>
      </c>
      <c r="G2001" s="5" t="s">
        <v>84</v>
      </c>
      <c r="H2001" s="5" t="s">
        <v>63</v>
      </c>
      <c r="I2001" s="5" t="s">
        <v>64</v>
      </c>
      <c r="J2001" s="5" t="s">
        <v>41</v>
      </c>
      <c r="K2001">
        <v>9</v>
      </c>
      <c r="L2001">
        <v>756054</v>
      </c>
      <c r="M2001" s="26">
        <v>6804486</v>
      </c>
      <c r="N2001">
        <v>20081</v>
      </c>
      <c r="O2001" s="26">
        <v>1060763.78</v>
      </c>
      <c r="P2001" s="5" t="s">
        <v>42</v>
      </c>
      <c r="Q2001" s="5" t="s">
        <v>75</v>
      </c>
      <c r="R2001">
        <v>4.2</v>
      </c>
      <c r="S2001">
        <v>21</v>
      </c>
      <c r="T2001">
        <f t="shared" si="31"/>
        <v>1</v>
      </c>
    </row>
    <row r="2002" spans="1:20">
      <c r="A2002" s="4">
        <v>45423</v>
      </c>
      <c r="B2002">
        <v>2024</v>
      </c>
      <c r="C2002">
        <v>5</v>
      </c>
      <c r="D2002" s="5" t="s">
        <v>44</v>
      </c>
      <c r="E2002" s="5" t="s">
        <v>82</v>
      </c>
      <c r="F2002" s="5" t="s">
        <v>83</v>
      </c>
      <c r="G2002" s="5" t="s">
        <v>84</v>
      </c>
      <c r="H2002" s="5" t="s">
        <v>57</v>
      </c>
      <c r="I2002" s="5" t="s">
        <v>58</v>
      </c>
      <c r="J2002" s="5" t="s">
        <v>59</v>
      </c>
      <c r="K2002">
        <v>49</v>
      </c>
      <c r="L2002">
        <v>1382542</v>
      </c>
      <c r="M2002" s="26">
        <v>67744558</v>
      </c>
      <c r="N2002">
        <v>11090</v>
      </c>
      <c r="O2002" s="26">
        <v>7956904.9800000004</v>
      </c>
      <c r="P2002" s="5" t="s">
        <v>42</v>
      </c>
      <c r="Q2002" s="5" t="s">
        <v>43</v>
      </c>
      <c r="R2002">
        <v>4.2</v>
      </c>
      <c r="S2002">
        <v>7</v>
      </c>
      <c r="T2002">
        <f t="shared" si="31"/>
        <v>1</v>
      </c>
    </row>
    <row r="2003" spans="1:20">
      <c r="A2003" s="4">
        <v>45415</v>
      </c>
      <c r="B2003">
        <v>2024</v>
      </c>
      <c r="C2003">
        <v>5</v>
      </c>
      <c r="D2003" s="5" t="s">
        <v>54</v>
      </c>
      <c r="E2003" s="5" t="s">
        <v>55</v>
      </c>
      <c r="F2003" s="5" t="s">
        <v>55</v>
      </c>
      <c r="G2003" s="5" t="s">
        <v>56</v>
      </c>
      <c r="H2003" s="5" t="s">
        <v>86</v>
      </c>
      <c r="I2003" s="5" t="s">
        <v>40</v>
      </c>
      <c r="J2003" s="5" t="s">
        <v>41</v>
      </c>
      <c r="K2003">
        <v>32</v>
      </c>
      <c r="L2003">
        <v>597228</v>
      </c>
      <c r="M2003" s="26">
        <v>19111296</v>
      </c>
      <c r="N2003">
        <v>31644</v>
      </c>
      <c r="O2003" s="26">
        <v>2902892.33</v>
      </c>
      <c r="P2003" s="5" t="s">
        <v>42</v>
      </c>
      <c r="Q2003" s="5" t="s">
        <v>75</v>
      </c>
      <c r="R2003">
        <v>3.7</v>
      </c>
      <c r="S2003">
        <v>8</v>
      </c>
      <c r="T2003">
        <f t="shared" si="31"/>
        <v>1</v>
      </c>
    </row>
    <row r="2004" spans="1:20">
      <c r="A2004" s="4">
        <v>45435</v>
      </c>
      <c r="B2004">
        <v>2024</v>
      </c>
      <c r="C2004">
        <v>5</v>
      </c>
      <c r="D2004" s="5" t="s">
        <v>35</v>
      </c>
      <c r="E2004" s="5" t="s">
        <v>60</v>
      </c>
      <c r="F2004" s="5" t="s">
        <v>61</v>
      </c>
      <c r="G2004" s="5" t="s">
        <v>62</v>
      </c>
      <c r="H2004" s="5" t="s">
        <v>73</v>
      </c>
      <c r="I2004" s="5" t="s">
        <v>40</v>
      </c>
      <c r="J2004" s="5" t="s">
        <v>49</v>
      </c>
      <c r="K2004">
        <v>24</v>
      </c>
      <c r="L2004">
        <v>709007</v>
      </c>
      <c r="M2004" s="26">
        <v>17016168</v>
      </c>
      <c r="N2004">
        <v>42237</v>
      </c>
      <c r="O2004" s="26">
        <v>1686054.91</v>
      </c>
      <c r="P2004" s="5" t="s">
        <v>50</v>
      </c>
      <c r="Q2004" s="5" t="s">
        <v>75</v>
      </c>
      <c r="R2004">
        <v>4.9000000000000004</v>
      </c>
      <c r="S2004">
        <v>12</v>
      </c>
      <c r="T2004">
        <f t="shared" si="31"/>
        <v>0</v>
      </c>
    </row>
    <row r="2005" spans="1:20">
      <c r="A2005" s="4">
        <v>45434</v>
      </c>
      <c r="B2005">
        <v>2024</v>
      </c>
      <c r="C2005">
        <v>5</v>
      </c>
      <c r="D2005" s="5" t="s">
        <v>35</v>
      </c>
      <c r="E2005" s="5" t="s">
        <v>60</v>
      </c>
      <c r="F2005" s="5" t="s">
        <v>61</v>
      </c>
      <c r="G2005" s="5" t="s">
        <v>62</v>
      </c>
      <c r="H2005" s="5" t="s">
        <v>57</v>
      </c>
      <c r="I2005" s="5" t="s">
        <v>58</v>
      </c>
      <c r="J2005" s="5" t="s">
        <v>59</v>
      </c>
      <c r="K2005">
        <v>46</v>
      </c>
      <c r="L2005">
        <v>1374117</v>
      </c>
      <c r="M2005" s="26">
        <v>63209382</v>
      </c>
      <c r="N2005">
        <v>26169</v>
      </c>
      <c r="O2005" s="26">
        <v>9767895.1999999993</v>
      </c>
      <c r="P2005" s="5" t="s">
        <v>42</v>
      </c>
      <c r="Q2005" s="5" t="s">
        <v>51</v>
      </c>
      <c r="R2005">
        <v>4.9000000000000004</v>
      </c>
      <c r="S2005">
        <v>8</v>
      </c>
      <c r="T2005">
        <f t="shared" si="31"/>
        <v>1</v>
      </c>
    </row>
    <row r="2006" spans="1:20">
      <c r="A2006" s="4">
        <v>45424</v>
      </c>
      <c r="B2006">
        <v>2024</v>
      </c>
      <c r="C2006">
        <v>5</v>
      </c>
      <c r="D2006" s="5" t="s">
        <v>54</v>
      </c>
      <c r="E2006" s="5" t="s">
        <v>55</v>
      </c>
      <c r="F2006" s="5" t="s">
        <v>55</v>
      </c>
      <c r="G2006" s="5" t="s">
        <v>56</v>
      </c>
      <c r="H2006" s="5" t="s">
        <v>79</v>
      </c>
      <c r="I2006" s="5" t="s">
        <v>58</v>
      </c>
      <c r="J2006" s="5" t="s">
        <v>49</v>
      </c>
      <c r="K2006">
        <v>11</v>
      </c>
      <c r="L2006">
        <v>929466</v>
      </c>
      <c r="M2006" s="26">
        <v>10224126</v>
      </c>
      <c r="N2006">
        <v>49422</v>
      </c>
      <c r="O2006" s="26">
        <v>908489.04</v>
      </c>
      <c r="P2006" s="5" t="s">
        <v>50</v>
      </c>
      <c r="Q2006" s="5" t="s">
        <v>43</v>
      </c>
      <c r="R2006">
        <v>4.7</v>
      </c>
      <c r="S2006">
        <v>18</v>
      </c>
      <c r="T2006">
        <f t="shared" si="31"/>
        <v>0</v>
      </c>
    </row>
    <row r="2007" spans="1:20">
      <c r="A2007" s="4">
        <v>45439</v>
      </c>
      <c r="B2007">
        <v>2024</v>
      </c>
      <c r="C2007">
        <v>5</v>
      </c>
      <c r="D2007" s="5" t="s">
        <v>44</v>
      </c>
      <c r="E2007" s="5" t="s">
        <v>82</v>
      </c>
      <c r="F2007" s="5" t="s">
        <v>83</v>
      </c>
      <c r="G2007" s="5" t="s">
        <v>84</v>
      </c>
      <c r="H2007" s="5" t="s">
        <v>73</v>
      </c>
      <c r="I2007" s="5" t="s">
        <v>40</v>
      </c>
      <c r="J2007" s="5" t="s">
        <v>49</v>
      </c>
      <c r="K2007">
        <v>57</v>
      </c>
      <c r="L2007">
        <v>726271</v>
      </c>
      <c r="M2007" s="26">
        <v>41397447</v>
      </c>
      <c r="N2007">
        <v>22508</v>
      </c>
      <c r="O2007" s="26">
        <v>4032618.26</v>
      </c>
      <c r="P2007" s="5" t="s">
        <v>42</v>
      </c>
      <c r="Q2007" s="5" t="s">
        <v>51</v>
      </c>
      <c r="R2007">
        <v>4.2</v>
      </c>
      <c r="S2007">
        <v>19</v>
      </c>
      <c r="T2007">
        <f t="shared" si="31"/>
        <v>1</v>
      </c>
    </row>
    <row r="2008" spans="1:20">
      <c r="A2008" s="4">
        <v>45430</v>
      </c>
      <c r="B2008">
        <v>2024</v>
      </c>
      <c r="C2008">
        <v>5</v>
      </c>
      <c r="D2008" s="5" t="s">
        <v>66</v>
      </c>
      <c r="E2008" s="5" t="s">
        <v>67</v>
      </c>
      <c r="F2008" s="5" t="s">
        <v>68</v>
      </c>
      <c r="G2008" s="5" t="s">
        <v>69</v>
      </c>
      <c r="H2008" s="5" t="s">
        <v>80</v>
      </c>
      <c r="I2008" s="5" t="s">
        <v>81</v>
      </c>
      <c r="J2008" s="5" t="s">
        <v>41</v>
      </c>
      <c r="K2008">
        <v>39</v>
      </c>
      <c r="L2008">
        <v>553798</v>
      </c>
      <c r="M2008" s="26">
        <v>21598122</v>
      </c>
      <c r="N2008">
        <v>15633</v>
      </c>
      <c r="O2008" s="26">
        <v>2201769.73</v>
      </c>
      <c r="P2008" s="5" t="s">
        <v>42</v>
      </c>
      <c r="Q2008" s="5" t="s">
        <v>43</v>
      </c>
      <c r="R2008">
        <v>4.0999999999999996</v>
      </c>
      <c r="S2008">
        <v>21</v>
      </c>
      <c r="T2008">
        <f t="shared" si="31"/>
        <v>1</v>
      </c>
    </row>
    <row r="2009" spans="1:20">
      <c r="A2009" s="4">
        <v>45414</v>
      </c>
      <c r="B2009">
        <v>2024</v>
      </c>
      <c r="C2009">
        <v>5</v>
      </c>
      <c r="D2009" s="5" t="s">
        <v>54</v>
      </c>
      <c r="E2009" s="5" t="s">
        <v>70</v>
      </c>
      <c r="F2009" s="5" t="s">
        <v>71</v>
      </c>
      <c r="G2009" s="5" t="s">
        <v>72</v>
      </c>
      <c r="H2009" s="5" t="s">
        <v>73</v>
      </c>
      <c r="I2009" s="5" t="s">
        <v>40</v>
      </c>
      <c r="J2009" s="5" t="s">
        <v>49</v>
      </c>
      <c r="K2009">
        <v>35</v>
      </c>
      <c r="L2009">
        <v>745155</v>
      </c>
      <c r="M2009" s="26">
        <v>26080425</v>
      </c>
      <c r="N2009">
        <v>34697</v>
      </c>
      <c r="O2009" s="26">
        <v>2398483.83</v>
      </c>
      <c r="P2009" s="5" t="s">
        <v>42</v>
      </c>
      <c r="Q2009" s="5" t="s">
        <v>51</v>
      </c>
      <c r="R2009">
        <v>3.8</v>
      </c>
      <c r="S2009">
        <v>11</v>
      </c>
      <c r="T2009">
        <f t="shared" si="31"/>
        <v>1</v>
      </c>
    </row>
    <row r="2010" spans="1:20">
      <c r="A2010" s="4">
        <v>45418</v>
      </c>
      <c r="B2010">
        <v>2024</v>
      </c>
      <c r="C2010">
        <v>5</v>
      </c>
      <c r="D2010" s="5" t="s">
        <v>54</v>
      </c>
      <c r="E2010" s="5" t="s">
        <v>55</v>
      </c>
      <c r="F2010" s="5" t="s">
        <v>55</v>
      </c>
      <c r="G2010" s="5" t="s">
        <v>56</v>
      </c>
      <c r="H2010" s="5" t="s">
        <v>79</v>
      </c>
      <c r="I2010" s="5" t="s">
        <v>58</v>
      </c>
      <c r="J2010" s="5" t="s">
        <v>49</v>
      </c>
      <c r="K2010">
        <v>23</v>
      </c>
      <c r="L2010">
        <v>926587</v>
      </c>
      <c r="M2010" s="26">
        <v>21311501</v>
      </c>
      <c r="N2010">
        <v>11251</v>
      </c>
      <c r="O2010" s="26">
        <v>2066727.67</v>
      </c>
      <c r="P2010" s="5" t="s">
        <v>50</v>
      </c>
      <c r="Q2010" s="5" t="s">
        <v>43</v>
      </c>
      <c r="R2010">
        <v>4.7</v>
      </c>
      <c r="S2010">
        <v>8</v>
      </c>
      <c r="T2010">
        <f t="shared" si="31"/>
        <v>0</v>
      </c>
    </row>
    <row r="2011" spans="1:20">
      <c r="A2011" s="4">
        <v>45422</v>
      </c>
      <c r="B2011">
        <v>2024</v>
      </c>
      <c r="C2011">
        <v>5</v>
      </c>
      <c r="D2011" s="5" t="s">
        <v>35</v>
      </c>
      <c r="E2011" s="5" t="s">
        <v>76</v>
      </c>
      <c r="F2011" s="5" t="s">
        <v>77</v>
      </c>
      <c r="G2011" s="5" t="s">
        <v>78</v>
      </c>
      <c r="H2011" s="5" t="s">
        <v>85</v>
      </c>
      <c r="I2011" s="5" t="s">
        <v>58</v>
      </c>
      <c r="J2011" s="5" t="s">
        <v>49</v>
      </c>
      <c r="K2011">
        <v>44</v>
      </c>
      <c r="L2011">
        <v>1009075</v>
      </c>
      <c r="M2011" s="26">
        <v>44399300</v>
      </c>
      <c r="N2011">
        <v>29663</v>
      </c>
      <c r="O2011" s="26">
        <v>4107517.23</v>
      </c>
      <c r="P2011" s="5" t="s">
        <v>42</v>
      </c>
      <c r="Q2011" s="5" t="s">
        <v>43</v>
      </c>
      <c r="R2011">
        <v>4.8</v>
      </c>
      <c r="S2011">
        <v>19</v>
      </c>
      <c r="T2011">
        <f t="shared" si="31"/>
        <v>1</v>
      </c>
    </row>
    <row r="2012" spans="1:20">
      <c r="A2012" s="4">
        <v>45416</v>
      </c>
      <c r="B2012">
        <v>2024</v>
      </c>
      <c r="C2012">
        <v>5</v>
      </c>
      <c r="D2012" s="5" t="s">
        <v>35</v>
      </c>
      <c r="E2012" s="5" t="s">
        <v>36</v>
      </c>
      <c r="F2012" s="5" t="s">
        <v>37</v>
      </c>
      <c r="G2012" s="5" t="s">
        <v>38</v>
      </c>
      <c r="H2012" s="5" t="s">
        <v>57</v>
      </c>
      <c r="I2012" s="5" t="s">
        <v>58</v>
      </c>
      <c r="J2012" s="5" t="s">
        <v>59</v>
      </c>
      <c r="K2012">
        <v>48</v>
      </c>
      <c r="L2012">
        <v>1378339</v>
      </c>
      <c r="M2012" s="26">
        <v>66160272</v>
      </c>
      <c r="N2012">
        <v>24726</v>
      </c>
      <c r="O2012" s="26">
        <v>8213948.2400000002</v>
      </c>
      <c r="P2012" s="5" t="s">
        <v>42</v>
      </c>
      <c r="Q2012" s="5" t="s">
        <v>51</v>
      </c>
      <c r="R2012">
        <v>5</v>
      </c>
      <c r="S2012">
        <v>18</v>
      </c>
      <c r="T2012">
        <f t="shared" si="31"/>
        <v>1</v>
      </c>
    </row>
    <row r="2013" spans="1:20">
      <c r="A2013" s="4">
        <v>45420</v>
      </c>
      <c r="B2013">
        <v>2024</v>
      </c>
      <c r="C2013">
        <v>5</v>
      </c>
      <c r="D2013" s="5" t="s">
        <v>35</v>
      </c>
      <c r="E2013" s="5" t="s">
        <v>60</v>
      </c>
      <c r="F2013" s="5" t="s">
        <v>61</v>
      </c>
      <c r="G2013" s="5" t="s">
        <v>62</v>
      </c>
      <c r="H2013" s="5" t="s">
        <v>39</v>
      </c>
      <c r="I2013" s="5" t="s">
        <v>40</v>
      </c>
      <c r="J2013" s="5" t="s">
        <v>41</v>
      </c>
      <c r="K2013">
        <v>42</v>
      </c>
      <c r="L2013">
        <v>557197</v>
      </c>
      <c r="M2013" s="26">
        <v>23402274</v>
      </c>
      <c r="N2013">
        <v>13568</v>
      </c>
      <c r="O2013" s="26">
        <v>2057940.63</v>
      </c>
      <c r="P2013" s="5" t="s">
        <v>42</v>
      </c>
      <c r="Q2013" s="5" t="s">
        <v>51</v>
      </c>
      <c r="R2013">
        <v>4</v>
      </c>
      <c r="S2013">
        <v>4</v>
      </c>
      <c r="T2013">
        <f t="shared" si="31"/>
        <v>1</v>
      </c>
    </row>
    <row r="2014" spans="1:20">
      <c r="A2014" s="4">
        <v>45436</v>
      </c>
      <c r="B2014">
        <v>2024</v>
      </c>
      <c r="C2014">
        <v>5</v>
      </c>
      <c r="D2014" s="5" t="s">
        <v>35</v>
      </c>
      <c r="E2014" s="5" t="s">
        <v>36</v>
      </c>
      <c r="F2014" s="5" t="s">
        <v>37</v>
      </c>
      <c r="G2014" s="5" t="s">
        <v>38</v>
      </c>
      <c r="H2014" s="5" t="s">
        <v>39</v>
      </c>
      <c r="I2014" s="5" t="s">
        <v>40</v>
      </c>
      <c r="J2014" s="5" t="s">
        <v>41</v>
      </c>
      <c r="K2014">
        <v>41</v>
      </c>
      <c r="L2014">
        <v>573999</v>
      </c>
      <c r="M2014" s="26">
        <v>23533959</v>
      </c>
      <c r="N2014">
        <v>21526</v>
      </c>
      <c r="O2014" s="26">
        <v>3477509.02</v>
      </c>
      <c r="P2014" s="5" t="s">
        <v>50</v>
      </c>
      <c r="Q2014" s="5" t="s">
        <v>51</v>
      </c>
      <c r="R2014">
        <v>4.3</v>
      </c>
      <c r="S2014">
        <v>14</v>
      </c>
      <c r="T2014">
        <f t="shared" si="31"/>
        <v>0</v>
      </c>
    </row>
    <row r="2015" spans="1:20">
      <c r="A2015" s="4">
        <v>45425</v>
      </c>
      <c r="B2015">
        <v>2024</v>
      </c>
      <c r="C2015">
        <v>5</v>
      </c>
      <c r="D2015" s="5" t="s">
        <v>35</v>
      </c>
      <c r="E2015" s="5" t="s">
        <v>36</v>
      </c>
      <c r="F2015" s="5" t="s">
        <v>37</v>
      </c>
      <c r="G2015" s="5" t="s">
        <v>38</v>
      </c>
      <c r="H2015" s="5" t="s">
        <v>79</v>
      </c>
      <c r="I2015" s="5" t="s">
        <v>58</v>
      </c>
      <c r="J2015" s="5" t="s">
        <v>49</v>
      </c>
      <c r="K2015">
        <v>5</v>
      </c>
      <c r="L2015">
        <v>915114</v>
      </c>
      <c r="M2015" s="26">
        <v>4575570</v>
      </c>
      <c r="N2015">
        <v>23379</v>
      </c>
      <c r="O2015" s="26">
        <v>671380.21</v>
      </c>
      <c r="P2015" s="5" t="s">
        <v>50</v>
      </c>
      <c r="Q2015" s="5" t="s">
        <v>43</v>
      </c>
      <c r="R2015">
        <v>4.9000000000000004</v>
      </c>
      <c r="S2015">
        <v>4</v>
      </c>
      <c r="T2015">
        <f t="shared" si="31"/>
        <v>0</v>
      </c>
    </row>
    <row r="2016" spans="1:20">
      <c r="A2016" s="4">
        <v>45416</v>
      </c>
      <c r="B2016">
        <v>2024</v>
      </c>
      <c r="C2016">
        <v>5</v>
      </c>
      <c r="D2016" s="5" t="s">
        <v>66</v>
      </c>
      <c r="E2016" s="5" t="s">
        <v>67</v>
      </c>
      <c r="F2016" s="5" t="s">
        <v>68</v>
      </c>
      <c r="G2016" s="5" t="s">
        <v>69</v>
      </c>
      <c r="H2016" s="5" t="s">
        <v>86</v>
      </c>
      <c r="I2016" s="5" t="s">
        <v>40</v>
      </c>
      <c r="J2016" s="5" t="s">
        <v>41</v>
      </c>
      <c r="K2016">
        <v>23</v>
      </c>
      <c r="L2016">
        <v>597373</v>
      </c>
      <c r="M2016" s="26">
        <v>13739579</v>
      </c>
      <c r="N2016">
        <v>39525</v>
      </c>
      <c r="O2016" s="26">
        <v>1516300.9</v>
      </c>
      <c r="P2016" s="5" t="s">
        <v>42</v>
      </c>
      <c r="Q2016" s="5" t="s">
        <v>43</v>
      </c>
      <c r="R2016">
        <v>4</v>
      </c>
      <c r="S2016">
        <v>9</v>
      </c>
      <c r="T2016">
        <f t="shared" si="31"/>
        <v>1</v>
      </c>
    </row>
    <row r="2017" spans="1:20">
      <c r="A2017" s="4">
        <v>45425</v>
      </c>
      <c r="B2017">
        <v>2024</v>
      </c>
      <c r="C2017">
        <v>5</v>
      </c>
      <c r="D2017" s="5" t="s">
        <v>54</v>
      </c>
      <c r="E2017" s="5" t="s">
        <v>55</v>
      </c>
      <c r="F2017" s="5" t="s">
        <v>55</v>
      </c>
      <c r="G2017" s="5" t="s">
        <v>56</v>
      </c>
      <c r="H2017" s="5" t="s">
        <v>57</v>
      </c>
      <c r="I2017" s="5" t="s">
        <v>58</v>
      </c>
      <c r="J2017" s="5" t="s">
        <v>59</v>
      </c>
      <c r="K2017">
        <v>15</v>
      </c>
      <c r="L2017">
        <v>1421333</v>
      </c>
      <c r="M2017" s="26">
        <v>21319995</v>
      </c>
      <c r="N2017">
        <v>36401</v>
      </c>
      <c r="O2017" s="26">
        <v>2038682.37</v>
      </c>
      <c r="P2017" s="5" t="s">
        <v>42</v>
      </c>
      <c r="Q2017" s="5" t="s">
        <v>51</v>
      </c>
      <c r="R2017">
        <v>3.9</v>
      </c>
      <c r="S2017">
        <v>21</v>
      </c>
      <c r="T2017">
        <f t="shared" si="31"/>
        <v>1</v>
      </c>
    </row>
    <row r="2018" spans="1:20">
      <c r="A2018" s="4">
        <v>45431</v>
      </c>
      <c r="B2018">
        <v>2024</v>
      </c>
      <c r="C2018">
        <v>5</v>
      </c>
      <c r="D2018" s="5" t="s">
        <v>35</v>
      </c>
      <c r="E2018" s="5" t="s">
        <v>60</v>
      </c>
      <c r="F2018" s="5" t="s">
        <v>61</v>
      </c>
      <c r="G2018" s="5" t="s">
        <v>62</v>
      </c>
      <c r="H2018" s="5" t="s">
        <v>52</v>
      </c>
      <c r="I2018" s="5" t="s">
        <v>53</v>
      </c>
      <c r="J2018" s="5" t="s">
        <v>41</v>
      </c>
      <c r="K2018">
        <v>21</v>
      </c>
      <c r="L2018">
        <v>955665</v>
      </c>
      <c r="M2018" s="26">
        <v>20068965</v>
      </c>
      <c r="N2018">
        <v>22939</v>
      </c>
      <c r="O2018" s="26">
        <v>1991380.95</v>
      </c>
      <c r="P2018" s="5" t="s">
        <v>50</v>
      </c>
      <c r="Q2018" s="5" t="s">
        <v>51</v>
      </c>
      <c r="R2018">
        <v>3.7</v>
      </c>
      <c r="S2018">
        <v>9</v>
      </c>
      <c r="T2018">
        <f t="shared" si="31"/>
        <v>0</v>
      </c>
    </row>
    <row r="2019" spans="1:20">
      <c r="A2019" s="4">
        <v>45414</v>
      </c>
      <c r="B2019">
        <v>2024</v>
      </c>
      <c r="C2019">
        <v>5</v>
      </c>
      <c r="D2019" s="5" t="s">
        <v>44</v>
      </c>
      <c r="E2019" s="5" t="s">
        <v>82</v>
      </c>
      <c r="F2019" s="5" t="s">
        <v>83</v>
      </c>
      <c r="G2019" s="5" t="s">
        <v>84</v>
      </c>
      <c r="H2019" s="5" t="s">
        <v>86</v>
      </c>
      <c r="I2019" s="5" t="s">
        <v>40</v>
      </c>
      <c r="J2019" s="5" t="s">
        <v>41</v>
      </c>
      <c r="K2019">
        <v>60</v>
      </c>
      <c r="L2019">
        <v>602633</v>
      </c>
      <c r="M2019" s="26">
        <v>36157980</v>
      </c>
      <c r="N2019">
        <v>8311</v>
      </c>
      <c r="O2019" s="26">
        <v>5702804.0899999999</v>
      </c>
      <c r="P2019" s="5" t="s">
        <v>50</v>
      </c>
      <c r="Q2019" s="5" t="s">
        <v>51</v>
      </c>
      <c r="R2019">
        <v>4.3</v>
      </c>
      <c r="S2019">
        <v>10</v>
      </c>
      <c r="T2019">
        <f t="shared" si="31"/>
        <v>0</v>
      </c>
    </row>
    <row r="2020" spans="1:20">
      <c r="A2020" s="4">
        <v>45437</v>
      </c>
      <c r="B2020">
        <v>2024</v>
      </c>
      <c r="C2020">
        <v>5</v>
      </c>
      <c r="D2020" s="5" t="s">
        <v>35</v>
      </c>
      <c r="E2020" s="5" t="s">
        <v>36</v>
      </c>
      <c r="F2020" s="5" t="s">
        <v>37</v>
      </c>
      <c r="G2020" s="5" t="s">
        <v>38</v>
      </c>
      <c r="H2020" s="5" t="s">
        <v>79</v>
      </c>
      <c r="I2020" s="5" t="s">
        <v>58</v>
      </c>
      <c r="J2020" s="5" t="s">
        <v>49</v>
      </c>
      <c r="K2020">
        <v>44</v>
      </c>
      <c r="L2020">
        <v>912207</v>
      </c>
      <c r="M2020" s="26">
        <v>40137108</v>
      </c>
      <c r="N2020">
        <v>39145</v>
      </c>
      <c r="O2020" s="26">
        <v>3613387.48</v>
      </c>
      <c r="P2020" s="5" t="s">
        <v>42</v>
      </c>
      <c r="Q2020" s="5" t="s">
        <v>43</v>
      </c>
      <c r="R2020">
        <v>3.7</v>
      </c>
      <c r="S2020">
        <v>17</v>
      </c>
      <c r="T2020">
        <f t="shared" si="31"/>
        <v>1</v>
      </c>
    </row>
    <row r="2021" spans="1:20">
      <c r="A2021" s="4">
        <v>45427</v>
      </c>
      <c r="B2021">
        <v>2024</v>
      </c>
      <c r="C2021">
        <v>5</v>
      </c>
      <c r="D2021" s="5" t="s">
        <v>54</v>
      </c>
      <c r="E2021" s="5" t="s">
        <v>70</v>
      </c>
      <c r="F2021" s="5" t="s">
        <v>71</v>
      </c>
      <c r="G2021" s="5" t="s">
        <v>72</v>
      </c>
      <c r="H2021" s="5" t="s">
        <v>79</v>
      </c>
      <c r="I2021" s="5" t="s">
        <v>58</v>
      </c>
      <c r="J2021" s="5" t="s">
        <v>49</v>
      </c>
      <c r="K2021">
        <v>21</v>
      </c>
      <c r="L2021">
        <v>900927</v>
      </c>
      <c r="M2021" s="26">
        <v>18919467</v>
      </c>
      <c r="N2021">
        <v>26196</v>
      </c>
      <c r="O2021" s="26">
        <v>2956293.3</v>
      </c>
      <c r="P2021" s="5" t="s">
        <v>42</v>
      </c>
      <c r="Q2021" s="5" t="s">
        <v>51</v>
      </c>
      <c r="R2021">
        <v>4.0999999999999996</v>
      </c>
      <c r="S2021">
        <v>19</v>
      </c>
      <c r="T2021">
        <f t="shared" si="31"/>
        <v>1</v>
      </c>
    </row>
    <row r="2022" spans="1:20">
      <c r="A2022" s="4">
        <v>45415</v>
      </c>
      <c r="B2022">
        <v>2024</v>
      </c>
      <c r="C2022">
        <v>5</v>
      </c>
      <c r="D2022" s="5" t="s">
        <v>35</v>
      </c>
      <c r="E2022" s="5" t="s">
        <v>36</v>
      </c>
      <c r="F2022" s="5" t="s">
        <v>37</v>
      </c>
      <c r="G2022" s="5" t="s">
        <v>38</v>
      </c>
      <c r="H2022" s="5" t="s">
        <v>80</v>
      </c>
      <c r="I2022" s="5" t="s">
        <v>81</v>
      </c>
      <c r="J2022" s="5" t="s">
        <v>41</v>
      </c>
      <c r="K2022">
        <v>18</v>
      </c>
      <c r="L2022">
        <v>538753</v>
      </c>
      <c r="M2022" s="26">
        <v>9697554</v>
      </c>
      <c r="N2022">
        <v>14188</v>
      </c>
      <c r="O2022" s="26">
        <v>1059077.06</v>
      </c>
      <c r="P2022" s="5" t="s">
        <v>50</v>
      </c>
      <c r="Q2022" s="5" t="s">
        <v>43</v>
      </c>
      <c r="R2022">
        <v>4.0999999999999996</v>
      </c>
      <c r="S2022">
        <v>20</v>
      </c>
      <c r="T2022">
        <f t="shared" si="31"/>
        <v>0</v>
      </c>
    </row>
    <row r="2023" spans="1:20">
      <c r="A2023" s="4">
        <v>45435</v>
      </c>
      <c r="B2023">
        <v>2024</v>
      </c>
      <c r="C2023">
        <v>5</v>
      </c>
      <c r="D2023" s="5" t="s">
        <v>35</v>
      </c>
      <c r="E2023" s="5" t="s">
        <v>60</v>
      </c>
      <c r="F2023" s="5" t="s">
        <v>61</v>
      </c>
      <c r="G2023" s="5" t="s">
        <v>62</v>
      </c>
      <c r="H2023" s="5" t="s">
        <v>52</v>
      </c>
      <c r="I2023" s="5" t="s">
        <v>53</v>
      </c>
      <c r="J2023" s="5" t="s">
        <v>41</v>
      </c>
      <c r="K2023">
        <v>49</v>
      </c>
      <c r="L2023">
        <v>973747</v>
      </c>
      <c r="M2023" s="26">
        <v>47713603</v>
      </c>
      <c r="N2023">
        <v>24112</v>
      </c>
      <c r="O2023" s="26">
        <v>7227949.4000000004</v>
      </c>
      <c r="P2023" s="5" t="s">
        <v>50</v>
      </c>
      <c r="Q2023" s="5" t="s">
        <v>75</v>
      </c>
      <c r="R2023">
        <v>4.8</v>
      </c>
      <c r="S2023">
        <v>19</v>
      </c>
      <c r="T2023">
        <f t="shared" si="31"/>
        <v>0</v>
      </c>
    </row>
    <row r="2024" spans="1:20">
      <c r="A2024" s="4">
        <v>45438</v>
      </c>
      <c r="B2024">
        <v>2024</v>
      </c>
      <c r="C2024">
        <v>5</v>
      </c>
      <c r="D2024" s="5" t="s">
        <v>54</v>
      </c>
      <c r="E2024" s="5" t="s">
        <v>55</v>
      </c>
      <c r="F2024" s="5" t="s">
        <v>55</v>
      </c>
      <c r="G2024" s="5" t="s">
        <v>56</v>
      </c>
      <c r="H2024" s="5" t="s">
        <v>73</v>
      </c>
      <c r="I2024" s="5" t="s">
        <v>40</v>
      </c>
      <c r="J2024" s="5" t="s">
        <v>49</v>
      </c>
      <c r="K2024">
        <v>24</v>
      </c>
      <c r="L2024">
        <v>696696</v>
      </c>
      <c r="M2024" s="26">
        <v>16720704</v>
      </c>
      <c r="N2024">
        <v>34518</v>
      </c>
      <c r="O2024" s="26">
        <v>1933243.82</v>
      </c>
      <c r="P2024" s="5" t="s">
        <v>42</v>
      </c>
      <c r="Q2024" s="5" t="s">
        <v>51</v>
      </c>
      <c r="R2024">
        <v>4.9000000000000004</v>
      </c>
      <c r="S2024">
        <v>15</v>
      </c>
      <c r="T2024">
        <f t="shared" si="31"/>
        <v>1</v>
      </c>
    </row>
    <row r="2025" spans="1:20">
      <c r="A2025" s="4">
        <v>45413</v>
      </c>
      <c r="B2025">
        <v>2024</v>
      </c>
      <c r="C2025">
        <v>5</v>
      </c>
      <c r="D2025" s="5" t="s">
        <v>54</v>
      </c>
      <c r="E2025" s="5" t="s">
        <v>70</v>
      </c>
      <c r="F2025" s="5" t="s">
        <v>71</v>
      </c>
      <c r="G2025" s="5" t="s">
        <v>72</v>
      </c>
      <c r="H2025" s="5" t="s">
        <v>79</v>
      </c>
      <c r="I2025" s="5" t="s">
        <v>58</v>
      </c>
      <c r="J2025" s="5" t="s">
        <v>49</v>
      </c>
      <c r="K2025">
        <v>15</v>
      </c>
      <c r="L2025">
        <v>891320</v>
      </c>
      <c r="M2025" s="26">
        <v>13369800</v>
      </c>
      <c r="N2025">
        <v>31856</v>
      </c>
      <c r="O2025" s="26">
        <v>1655269.49</v>
      </c>
      <c r="P2025" s="5" t="s">
        <v>50</v>
      </c>
      <c r="Q2025" s="5" t="s">
        <v>75</v>
      </c>
      <c r="R2025">
        <v>4.9000000000000004</v>
      </c>
      <c r="S2025">
        <v>11</v>
      </c>
      <c r="T2025">
        <f t="shared" si="31"/>
        <v>0</v>
      </c>
    </row>
    <row r="2026" spans="1:20">
      <c r="A2026" s="4">
        <v>45426</v>
      </c>
      <c r="B2026">
        <v>2024</v>
      </c>
      <c r="C2026">
        <v>5</v>
      </c>
      <c r="D2026" s="5" t="s">
        <v>54</v>
      </c>
      <c r="E2026" s="5" t="s">
        <v>55</v>
      </c>
      <c r="F2026" s="5" t="s">
        <v>55</v>
      </c>
      <c r="G2026" s="5" t="s">
        <v>56</v>
      </c>
      <c r="H2026" s="5" t="s">
        <v>52</v>
      </c>
      <c r="I2026" s="5" t="s">
        <v>53</v>
      </c>
      <c r="J2026" s="5" t="s">
        <v>41</v>
      </c>
      <c r="K2026">
        <v>45</v>
      </c>
      <c r="L2026">
        <v>930112</v>
      </c>
      <c r="M2026" s="26">
        <v>41855040</v>
      </c>
      <c r="N2026">
        <v>20890</v>
      </c>
      <c r="O2026" s="26">
        <v>6586747.5199999996</v>
      </c>
      <c r="P2026" s="5" t="s">
        <v>42</v>
      </c>
      <c r="Q2026" s="5" t="s">
        <v>51</v>
      </c>
      <c r="R2026">
        <v>4.7</v>
      </c>
      <c r="S2026">
        <v>6</v>
      </c>
      <c r="T2026">
        <f t="shared" si="31"/>
        <v>1</v>
      </c>
    </row>
    <row r="2027" spans="1:20">
      <c r="A2027" s="4">
        <v>45416</v>
      </c>
      <c r="B2027">
        <v>2024</v>
      </c>
      <c r="C2027">
        <v>5</v>
      </c>
      <c r="D2027" s="5" t="s">
        <v>66</v>
      </c>
      <c r="E2027" s="5" t="s">
        <v>67</v>
      </c>
      <c r="F2027" s="5" t="s">
        <v>68</v>
      </c>
      <c r="G2027" s="5" t="s">
        <v>69</v>
      </c>
      <c r="H2027" s="5" t="s">
        <v>79</v>
      </c>
      <c r="I2027" s="5" t="s">
        <v>58</v>
      </c>
      <c r="J2027" s="5" t="s">
        <v>49</v>
      </c>
      <c r="K2027">
        <v>48</v>
      </c>
      <c r="L2027">
        <v>896116</v>
      </c>
      <c r="M2027" s="26">
        <v>43013568</v>
      </c>
      <c r="N2027">
        <v>36442</v>
      </c>
      <c r="O2027" s="26">
        <v>4434395.72</v>
      </c>
      <c r="P2027" s="5" t="s">
        <v>42</v>
      </c>
      <c r="Q2027" s="5" t="s">
        <v>75</v>
      </c>
      <c r="R2027">
        <v>3.6</v>
      </c>
      <c r="S2027">
        <v>9</v>
      </c>
      <c r="T2027">
        <f t="shared" si="31"/>
        <v>1</v>
      </c>
    </row>
    <row r="2028" spans="1:20">
      <c r="A2028" s="4">
        <v>45428</v>
      </c>
      <c r="B2028">
        <v>2024</v>
      </c>
      <c r="C2028">
        <v>5</v>
      </c>
      <c r="D2028" s="5" t="s">
        <v>35</v>
      </c>
      <c r="E2028" s="5" t="s">
        <v>76</v>
      </c>
      <c r="F2028" s="5" t="s">
        <v>77</v>
      </c>
      <c r="G2028" s="5" t="s">
        <v>78</v>
      </c>
      <c r="H2028" s="5" t="s">
        <v>57</v>
      </c>
      <c r="I2028" s="5" t="s">
        <v>58</v>
      </c>
      <c r="J2028" s="5" t="s">
        <v>59</v>
      </c>
      <c r="K2028">
        <v>40</v>
      </c>
      <c r="L2028">
        <v>1386233</v>
      </c>
      <c r="M2028" s="26">
        <v>55449320</v>
      </c>
      <c r="N2028">
        <v>46575</v>
      </c>
      <c r="O2028" s="26">
        <v>8505892.8300000001</v>
      </c>
      <c r="P2028" s="5" t="s">
        <v>50</v>
      </c>
      <c r="Q2028" s="5" t="s">
        <v>75</v>
      </c>
      <c r="R2028">
        <v>4.3</v>
      </c>
      <c r="S2028">
        <v>14</v>
      </c>
      <c r="T2028">
        <f t="shared" si="31"/>
        <v>0</v>
      </c>
    </row>
    <row r="2029" spans="1:20">
      <c r="A2029" s="4">
        <v>45431</v>
      </c>
      <c r="B2029">
        <v>2024</v>
      </c>
      <c r="C2029">
        <v>5</v>
      </c>
      <c r="D2029" s="5" t="s">
        <v>44</v>
      </c>
      <c r="E2029" s="5" t="s">
        <v>45</v>
      </c>
      <c r="F2029" s="5" t="s">
        <v>46</v>
      </c>
      <c r="G2029" s="5" t="s">
        <v>47</v>
      </c>
      <c r="H2029" s="5" t="s">
        <v>73</v>
      </c>
      <c r="I2029" s="5" t="s">
        <v>40</v>
      </c>
      <c r="J2029" s="5" t="s">
        <v>49</v>
      </c>
      <c r="K2029">
        <v>29</v>
      </c>
      <c r="L2029">
        <v>709375</v>
      </c>
      <c r="M2029" s="26">
        <v>20571875</v>
      </c>
      <c r="N2029">
        <v>7550</v>
      </c>
      <c r="O2029" s="26">
        <v>2624065.2200000002</v>
      </c>
      <c r="P2029" s="5" t="s">
        <v>42</v>
      </c>
      <c r="Q2029" s="5" t="s">
        <v>75</v>
      </c>
      <c r="R2029">
        <v>4.3</v>
      </c>
      <c r="S2029">
        <v>19</v>
      </c>
      <c r="T2029">
        <f t="shared" si="31"/>
        <v>1</v>
      </c>
    </row>
    <row r="2030" spans="1:20">
      <c r="A2030" s="4">
        <v>45414</v>
      </c>
      <c r="B2030">
        <v>2024</v>
      </c>
      <c r="C2030">
        <v>5</v>
      </c>
      <c r="D2030" s="5" t="s">
        <v>66</v>
      </c>
      <c r="E2030" s="5" t="s">
        <v>67</v>
      </c>
      <c r="F2030" s="5" t="s">
        <v>68</v>
      </c>
      <c r="G2030" s="5" t="s">
        <v>69</v>
      </c>
      <c r="H2030" s="5" t="s">
        <v>79</v>
      </c>
      <c r="I2030" s="5" t="s">
        <v>58</v>
      </c>
      <c r="J2030" s="5" t="s">
        <v>49</v>
      </c>
      <c r="K2030">
        <v>47</v>
      </c>
      <c r="L2030">
        <v>911877</v>
      </c>
      <c r="M2030" s="26">
        <v>42858219</v>
      </c>
      <c r="N2030">
        <v>26999</v>
      </c>
      <c r="O2030" s="26">
        <v>3794889.56</v>
      </c>
      <c r="P2030" s="5" t="s">
        <v>42</v>
      </c>
      <c r="Q2030" s="5" t="s">
        <v>75</v>
      </c>
      <c r="R2030">
        <v>4.4000000000000004</v>
      </c>
      <c r="S2030">
        <v>9</v>
      </c>
      <c r="T2030">
        <f t="shared" si="31"/>
        <v>1</v>
      </c>
    </row>
    <row r="2031" spans="1:20">
      <c r="A2031" s="4">
        <v>45433</v>
      </c>
      <c r="B2031">
        <v>2024</v>
      </c>
      <c r="C2031">
        <v>5</v>
      </c>
      <c r="D2031" s="5" t="s">
        <v>66</v>
      </c>
      <c r="E2031" s="5" t="s">
        <v>67</v>
      </c>
      <c r="F2031" s="5" t="s">
        <v>68</v>
      </c>
      <c r="G2031" s="5" t="s">
        <v>69</v>
      </c>
      <c r="H2031" s="5" t="s">
        <v>63</v>
      </c>
      <c r="I2031" s="5" t="s">
        <v>64</v>
      </c>
      <c r="J2031" s="5" t="s">
        <v>41</v>
      </c>
      <c r="K2031">
        <v>60</v>
      </c>
      <c r="L2031">
        <v>773383</v>
      </c>
      <c r="M2031" s="26">
        <v>46402980</v>
      </c>
      <c r="N2031">
        <v>21797</v>
      </c>
      <c r="O2031" s="26">
        <v>3775720.26</v>
      </c>
      <c r="P2031" s="5" t="s">
        <v>42</v>
      </c>
      <c r="Q2031" s="5" t="s">
        <v>51</v>
      </c>
      <c r="R2031">
        <v>5</v>
      </c>
      <c r="S2031">
        <v>7</v>
      </c>
      <c r="T2031">
        <f t="shared" si="31"/>
        <v>1</v>
      </c>
    </row>
    <row r="2032" spans="1:20">
      <c r="A2032" s="4">
        <v>45433</v>
      </c>
      <c r="B2032">
        <v>2024</v>
      </c>
      <c r="C2032">
        <v>5</v>
      </c>
      <c r="D2032" s="5" t="s">
        <v>54</v>
      </c>
      <c r="E2032" s="5" t="s">
        <v>70</v>
      </c>
      <c r="F2032" s="5" t="s">
        <v>71</v>
      </c>
      <c r="G2032" s="5" t="s">
        <v>72</v>
      </c>
      <c r="H2032" s="5" t="s">
        <v>65</v>
      </c>
      <c r="I2032" s="5" t="s">
        <v>53</v>
      </c>
      <c r="J2032" s="5" t="s">
        <v>49</v>
      </c>
      <c r="K2032">
        <v>36</v>
      </c>
      <c r="L2032">
        <v>1244717</v>
      </c>
      <c r="M2032" s="26">
        <v>44809812</v>
      </c>
      <c r="N2032">
        <v>17485</v>
      </c>
      <c r="O2032" s="26">
        <v>6477934.79</v>
      </c>
      <c r="P2032" s="5" t="s">
        <v>50</v>
      </c>
      <c r="Q2032" s="5" t="s">
        <v>75</v>
      </c>
      <c r="R2032">
        <v>4.0999999999999996</v>
      </c>
      <c r="S2032">
        <v>18</v>
      </c>
      <c r="T2032">
        <f t="shared" si="31"/>
        <v>0</v>
      </c>
    </row>
    <row r="2033" spans="1:20">
      <c r="A2033" s="4">
        <v>45429</v>
      </c>
      <c r="B2033">
        <v>2024</v>
      </c>
      <c r="C2033">
        <v>5</v>
      </c>
      <c r="D2033" s="5" t="s">
        <v>35</v>
      </c>
      <c r="E2033" s="5" t="s">
        <v>36</v>
      </c>
      <c r="F2033" s="5" t="s">
        <v>37</v>
      </c>
      <c r="G2033" s="5" t="s">
        <v>38</v>
      </c>
      <c r="H2033" s="5" t="s">
        <v>57</v>
      </c>
      <c r="I2033" s="5" t="s">
        <v>58</v>
      </c>
      <c r="J2033" s="5" t="s">
        <v>59</v>
      </c>
      <c r="K2033">
        <v>25</v>
      </c>
      <c r="L2033">
        <v>1388367</v>
      </c>
      <c r="M2033" s="26">
        <v>34709175</v>
      </c>
      <c r="N2033">
        <v>38190</v>
      </c>
      <c r="O2033" s="26">
        <v>4355627</v>
      </c>
      <c r="P2033" s="5" t="s">
        <v>42</v>
      </c>
      <c r="Q2033" s="5" t="s">
        <v>75</v>
      </c>
      <c r="R2033">
        <v>3.8</v>
      </c>
      <c r="S2033">
        <v>12</v>
      </c>
      <c r="T2033">
        <f t="shared" si="31"/>
        <v>1</v>
      </c>
    </row>
    <row r="2034" spans="1:20">
      <c r="A2034" s="4">
        <v>45427</v>
      </c>
      <c r="B2034">
        <v>2024</v>
      </c>
      <c r="C2034">
        <v>5</v>
      </c>
      <c r="D2034" s="5" t="s">
        <v>35</v>
      </c>
      <c r="E2034" s="5" t="s">
        <v>60</v>
      </c>
      <c r="F2034" s="5" t="s">
        <v>61</v>
      </c>
      <c r="G2034" s="5" t="s">
        <v>62</v>
      </c>
      <c r="H2034" s="5" t="s">
        <v>48</v>
      </c>
      <c r="I2034" s="5" t="s">
        <v>40</v>
      </c>
      <c r="J2034" s="5" t="s">
        <v>49</v>
      </c>
      <c r="K2034">
        <v>19</v>
      </c>
      <c r="L2034">
        <v>459342</v>
      </c>
      <c r="M2034" s="26">
        <v>8727498</v>
      </c>
      <c r="N2034">
        <v>47765</v>
      </c>
      <c r="O2034" s="26">
        <v>1055408.1200000001</v>
      </c>
      <c r="P2034" s="5" t="s">
        <v>42</v>
      </c>
      <c r="Q2034" s="5" t="s">
        <v>51</v>
      </c>
      <c r="R2034">
        <v>3.8</v>
      </c>
      <c r="S2034">
        <v>16</v>
      </c>
      <c r="T2034">
        <f t="shared" si="31"/>
        <v>1</v>
      </c>
    </row>
    <row r="2035" spans="1:20">
      <c r="A2035" s="4">
        <v>45435</v>
      </c>
      <c r="B2035">
        <v>2024</v>
      </c>
      <c r="C2035">
        <v>5</v>
      </c>
      <c r="D2035" s="5" t="s">
        <v>35</v>
      </c>
      <c r="E2035" s="5" t="s">
        <v>36</v>
      </c>
      <c r="F2035" s="5" t="s">
        <v>37</v>
      </c>
      <c r="G2035" s="5" t="s">
        <v>38</v>
      </c>
      <c r="H2035" s="5" t="s">
        <v>73</v>
      </c>
      <c r="I2035" s="5" t="s">
        <v>40</v>
      </c>
      <c r="J2035" s="5" t="s">
        <v>49</v>
      </c>
      <c r="K2035">
        <v>44</v>
      </c>
      <c r="L2035">
        <v>691444</v>
      </c>
      <c r="M2035" s="26">
        <v>30423536</v>
      </c>
      <c r="N2035">
        <v>25017</v>
      </c>
      <c r="O2035" s="26">
        <v>4682176.3499999996</v>
      </c>
      <c r="P2035" s="5" t="s">
        <v>42</v>
      </c>
      <c r="Q2035" s="5" t="s">
        <v>43</v>
      </c>
      <c r="R2035">
        <v>4.8</v>
      </c>
      <c r="S2035">
        <v>10</v>
      </c>
      <c r="T2035">
        <f t="shared" si="31"/>
        <v>1</v>
      </c>
    </row>
    <row r="2036" spans="1:20">
      <c r="A2036" s="4">
        <v>45437</v>
      </c>
      <c r="B2036">
        <v>2024</v>
      </c>
      <c r="C2036">
        <v>5</v>
      </c>
      <c r="D2036" s="5" t="s">
        <v>35</v>
      </c>
      <c r="E2036" s="5" t="s">
        <v>60</v>
      </c>
      <c r="F2036" s="5" t="s">
        <v>61</v>
      </c>
      <c r="G2036" s="5" t="s">
        <v>62</v>
      </c>
      <c r="H2036" s="5" t="s">
        <v>39</v>
      </c>
      <c r="I2036" s="5" t="s">
        <v>40</v>
      </c>
      <c r="J2036" s="5" t="s">
        <v>41</v>
      </c>
      <c r="K2036">
        <v>14</v>
      </c>
      <c r="L2036">
        <v>574854</v>
      </c>
      <c r="M2036" s="26">
        <v>8047956</v>
      </c>
      <c r="N2036">
        <v>40463</v>
      </c>
      <c r="O2036" s="26">
        <v>644353.6</v>
      </c>
      <c r="P2036" s="5" t="s">
        <v>42</v>
      </c>
      <c r="Q2036" s="5" t="s">
        <v>75</v>
      </c>
      <c r="R2036">
        <v>4.9000000000000004</v>
      </c>
      <c r="S2036">
        <v>6</v>
      </c>
      <c r="T2036">
        <f t="shared" si="31"/>
        <v>1</v>
      </c>
    </row>
    <row r="2037" spans="1:20">
      <c r="A2037" s="4">
        <v>45415</v>
      </c>
      <c r="B2037">
        <v>2024</v>
      </c>
      <c r="C2037">
        <v>5</v>
      </c>
      <c r="D2037" s="5" t="s">
        <v>44</v>
      </c>
      <c r="E2037" s="5" t="s">
        <v>82</v>
      </c>
      <c r="F2037" s="5" t="s">
        <v>83</v>
      </c>
      <c r="G2037" s="5" t="s">
        <v>84</v>
      </c>
      <c r="H2037" s="5" t="s">
        <v>39</v>
      </c>
      <c r="I2037" s="5" t="s">
        <v>40</v>
      </c>
      <c r="J2037" s="5" t="s">
        <v>41</v>
      </c>
      <c r="K2037">
        <v>23</v>
      </c>
      <c r="L2037">
        <v>596489</v>
      </c>
      <c r="M2037" s="26">
        <v>13719247</v>
      </c>
      <c r="N2037">
        <v>49047</v>
      </c>
      <c r="O2037" s="26">
        <v>1789797.87</v>
      </c>
      <c r="P2037" s="5" t="s">
        <v>50</v>
      </c>
      <c r="Q2037" s="5" t="s">
        <v>51</v>
      </c>
      <c r="R2037">
        <v>4.4000000000000004</v>
      </c>
      <c r="S2037">
        <v>15</v>
      </c>
      <c r="T2037">
        <f t="shared" si="31"/>
        <v>0</v>
      </c>
    </row>
    <row r="2038" spans="1:20">
      <c r="A2038" s="4">
        <v>45425</v>
      </c>
      <c r="B2038">
        <v>2024</v>
      </c>
      <c r="C2038">
        <v>5</v>
      </c>
      <c r="D2038" s="5" t="s">
        <v>35</v>
      </c>
      <c r="E2038" s="5" t="s">
        <v>36</v>
      </c>
      <c r="F2038" s="5" t="s">
        <v>37</v>
      </c>
      <c r="G2038" s="5" t="s">
        <v>38</v>
      </c>
      <c r="H2038" s="5" t="s">
        <v>48</v>
      </c>
      <c r="I2038" s="5" t="s">
        <v>40</v>
      </c>
      <c r="J2038" s="5" t="s">
        <v>49</v>
      </c>
      <c r="K2038">
        <v>52</v>
      </c>
      <c r="L2038">
        <v>436534</v>
      </c>
      <c r="M2038" s="26">
        <v>22699768</v>
      </c>
      <c r="N2038">
        <v>31396</v>
      </c>
      <c r="O2038" s="26">
        <v>2118591.87</v>
      </c>
      <c r="P2038" s="5" t="s">
        <v>50</v>
      </c>
      <c r="Q2038" s="5" t="s">
        <v>75</v>
      </c>
      <c r="R2038">
        <v>4.4000000000000004</v>
      </c>
      <c r="S2038">
        <v>12</v>
      </c>
      <c r="T2038">
        <f t="shared" si="31"/>
        <v>0</v>
      </c>
    </row>
    <row r="2039" spans="1:20">
      <c r="A2039" s="4">
        <v>45423</v>
      </c>
      <c r="B2039">
        <v>2024</v>
      </c>
      <c r="C2039">
        <v>5</v>
      </c>
      <c r="D2039" s="5" t="s">
        <v>35</v>
      </c>
      <c r="E2039" s="5" t="s">
        <v>36</v>
      </c>
      <c r="F2039" s="5" t="s">
        <v>37</v>
      </c>
      <c r="G2039" s="5" t="s">
        <v>38</v>
      </c>
      <c r="H2039" s="5" t="s">
        <v>65</v>
      </c>
      <c r="I2039" s="5" t="s">
        <v>53</v>
      </c>
      <c r="J2039" s="5" t="s">
        <v>49</v>
      </c>
      <c r="K2039">
        <v>20</v>
      </c>
      <c r="L2039">
        <v>1222177</v>
      </c>
      <c r="M2039" s="26">
        <v>24443540</v>
      </c>
      <c r="N2039">
        <v>15358</v>
      </c>
      <c r="O2039" s="26">
        <v>2022577.17</v>
      </c>
      <c r="P2039" s="5" t="s">
        <v>50</v>
      </c>
      <c r="Q2039" s="5" t="s">
        <v>75</v>
      </c>
      <c r="R2039">
        <v>4.9000000000000004</v>
      </c>
      <c r="S2039">
        <v>14</v>
      </c>
      <c r="T2039">
        <f t="shared" si="31"/>
        <v>0</v>
      </c>
    </row>
    <row r="2040" spans="1:20">
      <c r="A2040" s="4">
        <v>45414</v>
      </c>
      <c r="B2040">
        <v>2024</v>
      </c>
      <c r="C2040">
        <v>5</v>
      </c>
      <c r="D2040" s="5" t="s">
        <v>35</v>
      </c>
      <c r="E2040" s="5" t="s">
        <v>36</v>
      </c>
      <c r="F2040" s="5" t="s">
        <v>37</v>
      </c>
      <c r="G2040" s="5" t="s">
        <v>38</v>
      </c>
      <c r="H2040" s="5" t="s">
        <v>74</v>
      </c>
      <c r="I2040" s="5" t="s">
        <v>40</v>
      </c>
      <c r="J2040" s="5" t="s">
        <v>49</v>
      </c>
      <c r="K2040">
        <v>36</v>
      </c>
      <c r="L2040">
        <v>634962</v>
      </c>
      <c r="M2040" s="26">
        <v>22858632</v>
      </c>
      <c r="N2040">
        <v>47121</v>
      </c>
      <c r="O2040" s="26">
        <v>2929295.15</v>
      </c>
      <c r="P2040" s="5" t="s">
        <v>42</v>
      </c>
      <c r="Q2040" s="5" t="s">
        <v>51</v>
      </c>
      <c r="R2040">
        <v>4.2</v>
      </c>
      <c r="S2040">
        <v>5</v>
      </c>
      <c r="T2040">
        <f t="shared" si="31"/>
        <v>1</v>
      </c>
    </row>
    <row r="2041" spans="1:20">
      <c r="A2041" s="4">
        <v>45417</v>
      </c>
      <c r="B2041">
        <v>2024</v>
      </c>
      <c r="C2041">
        <v>5</v>
      </c>
      <c r="D2041" s="5" t="s">
        <v>44</v>
      </c>
      <c r="E2041" s="5" t="s">
        <v>82</v>
      </c>
      <c r="F2041" s="5" t="s">
        <v>83</v>
      </c>
      <c r="G2041" s="5" t="s">
        <v>84</v>
      </c>
      <c r="H2041" s="5" t="s">
        <v>52</v>
      </c>
      <c r="I2041" s="5" t="s">
        <v>53</v>
      </c>
      <c r="J2041" s="5" t="s">
        <v>41</v>
      </c>
      <c r="K2041">
        <v>29</v>
      </c>
      <c r="L2041">
        <v>942393</v>
      </c>
      <c r="M2041" s="26">
        <v>27329397</v>
      </c>
      <c r="N2041">
        <v>8348</v>
      </c>
      <c r="O2041" s="26">
        <v>3612451.19</v>
      </c>
      <c r="P2041" s="5" t="s">
        <v>50</v>
      </c>
      <c r="Q2041" s="5" t="s">
        <v>43</v>
      </c>
      <c r="R2041">
        <v>4.5999999999999996</v>
      </c>
      <c r="S2041">
        <v>4</v>
      </c>
      <c r="T2041">
        <f t="shared" si="31"/>
        <v>0</v>
      </c>
    </row>
    <row r="2042" spans="1:20">
      <c r="A2042" s="4">
        <v>45430</v>
      </c>
      <c r="B2042">
        <v>2024</v>
      </c>
      <c r="C2042">
        <v>5</v>
      </c>
      <c r="D2042" s="5" t="s">
        <v>44</v>
      </c>
      <c r="E2042" s="5" t="s">
        <v>45</v>
      </c>
      <c r="F2042" s="5" t="s">
        <v>46</v>
      </c>
      <c r="G2042" s="5" t="s">
        <v>47</v>
      </c>
      <c r="H2042" s="5" t="s">
        <v>57</v>
      </c>
      <c r="I2042" s="5" t="s">
        <v>58</v>
      </c>
      <c r="J2042" s="5" t="s">
        <v>59</v>
      </c>
      <c r="K2042">
        <v>42</v>
      </c>
      <c r="L2042">
        <v>1372994</v>
      </c>
      <c r="M2042" s="26">
        <v>57665748</v>
      </c>
      <c r="N2042">
        <v>35134</v>
      </c>
      <c r="O2042" s="26">
        <v>5517385.29</v>
      </c>
      <c r="P2042" s="5" t="s">
        <v>50</v>
      </c>
      <c r="Q2042" s="5" t="s">
        <v>43</v>
      </c>
      <c r="R2042">
        <v>5</v>
      </c>
      <c r="S2042">
        <v>10</v>
      </c>
      <c r="T2042">
        <f t="shared" si="31"/>
        <v>0</v>
      </c>
    </row>
    <row r="2043" spans="1:20">
      <c r="A2043" s="4">
        <v>45417</v>
      </c>
      <c r="B2043">
        <v>2024</v>
      </c>
      <c r="C2043">
        <v>5</v>
      </c>
      <c r="D2043" s="5" t="s">
        <v>44</v>
      </c>
      <c r="E2043" s="5" t="s">
        <v>82</v>
      </c>
      <c r="F2043" s="5" t="s">
        <v>83</v>
      </c>
      <c r="G2043" s="5" t="s">
        <v>84</v>
      </c>
      <c r="H2043" s="5" t="s">
        <v>79</v>
      </c>
      <c r="I2043" s="5" t="s">
        <v>58</v>
      </c>
      <c r="J2043" s="5" t="s">
        <v>49</v>
      </c>
      <c r="K2043">
        <v>58</v>
      </c>
      <c r="L2043">
        <v>880451</v>
      </c>
      <c r="M2043" s="26">
        <v>51066158</v>
      </c>
      <c r="N2043">
        <v>43554</v>
      </c>
      <c r="O2043" s="26">
        <v>5167595.3499999996</v>
      </c>
      <c r="P2043" s="5" t="s">
        <v>42</v>
      </c>
      <c r="Q2043" s="5" t="s">
        <v>51</v>
      </c>
      <c r="R2043">
        <v>4.5</v>
      </c>
      <c r="S2043">
        <v>10</v>
      </c>
      <c r="T2043">
        <f t="shared" si="31"/>
        <v>1</v>
      </c>
    </row>
    <row r="2044" spans="1:20">
      <c r="A2044" s="4">
        <v>45422</v>
      </c>
      <c r="B2044">
        <v>2024</v>
      </c>
      <c r="C2044">
        <v>5</v>
      </c>
      <c r="D2044" s="5" t="s">
        <v>66</v>
      </c>
      <c r="E2044" s="5" t="s">
        <v>67</v>
      </c>
      <c r="F2044" s="5" t="s">
        <v>68</v>
      </c>
      <c r="G2044" s="5" t="s">
        <v>69</v>
      </c>
      <c r="H2044" s="5" t="s">
        <v>86</v>
      </c>
      <c r="I2044" s="5" t="s">
        <v>40</v>
      </c>
      <c r="J2044" s="5" t="s">
        <v>41</v>
      </c>
      <c r="K2044">
        <v>45</v>
      </c>
      <c r="L2044">
        <v>606165</v>
      </c>
      <c r="M2044" s="26">
        <v>27277425</v>
      </c>
      <c r="N2044">
        <v>27586</v>
      </c>
      <c r="O2044" s="26">
        <v>2759362.98</v>
      </c>
      <c r="P2044" s="5" t="s">
        <v>50</v>
      </c>
      <c r="Q2044" s="5" t="s">
        <v>51</v>
      </c>
      <c r="R2044">
        <v>4.9000000000000004</v>
      </c>
      <c r="S2044">
        <v>16</v>
      </c>
      <c r="T2044">
        <f t="shared" si="31"/>
        <v>0</v>
      </c>
    </row>
    <row r="2045" spans="1:20">
      <c r="A2045" s="4">
        <v>45426</v>
      </c>
      <c r="B2045">
        <v>2024</v>
      </c>
      <c r="C2045">
        <v>5</v>
      </c>
      <c r="D2045" s="5" t="s">
        <v>35</v>
      </c>
      <c r="E2045" s="5" t="s">
        <v>60</v>
      </c>
      <c r="F2045" s="5" t="s">
        <v>61</v>
      </c>
      <c r="G2045" s="5" t="s">
        <v>62</v>
      </c>
      <c r="H2045" s="5" t="s">
        <v>63</v>
      </c>
      <c r="I2045" s="5" t="s">
        <v>64</v>
      </c>
      <c r="J2045" s="5" t="s">
        <v>41</v>
      </c>
      <c r="K2045">
        <v>25</v>
      </c>
      <c r="L2045">
        <v>769812</v>
      </c>
      <c r="M2045" s="26">
        <v>19245300</v>
      </c>
      <c r="N2045">
        <v>42781</v>
      </c>
      <c r="O2045" s="26">
        <v>1682597.57</v>
      </c>
      <c r="P2045" s="5" t="s">
        <v>50</v>
      </c>
      <c r="Q2045" s="5" t="s">
        <v>51</v>
      </c>
      <c r="R2045">
        <v>4.9000000000000004</v>
      </c>
      <c r="S2045">
        <v>21</v>
      </c>
      <c r="T2045">
        <f t="shared" si="31"/>
        <v>0</v>
      </c>
    </row>
    <row r="2046" spans="1:20">
      <c r="A2046" s="4">
        <v>45437</v>
      </c>
      <c r="B2046">
        <v>2024</v>
      </c>
      <c r="C2046">
        <v>5</v>
      </c>
      <c r="D2046" s="5" t="s">
        <v>35</v>
      </c>
      <c r="E2046" s="5" t="s">
        <v>36</v>
      </c>
      <c r="F2046" s="5" t="s">
        <v>37</v>
      </c>
      <c r="G2046" s="5" t="s">
        <v>38</v>
      </c>
      <c r="H2046" s="5" t="s">
        <v>85</v>
      </c>
      <c r="I2046" s="5" t="s">
        <v>58</v>
      </c>
      <c r="J2046" s="5" t="s">
        <v>49</v>
      </c>
      <c r="K2046">
        <v>55</v>
      </c>
      <c r="L2046">
        <v>970732</v>
      </c>
      <c r="M2046" s="26">
        <v>53390260</v>
      </c>
      <c r="N2046">
        <v>39919</v>
      </c>
      <c r="O2046" s="26">
        <v>4842397.3899999997</v>
      </c>
      <c r="P2046" s="5" t="s">
        <v>42</v>
      </c>
      <c r="Q2046" s="5" t="s">
        <v>43</v>
      </c>
      <c r="R2046">
        <v>3.6</v>
      </c>
      <c r="S2046">
        <v>21</v>
      </c>
      <c r="T2046">
        <f t="shared" si="31"/>
        <v>1</v>
      </c>
    </row>
    <row r="2047" spans="1:20">
      <c r="A2047" s="4">
        <v>45424</v>
      </c>
      <c r="B2047">
        <v>2024</v>
      </c>
      <c r="C2047">
        <v>5</v>
      </c>
      <c r="D2047" s="5" t="s">
        <v>54</v>
      </c>
      <c r="E2047" s="5" t="s">
        <v>55</v>
      </c>
      <c r="F2047" s="5" t="s">
        <v>55</v>
      </c>
      <c r="G2047" s="5" t="s">
        <v>56</v>
      </c>
      <c r="H2047" s="5" t="s">
        <v>85</v>
      </c>
      <c r="I2047" s="5" t="s">
        <v>58</v>
      </c>
      <c r="J2047" s="5" t="s">
        <v>49</v>
      </c>
      <c r="K2047">
        <v>14</v>
      </c>
      <c r="L2047">
        <v>971347</v>
      </c>
      <c r="M2047" s="26">
        <v>13598858</v>
      </c>
      <c r="N2047">
        <v>41673</v>
      </c>
      <c r="O2047" s="26">
        <v>1225086.3999999999</v>
      </c>
      <c r="P2047" s="5" t="s">
        <v>50</v>
      </c>
      <c r="Q2047" s="5" t="s">
        <v>43</v>
      </c>
      <c r="R2047">
        <v>5</v>
      </c>
      <c r="S2047">
        <v>13</v>
      </c>
      <c r="T2047">
        <f t="shared" si="31"/>
        <v>0</v>
      </c>
    </row>
    <row r="2048" spans="1:20">
      <c r="A2048" s="4">
        <v>45433</v>
      </c>
      <c r="B2048">
        <v>2024</v>
      </c>
      <c r="C2048">
        <v>5</v>
      </c>
      <c r="D2048" s="5" t="s">
        <v>44</v>
      </c>
      <c r="E2048" s="5" t="s">
        <v>82</v>
      </c>
      <c r="F2048" s="5" t="s">
        <v>83</v>
      </c>
      <c r="G2048" s="5" t="s">
        <v>84</v>
      </c>
      <c r="H2048" s="5" t="s">
        <v>65</v>
      </c>
      <c r="I2048" s="5" t="s">
        <v>53</v>
      </c>
      <c r="J2048" s="5" t="s">
        <v>49</v>
      </c>
      <c r="K2048">
        <v>22</v>
      </c>
      <c r="L2048">
        <v>1249279</v>
      </c>
      <c r="M2048" s="26">
        <v>27484138</v>
      </c>
      <c r="N2048">
        <v>15873</v>
      </c>
      <c r="O2048" s="26">
        <v>2226865.2799999998</v>
      </c>
      <c r="P2048" s="5" t="s">
        <v>42</v>
      </c>
      <c r="Q2048" s="5" t="s">
        <v>51</v>
      </c>
      <c r="R2048">
        <v>4.7</v>
      </c>
      <c r="S2048">
        <v>21</v>
      </c>
      <c r="T2048">
        <f t="shared" si="31"/>
        <v>1</v>
      </c>
    </row>
    <row r="2049" spans="1:20">
      <c r="A2049" s="4">
        <v>45415</v>
      </c>
      <c r="B2049">
        <v>2024</v>
      </c>
      <c r="C2049">
        <v>5</v>
      </c>
      <c r="D2049" s="5" t="s">
        <v>35</v>
      </c>
      <c r="E2049" s="5" t="s">
        <v>36</v>
      </c>
      <c r="F2049" s="5" t="s">
        <v>37</v>
      </c>
      <c r="G2049" s="5" t="s">
        <v>38</v>
      </c>
      <c r="H2049" s="5" t="s">
        <v>79</v>
      </c>
      <c r="I2049" s="5" t="s">
        <v>58</v>
      </c>
      <c r="J2049" s="5" t="s">
        <v>49</v>
      </c>
      <c r="K2049">
        <v>40</v>
      </c>
      <c r="L2049">
        <v>891246</v>
      </c>
      <c r="M2049" s="26">
        <v>35649840</v>
      </c>
      <c r="N2049">
        <v>34886</v>
      </c>
      <c r="O2049" s="26">
        <v>5115118.54</v>
      </c>
      <c r="P2049" s="5" t="s">
        <v>42</v>
      </c>
      <c r="Q2049" s="5" t="s">
        <v>51</v>
      </c>
      <c r="R2049">
        <v>4.9000000000000004</v>
      </c>
      <c r="S2049">
        <v>12</v>
      </c>
      <c r="T2049">
        <f t="shared" si="31"/>
        <v>1</v>
      </c>
    </row>
    <row r="2050" spans="1:20">
      <c r="A2050" s="4">
        <v>45424</v>
      </c>
      <c r="B2050">
        <v>2024</v>
      </c>
      <c r="C2050">
        <v>5</v>
      </c>
      <c r="D2050" s="5" t="s">
        <v>35</v>
      </c>
      <c r="E2050" s="5" t="s">
        <v>60</v>
      </c>
      <c r="F2050" s="5" t="s">
        <v>61</v>
      </c>
      <c r="G2050" s="5" t="s">
        <v>62</v>
      </c>
      <c r="H2050" s="5" t="s">
        <v>79</v>
      </c>
      <c r="I2050" s="5" t="s">
        <v>58</v>
      </c>
      <c r="J2050" s="5" t="s">
        <v>49</v>
      </c>
      <c r="K2050">
        <v>34</v>
      </c>
      <c r="L2050">
        <v>926148</v>
      </c>
      <c r="M2050" s="26">
        <v>31489032</v>
      </c>
      <c r="N2050">
        <v>38734</v>
      </c>
      <c r="O2050" s="26">
        <v>3021389.9</v>
      </c>
      <c r="P2050" s="5" t="s">
        <v>42</v>
      </c>
      <c r="Q2050" s="5" t="s">
        <v>43</v>
      </c>
      <c r="R2050">
        <v>3.7</v>
      </c>
      <c r="S2050">
        <v>9</v>
      </c>
      <c r="T2050">
        <f t="shared" ref="T2050:T2113" si="32">IF(AND(OR($B2050=Sel_Year,Sel_Year="All"),OR($C2050=Sel_Month,Sel_Month="All"),OR($D2050=Sel_Region,Sel_Region="All"),OR($E2050=Sel_State,Sel_State="All"),OR($F2050=Sel_City,Sel_City="All"),OR($G2050=Sel_Dealer,Sel_Dealer="All"),OR($H2050=Sel_Model,Sel_Model="All"),OR($I2050=Sel_Segment,Sel_Segment="All"),OR($J2050=Sel_Fuel,Sel_Fuel="All"),OR($P2050=Sel_CustType,Sel_CustType="All"),OR($Q2050=Sel_Payment,Sel_Payment="All")),1,0)</f>
        <v>1</v>
      </c>
    </row>
    <row r="2051" spans="1:20">
      <c r="A2051" s="4">
        <v>45421</v>
      </c>
      <c r="B2051">
        <v>2024</v>
      </c>
      <c r="C2051">
        <v>5</v>
      </c>
      <c r="D2051" s="5" t="s">
        <v>44</v>
      </c>
      <c r="E2051" s="5" t="s">
        <v>82</v>
      </c>
      <c r="F2051" s="5" t="s">
        <v>83</v>
      </c>
      <c r="G2051" s="5" t="s">
        <v>84</v>
      </c>
      <c r="H2051" s="5" t="s">
        <v>39</v>
      </c>
      <c r="I2051" s="5" t="s">
        <v>40</v>
      </c>
      <c r="J2051" s="5" t="s">
        <v>41</v>
      </c>
      <c r="K2051">
        <v>38</v>
      </c>
      <c r="L2051">
        <v>569583</v>
      </c>
      <c r="M2051" s="26">
        <v>21644154</v>
      </c>
      <c r="N2051">
        <v>10508</v>
      </c>
      <c r="O2051" s="26">
        <v>3287001.51</v>
      </c>
      <c r="P2051" s="5" t="s">
        <v>50</v>
      </c>
      <c r="Q2051" s="5" t="s">
        <v>51</v>
      </c>
      <c r="R2051">
        <v>3.9</v>
      </c>
      <c r="S2051">
        <v>11</v>
      </c>
      <c r="T2051">
        <f t="shared" si="32"/>
        <v>0</v>
      </c>
    </row>
    <row r="2052" spans="1:20">
      <c r="A2052" s="4">
        <v>45452</v>
      </c>
      <c r="B2052">
        <v>2024</v>
      </c>
      <c r="C2052">
        <v>6</v>
      </c>
      <c r="D2052" s="5" t="s">
        <v>35</v>
      </c>
      <c r="E2052" s="5" t="s">
        <v>60</v>
      </c>
      <c r="F2052" s="5" t="s">
        <v>61</v>
      </c>
      <c r="G2052" s="5" t="s">
        <v>62</v>
      </c>
      <c r="H2052" s="5" t="s">
        <v>52</v>
      </c>
      <c r="I2052" s="5" t="s">
        <v>53</v>
      </c>
      <c r="J2052" s="5" t="s">
        <v>41</v>
      </c>
      <c r="K2052">
        <v>48</v>
      </c>
      <c r="L2052">
        <v>966941</v>
      </c>
      <c r="M2052" s="26">
        <v>46413168</v>
      </c>
      <c r="N2052">
        <v>49433</v>
      </c>
      <c r="O2052" s="26">
        <v>6364278.7300000004</v>
      </c>
      <c r="P2052" s="5" t="s">
        <v>42</v>
      </c>
      <c r="Q2052" s="5" t="s">
        <v>51</v>
      </c>
      <c r="R2052">
        <v>4.7</v>
      </c>
      <c r="S2052">
        <v>18</v>
      </c>
      <c r="T2052">
        <f t="shared" si="32"/>
        <v>1</v>
      </c>
    </row>
    <row r="2053" spans="1:20">
      <c r="A2053" s="4">
        <v>45455</v>
      </c>
      <c r="B2053">
        <v>2024</v>
      </c>
      <c r="C2053">
        <v>6</v>
      </c>
      <c r="D2053" s="5" t="s">
        <v>44</v>
      </c>
      <c r="E2053" s="5" t="s">
        <v>45</v>
      </c>
      <c r="F2053" s="5" t="s">
        <v>46</v>
      </c>
      <c r="G2053" s="5" t="s">
        <v>47</v>
      </c>
      <c r="H2053" s="5" t="s">
        <v>86</v>
      </c>
      <c r="I2053" s="5" t="s">
        <v>40</v>
      </c>
      <c r="J2053" s="5" t="s">
        <v>41</v>
      </c>
      <c r="K2053">
        <v>21</v>
      </c>
      <c r="L2053">
        <v>628360</v>
      </c>
      <c r="M2053" s="26">
        <v>13195560</v>
      </c>
      <c r="N2053">
        <v>11167</v>
      </c>
      <c r="O2053" s="26">
        <v>2018388.1</v>
      </c>
      <c r="P2053" s="5" t="s">
        <v>50</v>
      </c>
      <c r="Q2053" s="5" t="s">
        <v>51</v>
      </c>
      <c r="R2053">
        <v>4</v>
      </c>
      <c r="S2053">
        <v>5</v>
      </c>
      <c r="T2053">
        <f t="shared" si="32"/>
        <v>0</v>
      </c>
    </row>
    <row r="2054" spans="1:20">
      <c r="A2054" s="4">
        <v>45462</v>
      </c>
      <c r="B2054">
        <v>2024</v>
      </c>
      <c r="C2054">
        <v>6</v>
      </c>
      <c r="D2054" s="5" t="s">
        <v>44</v>
      </c>
      <c r="E2054" s="5" t="s">
        <v>45</v>
      </c>
      <c r="F2054" s="5" t="s">
        <v>46</v>
      </c>
      <c r="G2054" s="5" t="s">
        <v>47</v>
      </c>
      <c r="H2054" s="5" t="s">
        <v>48</v>
      </c>
      <c r="I2054" s="5" t="s">
        <v>40</v>
      </c>
      <c r="J2054" s="5" t="s">
        <v>49</v>
      </c>
      <c r="K2054">
        <v>55</v>
      </c>
      <c r="L2054">
        <v>450513</v>
      </c>
      <c r="M2054" s="26">
        <v>24778215</v>
      </c>
      <c r="N2054">
        <v>49562</v>
      </c>
      <c r="O2054" s="26">
        <v>2957566.47</v>
      </c>
      <c r="P2054" s="5" t="s">
        <v>42</v>
      </c>
      <c r="Q2054" s="5" t="s">
        <v>75</v>
      </c>
      <c r="R2054">
        <v>4.8</v>
      </c>
      <c r="S2054">
        <v>6</v>
      </c>
      <c r="T2054">
        <f t="shared" si="32"/>
        <v>1</v>
      </c>
    </row>
    <row r="2055" spans="1:20">
      <c r="A2055" s="4">
        <v>45457</v>
      </c>
      <c r="B2055">
        <v>2024</v>
      </c>
      <c r="C2055">
        <v>6</v>
      </c>
      <c r="D2055" s="5" t="s">
        <v>66</v>
      </c>
      <c r="E2055" s="5" t="s">
        <v>67</v>
      </c>
      <c r="F2055" s="5" t="s">
        <v>68</v>
      </c>
      <c r="G2055" s="5" t="s">
        <v>69</v>
      </c>
      <c r="H2055" s="5" t="s">
        <v>80</v>
      </c>
      <c r="I2055" s="5" t="s">
        <v>81</v>
      </c>
      <c r="J2055" s="5" t="s">
        <v>41</v>
      </c>
      <c r="K2055">
        <v>17</v>
      </c>
      <c r="L2055">
        <v>547290</v>
      </c>
      <c r="M2055" s="26">
        <v>9303930</v>
      </c>
      <c r="N2055">
        <v>13406</v>
      </c>
      <c r="O2055" s="26">
        <v>1121155.8700000001</v>
      </c>
      <c r="P2055" s="5" t="s">
        <v>50</v>
      </c>
      <c r="Q2055" s="5" t="s">
        <v>75</v>
      </c>
      <c r="R2055">
        <v>3.9</v>
      </c>
      <c r="S2055">
        <v>15</v>
      </c>
      <c r="T2055">
        <f t="shared" si="32"/>
        <v>0</v>
      </c>
    </row>
    <row r="2056" spans="1:20">
      <c r="A2056" s="4">
        <v>45465</v>
      </c>
      <c r="B2056">
        <v>2024</v>
      </c>
      <c r="C2056">
        <v>6</v>
      </c>
      <c r="D2056" s="5" t="s">
        <v>54</v>
      </c>
      <c r="E2056" s="5" t="s">
        <v>55</v>
      </c>
      <c r="F2056" s="5" t="s">
        <v>55</v>
      </c>
      <c r="G2056" s="5" t="s">
        <v>56</v>
      </c>
      <c r="H2056" s="5" t="s">
        <v>80</v>
      </c>
      <c r="I2056" s="5" t="s">
        <v>81</v>
      </c>
      <c r="J2056" s="5" t="s">
        <v>41</v>
      </c>
      <c r="K2056">
        <v>40</v>
      </c>
      <c r="L2056">
        <v>523573</v>
      </c>
      <c r="M2056" s="26">
        <v>20942920</v>
      </c>
      <c r="N2056">
        <v>41501</v>
      </c>
      <c r="O2056" s="26">
        <v>2435582.1</v>
      </c>
      <c r="P2056" s="5" t="s">
        <v>50</v>
      </c>
      <c r="Q2056" s="5" t="s">
        <v>51</v>
      </c>
      <c r="R2056">
        <v>4.4000000000000004</v>
      </c>
      <c r="S2056">
        <v>13</v>
      </c>
      <c r="T2056">
        <f t="shared" si="32"/>
        <v>0</v>
      </c>
    </row>
    <row r="2057" spans="1:20">
      <c r="A2057" s="4">
        <v>45452</v>
      </c>
      <c r="B2057">
        <v>2024</v>
      </c>
      <c r="C2057">
        <v>6</v>
      </c>
      <c r="D2057" s="5" t="s">
        <v>35</v>
      </c>
      <c r="E2057" s="5" t="s">
        <v>60</v>
      </c>
      <c r="F2057" s="5" t="s">
        <v>61</v>
      </c>
      <c r="G2057" s="5" t="s">
        <v>62</v>
      </c>
      <c r="H2057" s="5" t="s">
        <v>39</v>
      </c>
      <c r="I2057" s="5" t="s">
        <v>40</v>
      </c>
      <c r="J2057" s="5" t="s">
        <v>41</v>
      </c>
      <c r="K2057">
        <v>35</v>
      </c>
      <c r="L2057">
        <v>596544</v>
      </c>
      <c r="M2057" s="26">
        <v>20879040</v>
      </c>
      <c r="N2057">
        <v>31460</v>
      </c>
      <c r="O2057" s="26">
        <v>2161296.2200000002</v>
      </c>
      <c r="P2057" s="5" t="s">
        <v>42</v>
      </c>
      <c r="Q2057" s="5" t="s">
        <v>51</v>
      </c>
      <c r="R2057">
        <v>4</v>
      </c>
      <c r="S2057">
        <v>12</v>
      </c>
      <c r="T2057">
        <f t="shared" si="32"/>
        <v>1</v>
      </c>
    </row>
    <row r="2058" spans="1:20">
      <c r="A2058" s="4">
        <v>45448</v>
      </c>
      <c r="B2058">
        <v>2024</v>
      </c>
      <c r="C2058">
        <v>6</v>
      </c>
      <c r="D2058" s="5" t="s">
        <v>54</v>
      </c>
      <c r="E2058" s="5" t="s">
        <v>55</v>
      </c>
      <c r="F2058" s="5" t="s">
        <v>55</v>
      </c>
      <c r="G2058" s="5" t="s">
        <v>56</v>
      </c>
      <c r="H2058" s="5" t="s">
        <v>57</v>
      </c>
      <c r="I2058" s="5" t="s">
        <v>58</v>
      </c>
      <c r="J2058" s="5" t="s">
        <v>59</v>
      </c>
      <c r="K2058">
        <v>47</v>
      </c>
      <c r="L2058">
        <v>1401057</v>
      </c>
      <c r="M2058" s="26">
        <v>65849679</v>
      </c>
      <c r="N2058">
        <v>34444</v>
      </c>
      <c r="O2058" s="26">
        <v>8309279.6500000004</v>
      </c>
      <c r="P2058" s="5" t="s">
        <v>42</v>
      </c>
      <c r="Q2058" s="5" t="s">
        <v>51</v>
      </c>
      <c r="R2058">
        <v>4.5999999999999996</v>
      </c>
      <c r="S2058">
        <v>3</v>
      </c>
      <c r="T2058">
        <f t="shared" si="32"/>
        <v>1</v>
      </c>
    </row>
    <row r="2059" spans="1:20">
      <c r="A2059" s="4">
        <v>45454</v>
      </c>
      <c r="B2059">
        <v>2024</v>
      </c>
      <c r="C2059">
        <v>6</v>
      </c>
      <c r="D2059" s="5" t="s">
        <v>35</v>
      </c>
      <c r="E2059" s="5" t="s">
        <v>36</v>
      </c>
      <c r="F2059" s="5" t="s">
        <v>37</v>
      </c>
      <c r="G2059" s="5" t="s">
        <v>38</v>
      </c>
      <c r="H2059" s="5" t="s">
        <v>86</v>
      </c>
      <c r="I2059" s="5" t="s">
        <v>40</v>
      </c>
      <c r="J2059" s="5" t="s">
        <v>41</v>
      </c>
      <c r="K2059">
        <v>33</v>
      </c>
      <c r="L2059">
        <v>596041</v>
      </c>
      <c r="M2059" s="26">
        <v>19669353</v>
      </c>
      <c r="N2059">
        <v>38943</v>
      </c>
      <c r="O2059" s="26">
        <v>2501612.2200000002</v>
      </c>
      <c r="P2059" s="5" t="s">
        <v>50</v>
      </c>
      <c r="Q2059" s="5" t="s">
        <v>51</v>
      </c>
      <c r="R2059">
        <v>4.5999999999999996</v>
      </c>
      <c r="S2059">
        <v>10</v>
      </c>
      <c r="T2059">
        <f t="shared" si="32"/>
        <v>0</v>
      </c>
    </row>
    <row r="2060" spans="1:20">
      <c r="A2060" s="4">
        <v>45454</v>
      </c>
      <c r="B2060">
        <v>2024</v>
      </c>
      <c r="C2060">
        <v>6</v>
      </c>
      <c r="D2060" s="5" t="s">
        <v>54</v>
      </c>
      <c r="E2060" s="5" t="s">
        <v>55</v>
      </c>
      <c r="F2060" s="5" t="s">
        <v>55</v>
      </c>
      <c r="G2060" s="5" t="s">
        <v>56</v>
      </c>
      <c r="H2060" s="5" t="s">
        <v>39</v>
      </c>
      <c r="I2060" s="5" t="s">
        <v>40</v>
      </c>
      <c r="J2060" s="5" t="s">
        <v>41</v>
      </c>
      <c r="K2060">
        <v>23</v>
      </c>
      <c r="L2060">
        <v>573434</v>
      </c>
      <c r="M2060" s="26">
        <v>13188982</v>
      </c>
      <c r="N2060">
        <v>17752</v>
      </c>
      <c r="O2060" s="26">
        <v>1779034</v>
      </c>
      <c r="P2060" s="5" t="s">
        <v>42</v>
      </c>
      <c r="Q2060" s="5" t="s">
        <v>75</v>
      </c>
      <c r="R2060">
        <v>4.5999999999999996</v>
      </c>
      <c r="S2060">
        <v>9</v>
      </c>
      <c r="T2060">
        <f t="shared" si="32"/>
        <v>1</v>
      </c>
    </row>
    <row r="2061" spans="1:20">
      <c r="A2061" s="4">
        <v>45457</v>
      </c>
      <c r="B2061">
        <v>2024</v>
      </c>
      <c r="C2061">
        <v>6</v>
      </c>
      <c r="D2061" s="5" t="s">
        <v>44</v>
      </c>
      <c r="E2061" s="5" t="s">
        <v>82</v>
      </c>
      <c r="F2061" s="5" t="s">
        <v>83</v>
      </c>
      <c r="G2061" s="5" t="s">
        <v>84</v>
      </c>
      <c r="H2061" s="5" t="s">
        <v>39</v>
      </c>
      <c r="I2061" s="5" t="s">
        <v>40</v>
      </c>
      <c r="J2061" s="5" t="s">
        <v>41</v>
      </c>
      <c r="K2061">
        <v>40</v>
      </c>
      <c r="L2061">
        <v>607005</v>
      </c>
      <c r="M2061" s="26">
        <v>24280200</v>
      </c>
      <c r="N2061">
        <v>11145</v>
      </c>
      <c r="O2061" s="26">
        <v>2279268.9</v>
      </c>
      <c r="P2061" s="5" t="s">
        <v>50</v>
      </c>
      <c r="Q2061" s="5" t="s">
        <v>51</v>
      </c>
      <c r="R2061">
        <v>4</v>
      </c>
      <c r="S2061">
        <v>12</v>
      </c>
      <c r="T2061">
        <f t="shared" si="32"/>
        <v>0</v>
      </c>
    </row>
    <row r="2062" spans="1:20">
      <c r="A2062" s="4">
        <v>45460</v>
      </c>
      <c r="B2062">
        <v>2024</v>
      </c>
      <c r="C2062">
        <v>6</v>
      </c>
      <c r="D2062" s="5" t="s">
        <v>35</v>
      </c>
      <c r="E2062" s="5" t="s">
        <v>76</v>
      </c>
      <c r="F2062" s="5" t="s">
        <v>77</v>
      </c>
      <c r="G2062" s="5" t="s">
        <v>78</v>
      </c>
      <c r="H2062" s="5" t="s">
        <v>85</v>
      </c>
      <c r="I2062" s="5" t="s">
        <v>58</v>
      </c>
      <c r="J2062" s="5" t="s">
        <v>49</v>
      </c>
      <c r="K2062">
        <v>11</v>
      </c>
      <c r="L2062">
        <v>982647</v>
      </c>
      <c r="M2062" s="26">
        <v>10809117</v>
      </c>
      <c r="N2062">
        <v>19583</v>
      </c>
      <c r="O2062" s="26">
        <v>1349841.35</v>
      </c>
      <c r="P2062" s="5" t="s">
        <v>42</v>
      </c>
      <c r="Q2062" s="5" t="s">
        <v>43</v>
      </c>
      <c r="R2062">
        <v>3.8</v>
      </c>
      <c r="S2062">
        <v>2</v>
      </c>
      <c r="T2062">
        <f t="shared" si="32"/>
        <v>1</v>
      </c>
    </row>
    <row r="2063" spans="1:20">
      <c r="A2063" s="4">
        <v>45450</v>
      </c>
      <c r="B2063">
        <v>2024</v>
      </c>
      <c r="C2063">
        <v>6</v>
      </c>
      <c r="D2063" s="5" t="s">
        <v>66</v>
      </c>
      <c r="E2063" s="5" t="s">
        <v>67</v>
      </c>
      <c r="F2063" s="5" t="s">
        <v>68</v>
      </c>
      <c r="G2063" s="5" t="s">
        <v>69</v>
      </c>
      <c r="H2063" s="5" t="s">
        <v>80</v>
      </c>
      <c r="I2063" s="5" t="s">
        <v>81</v>
      </c>
      <c r="J2063" s="5" t="s">
        <v>41</v>
      </c>
      <c r="K2063">
        <v>21</v>
      </c>
      <c r="L2063">
        <v>547738</v>
      </c>
      <c r="M2063" s="26">
        <v>11502498</v>
      </c>
      <c r="N2063">
        <v>40700</v>
      </c>
      <c r="O2063" s="26">
        <v>1199862.01</v>
      </c>
      <c r="P2063" s="5" t="s">
        <v>50</v>
      </c>
      <c r="Q2063" s="5" t="s">
        <v>43</v>
      </c>
      <c r="R2063">
        <v>5</v>
      </c>
      <c r="S2063">
        <v>13</v>
      </c>
      <c r="T2063">
        <f t="shared" si="32"/>
        <v>0</v>
      </c>
    </row>
    <row r="2064" spans="1:20">
      <c r="A2064" s="4">
        <v>45470</v>
      </c>
      <c r="B2064">
        <v>2024</v>
      </c>
      <c r="C2064">
        <v>6</v>
      </c>
      <c r="D2064" s="5" t="s">
        <v>54</v>
      </c>
      <c r="E2064" s="5" t="s">
        <v>70</v>
      </c>
      <c r="F2064" s="5" t="s">
        <v>71</v>
      </c>
      <c r="G2064" s="5" t="s">
        <v>72</v>
      </c>
      <c r="H2064" s="5" t="s">
        <v>52</v>
      </c>
      <c r="I2064" s="5" t="s">
        <v>53</v>
      </c>
      <c r="J2064" s="5" t="s">
        <v>41</v>
      </c>
      <c r="K2064">
        <v>14</v>
      </c>
      <c r="L2064">
        <v>939683</v>
      </c>
      <c r="M2064" s="26">
        <v>13155562</v>
      </c>
      <c r="N2064">
        <v>49452</v>
      </c>
      <c r="O2064" s="26">
        <v>1061838.73</v>
      </c>
      <c r="P2064" s="5" t="s">
        <v>42</v>
      </c>
      <c r="Q2064" s="5" t="s">
        <v>51</v>
      </c>
      <c r="R2064">
        <v>4.8</v>
      </c>
      <c r="S2064">
        <v>6</v>
      </c>
      <c r="T2064">
        <f t="shared" si="32"/>
        <v>1</v>
      </c>
    </row>
    <row r="2065" spans="1:20">
      <c r="A2065" s="4">
        <v>45446</v>
      </c>
      <c r="B2065">
        <v>2024</v>
      </c>
      <c r="C2065">
        <v>6</v>
      </c>
      <c r="D2065" s="5" t="s">
        <v>35</v>
      </c>
      <c r="E2065" s="5" t="s">
        <v>76</v>
      </c>
      <c r="F2065" s="5" t="s">
        <v>77</v>
      </c>
      <c r="G2065" s="5" t="s">
        <v>78</v>
      </c>
      <c r="H2065" s="5" t="s">
        <v>74</v>
      </c>
      <c r="I2065" s="5" t="s">
        <v>40</v>
      </c>
      <c r="J2065" s="5" t="s">
        <v>49</v>
      </c>
      <c r="K2065">
        <v>47</v>
      </c>
      <c r="L2065">
        <v>632917</v>
      </c>
      <c r="M2065" s="26">
        <v>29747099</v>
      </c>
      <c r="N2065">
        <v>12723</v>
      </c>
      <c r="O2065" s="26">
        <v>4386714</v>
      </c>
      <c r="P2065" s="5" t="s">
        <v>50</v>
      </c>
      <c r="Q2065" s="5" t="s">
        <v>51</v>
      </c>
      <c r="R2065">
        <v>4.9000000000000004</v>
      </c>
      <c r="S2065">
        <v>2</v>
      </c>
      <c r="T2065">
        <f t="shared" si="32"/>
        <v>0</v>
      </c>
    </row>
    <row r="2066" spans="1:20">
      <c r="A2066" s="4">
        <v>45460</v>
      </c>
      <c r="B2066">
        <v>2024</v>
      </c>
      <c r="C2066">
        <v>6</v>
      </c>
      <c r="D2066" s="5" t="s">
        <v>44</v>
      </c>
      <c r="E2066" s="5" t="s">
        <v>45</v>
      </c>
      <c r="F2066" s="5" t="s">
        <v>46</v>
      </c>
      <c r="G2066" s="5" t="s">
        <v>47</v>
      </c>
      <c r="H2066" s="5" t="s">
        <v>39</v>
      </c>
      <c r="I2066" s="5" t="s">
        <v>40</v>
      </c>
      <c r="J2066" s="5" t="s">
        <v>41</v>
      </c>
      <c r="K2066">
        <v>56</v>
      </c>
      <c r="L2066">
        <v>586110</v>
      </c>
      <c r="M2066" s="26">
        <v>32822160</v>
      </c>
      <c r="N2066">
        <v>6443</v>
      </c>
      <c r="O2066" s="26">
        <v>4929679.51</v>
      </c>
      <c r="P2066" s="5" t="s">
        <v>42</v>
      </c>
      <c r="Q2066" s="5" t="s">
        <v>75</v>
      </c>
      <c r="R2066">
        <v>5</v>
      </c>
      <c r="S2066">
        <v>12</v>
      </c>
      <c r="T2066">
        <f t="shared" si="32"/>
        <v>1</v>
      </c>
    </row>
    <row r="2067" spans="1:20">
      <c r="A2067" s="4">
        <v>45452</v>
      </c>
      <c r="B2067">
        <v>2024</v>
      </c>
      <c r="C2067">
        <v>6</v>
      </c>
      <c r="D2067" s="5" t="s">
        <v>35</v>
      </c>
      <c r="E2067" s="5" t="s">
        <v>36</v>
      </c>
      <c r="F2067" s="5" t="s">
        <v>37</v>
      </c>
      <c r="G2067" s="5" t="s">
        <v>38</v>
      </c>
      <c r="H2067" s="5" t="s">
        <v>80</v>
      </c>
      <c r="I2067" s="5" t="s">
        <v>81</v>
      </c>
      <c r="J2067" s="5" t="s">
        <v>41</v>
      </c>
      <c r="K2067">
        <v>34</v>
      </c>
      <c r="L2067">
        <v>536337</v>
      </c>
      <c r="M2067" s="26">
        <v>18235458</v>
      </c>
      <c r="N2067">
        <v>24192</v>
      </c>
      <c r="O2067" s="26">
        <v>1487756.37</v>
      </c>
      <c r="P2067" s="5" t="s">
        <v>42</v>
      </c>
      <c r="Q2067" s="5" t="s">
        <v>75</v>
      </c>
      <c r="R2067">
        <v>3.8</v>
      </c>
      <c r="S2067">
        <v>19</v>
      </c>
      <c r="T2067">
        <f t="shared" si="32"/>
        <v>1</v>
      </c>
    </row>
    <row r="2068" spans="1:20">
      <c r="A2068" s="4">
        <v>45465</v>
      </c>
      <c r="B2068">
        <v>2024</v>
      </c>
      <c r="C2068">
        <v>6</v>
      </c>
      <c r="D2068" s="5" t="s">
        <v>54</v>
      </c>
      <c r="E2068" s="5" t="s">
        <v>70</v>
      </c>
      <c r="F2068" s="5" t="s">
        <v>71</v>
      </c>
      <c r="G2068" s="5" t="s">
        <v>72</v>
      </c>
      <c r="H2068" s="5" t="s">
        <v>39</v>
      </c>
      <c r="I2068" s="5" t="s">
        <v>40</v>
      </c>
      <c r="J2068" s="5" t="s">
        <v>41</v>
      </c>
      <c r="K2068">
        <v>44</v>
      </c>
      <c r="L2068">
        <v>592847</v>
      </c>
      <c r="M2068" s="26">
        <v>26085268</v>
      </c>
      <c r="N2068">
        <v>31943</v>
      </c>
      <c r="O2068" s="26">
        <v>3968952.13</v>
      </c>
      <c r="P2068" s="5" t="s">
        <v>50</v>
      </c>
      <c r="Q2068" s="5" t="s">
        <v>43</v>
      </c>
      <c r="R2068">
        <v>3.8</v>
      </c>
      <c r="S2068">
        <v>4</v>
      </c>
      <c r="T2068">
        <f t="shared" si="32"/>
        <v>0</v>
      </c>
    </row>
    <row r="2069" spans="1:20">
      <c r="A2069" s="4">
        <v>45451</v>
      </c>
      <c r="B2069">
        <v>2024</v>
      </c>
      <c r="C2069">
        <v>6</v>
      </c>
      <c r="D2069" s="5" t="s">
        <v>54</v>
      </c>
      <c r="E2069" s="5" t="s">
        <v>70</v>
      </c>
      <c r="F2069" s="5" t="s">
        <v>71</v>
      </c>
      <c r="G2069" s="5" t="s">
        <v>72</v>
      </c>
      <c r="H2069" s="5" t="s">
        <v>85</v>
      </c>
      <c r="I2069" s="5" t="s">
        <v>58</v>
      </c>
      <c r="J2069" s="5" t="s">
        <v>49</v>
      </c>
      <c r="K2069">
        <v>8</v>
      </c>
      <c r="L2069">
        <v>990648</v>
      </c>
      <c r="M2069" s="26">
        <v>7925184</v>
      </c>
      <c r="N2069">
        <v>14537</v>
      </c>
      <c r="O2069" s="26">
        <v>1062861.52</v>
      </c>
      <c r="P2069" s="5" t="s">
        <v>50</v>
      </c>
      <c r="Q2069" s="5" t="s">
        <v>43</v>
      </c>
      <c r="R2069">
        <v>4.4000000000000004</v>
      </c>
      <c r="S2069">
        <v>20</v>
      </c>
      <c r="T2069">
        <f t="shared" si="32"/>
        <v>0</v>
      </c>
    </row>
    <row r="2070" spans="1:20">
      <c r="A2070" s="4">
        <v>45468</v>
      </c>
      <c r="B2070">
        <v>2024</v>
      </c>
      <c r="C2070">
        <v>6</v>
      </c>
      <c r="D2070" s="5" t="s">
        <v>35</v>
      </c>
      <c r="E2070" s="5" t="s">
        <v>60</v>
      </c>
      <c r="F2070" s="5" t="s">
        <v>61</v>
      </c>
      <c r="G2070" s="5" t="s">
        <v>62</v>
      </c>
      <c r="H2070" s="5" t="s">
        <v>65</v>
      </c>
      <c r="I2070" s="5" t="s">
        <v>53</v>
      </c>
      <c r="J2070" s="5" t="s">
        <v>49</v>
      </c>
      <c r="K2070">
        <v>32</v>
      </c>
      <c r="L2070">
        <v>1279390</v>
      </c>
      <c r="M2070" s="26">
        <v>40940480</v>
      </c>
      <c r="N2070">
        <v>19776</v>
      </c>
      <c r="O2070" s="26">
        <v>4201770.2</v>
      </c>
      <c r="P2070" s="5" t="s">
        <v>50</v>
      </c>
      <c r="Q2070" s="5" t="s">
        <v>43</v>
      </c>
      <c r="R2070">
        <v>4.4000000000000004</v>
      </c>
      <c r="S2070">
        <v>4</v>
      </c>
      <c r="T2070">
        <f t="shared" si="32"/>
        <v>0</v>
      </c>
    </row>
    <row r="2071" spans="1:20">
      <c r="A2071" s="4">
        <v>45454</v>
      </c>
      <c r="B2071">
        <v>2024</v>
      </c>
      <c r="C2071">
        <v>6</v>
      </c>
      <c r="D2071" s="5" t="s">
        <v>35</v>
      </c>
      <c r="E2071" s="5" t="s">
        <v>76</v>
      </c>
      <c r="F2071" s="5" t="s">
        <v>77</v>
      </c>
      <c r="G2071" s="5" t="s">
        <v>78</v>
      </c>
      <c r="H2071" s="5" t="s">
        <v>79</v>
      </c>
      <c r="I2071" s="5" t="s">
        <v>58</v>
      </c>
      <c r="J2071" s="5" t="s">
        <v>49</v>
      </c>
      <c r="K2071">
        <v>45</v>
      </c>
      <c r="L2071">
        <v>886864</v>
      </c>
      <c r="M2071" s="26">
        <v>39908880</v>
      </c>
      <c r="N2071">
        <v>11821</v>
      </c>
      <c r="O2071" s="26">
        <v>5384890.3899999997</v>
      </c>
      <c r="P2071" s="5" t="s">
        <v>42</v>
      </c>
      <c r="Q2071" s="5" t="s">
        <v>75</v>
      </c>
      <c r="R2071">
        <v>3.8</v>
      </c>
      <c r="S2071">
        <v>20</v>
      </c>
      <c r="T2071">
        <f t="shared" si="32"/>
        <v>1</v>
      </c>
    </row>
    <row r="2072" spans="1:20">
      <c r="A2072" s="4">
        <v>45455</v>
      </c>
      <c r="B2072">
        <v>2024</v>
      </c>
      <c r="C2072">
        <v>6</v>
      </c>
      <c r="D2072" s="5" t="s">
        <v>54</v>
      </c>
      <c r="E2072" s="5" t="s">
        <v>55</v>
      </c>
      <c r="F2072" s="5" t="s">
        <v>55</v>
      </c>
      <c r="G2072" s="5" t="s">
        <v>56</v>
      </c>
      <c r="H2072" s="5" t="s">
        <v>73</v>
      </c>
      <c r="I2072" s="5" t="s">
        <v>40</v>
      </c>
      <c r="J2072" s="5" t="s">
        <v>49</v>
      </c>
      <c r="K2072">
        <v>18</v>
      </c>
      <c r="L2072">
        <v>707901</v>
      </c>
      <c r="M2072" s="26">
        <v>12742218</v>
      </c>
      <c r="N2072">
        <v>26324</v>
      </c>
      <c r="O2072" s="26">
        <v>1735148.53</v>
      </c>
      <c r="P2072" s="5" t="s">
        <v>42</v>
      </c>
      <c r="Q2072" s="5" t="s">
        <v>75</v>
      </c>
      <c r="R2072">
        <v>3.5</v>
      </c>
      <c r="S2072">
        <v>12</v>
      </c>
      <c r="T2072">
        <f t="shared" si="32"/>
        <v>1</v>
      </c>
    </row>
    <row r="2073" spans="1:20">
      <c r="A2073" s="4">
        <v>45452</v>
      </c>
      <c r="B2073">
        <v>2024</v>
      </c>
      <c r="C2073">
        <v>6</v>
      </c>
      <c r="D2073" s="5" t="s">
        <v>44</v>
      </c>
      <c r="E2073" s="5" t="s">
        <v>45</v>
      </c>
      <c r="F2073" s="5" t="s">
        <v>46</v>
      </c>
      <c r="G2073" s="5" t="s">
        <v>47</v>
      </c>
      <c r="H2073" s="5" t="s">
        <v>80</v>
      </c>
      <c r="I2073" s="5" t="s">
        <v>81</v>
      </c>
      <c r="J2073" s="5" t="s">
        <v>41</v>
      </c>
      <c r="K2073">
        <v>8</v>
      </c>
      <c r="L2073">
        <v>562455</v>
      </c>
      <c r="M2073" s="26">
        <v>4499640</v>
      </c>
      <c r="N2073">
        <v>15293</v>
      </c>
      <c r="O2073" s="26">
        <v>494552.49</v>
      </c>
      <c r="P2073" s="5" t="s">
        <v>42</v>
      </c>
      <c r="Q2073" s="5" t="s">
        <v>51</v>
      </c>
      <c r="R2073">
        <v>4.8</v>
      </c>
      <c r="S2073">
        <v>20</v>
      </c>
      <c r="T2073">
        <f t="shared" si="32"/>
        <v>1</v>
      </c>
    </row>
    <row r="2074" spans="1:20">
      <c r="A2074" s="4">
        <v>45458</v>
      </c>
      <c r="B2074">
        <v>2024</v>
      </c>
      <c r="C2074">
        <v>6</v>
      </c>
      <c r="D2074" s="5" t="s">
        <v>44</v>
      </c>
      <c r="E2074" s="5" t="s">
        <v>82</v>
      </c>
      <c r="F2074" s="5" t="s">
        <v>83</v>
      </c>
      <c r="G2074" s="5" t="s">
        <v>84</v>
      </c>
      <c r="H2074" s="5" t="s">
        <v>39</v>
      </c>
      <c r="I2074" s="5" t="s">
        <v>40</v>
      </c>
      <c r="J2074" s="5" t="s">
        <v>41</v>
      </c>
      <c r="K2074">
        <v>16</v>
      </c>
      <c r="L2074">
        <v>594991</v>
      </c>
      <c r="M2074" s="26">
        <v>9519856</v>
      </c>
      <c r="N2074">
        <v>40617</v>
      </c>
      <c r="O2074" s="26">
        <v>1248155.78</v>
      </c>
      <c r="P2074" s="5" t="s">
        <v>50</v>
      </c>
      <c r="Q2074" s="5" t="s">
        <v>51</v>
      </c>
      <c r="R2074">
        <v>4.2</v>
      </c>
      <c r="S2074">
        <v>11</v>
      </c>
      <c r="T2074">
        <f t="shared" si="32"/>
        <v>0</v>
      </c>
    </row>
    <row r="2075" spans="1:20">
      <c r="A2075" s="4">
        <v>45454</v>
      </c>
      <c r="B2075">
        <v>2024</v>
      </c>
      <c r="C2075">
        <v>6</v>
      </c>
      <c r="D2075" s="5" t="s">
        <v>35</v>
      </c>
      <c r="E2075" s="5" t="s">
        <v>76</v>
      </c>
      <c r="F2075" s="5" t="s">
        <v>77</v>
      </c>
      <c r="G2075" s="5" t="s">
        <v>78</v>
      </c>
      <c r="H2075" s="5" t="s">
        <v>57</v>
      </c>
      <c r="I2075" s="5" t="s">
        <v>58</v>
      </c>
      <c r="J2075" s="5" t="s">
        <v>59</v>
      </c>
      <c r="K2075">
        <v>52</v>
      </c>
      <c r="L2075">
        <v>1378425</v>
      </c>
      <c r="M2075" s="26">
        <v>71678100</v>
      </c>
      <c r="N2075">
        <v>11212</v>
      </c>
      <c r="O2075" s="26">
        <v>10792225.98</v>
      </c>
      <c r="P2075" s="5" t="s">
        <v>42</v>
      </c>
      <c r="Q2075" s="5" t="s">
        <v>75</v>
      </c>
      <c r="R2075">
        <v>4.2</v>
      </c>
      <c r="S2075">
        <v>19</v>
      </c>
      <c r="T2075">
        <f t="shared" si="32"/>
        <v>1</v>
      </c>
    </row>
    <row r="2076" spans="1:20">
      <c r="A2076" s="4">
        <v>45471</v>
      </c>
      <c r="B2076">
        <v>2024</v>
      </c>
      <c r="C2076">
        <v>6</v>
      </c>
      <c r="D2076" s="5" t="s">
        <v>35</v>
      </c>
      <c r="E2076" s="5" t="s">
        <v>76</v>
      </c>
      <c r="F2076" s="5" t="s">
        <v>77</v>
      </c>
      <c r="G2076" s="5" t="s">
        <v>78</v>
      </c>
      <c r="H2076" s="5" t="s">
        <v>39</v>
      </c>
      <c r="I2076" s="5" t="s">
        <v>40</v>
      </c>
      <c r="J2076" s="5" t="s">
        <v>41</v>
      </c>
      <c r="K2076">
        <v>19</v>
      </c>
      <c r="L2076">
        <v>596106</v>
      </c>
      <c r="M2076" s="26">
        <v>11326014</v>
      </c>
      <c r="N2076">
        <v>31025</v>
      </c>
      <c r="O2076" s="26">
        <v>1059622.3600000001</v>
      </c>
      <c r="P2076" s="5" t="s">
        <v>42</v>
      </c>
      <c r="Q2076" s="5" t="s">
        <v>43</v>
      </c>
      <c r="R2076">
        <v>4.5999999999999996</v>
      </c>
      <c r="S2076">
        <v>7</v>
      </c>
      <c r="T2076">
        <f t="shared" si="32"/>
        <v>1</v>
      </c>
    </row>
    <row r="2077" spans="1:20">
      <c r="A2077" s="4">
        <v>45454</v>
      </c>
      <c r="B2077">
        <v>2024</v>
      </c>
      <c r="C2077">
        <v>6</v>
      </c>
      <c r="D2077" s="5" t="s">
        <v>35</v>
      </c>
      <c r="E2077" s="5" t="s">
        <v>76</v>
      </c>
      <c r="F2077" s="5" t="s">
        <v>77</v>
      </c>
      <c r="G2077" s="5" t="s">
        <v>78</v>
      </c>
      <c r="H2077" s="5" t="s">
        <v>79</v>
      </c>
      <c r="I2077" s="5" t="s">
        <v>58</v>
      </c>
      <c r="J2077" s="5" t="s">
        <v>49</v>
      </c>
      <c r="K2077">
        <v>6</v>
      </c>
      <c r="L2077">
        <v>902992</v>
      </c>
      <c r="M2077" s="26">
        <v>5417952</v>
      </c>
      <c r="N2077">
        <v>17979</v>
      </c>
      <c r="O2077" s="26">
        <v>801844.35</v>
      </c>
      <c r="P2077" s="5" t="s">
        <v>50</v>
      </c>
      <c r="Q2077" s="5" t="s">
        <v>43</v>
      </c>
      <c r="R2077">
        <v>4.0999999999999996</v>
      </c>
      <c r="S2077">
        <v>8</v>
      </c>
      <c r="T2077">
        <f t="shared" si="32"/>
        <v>0</v>
      </c>
    </row>
    <row r="2078" spans="1:20">
      <c r="A2078" s="4">
        <v>45453</v>
      </c>
      <c r="B2078">
        <v>2024</v>
      </c>
      <c r="C2078">
        <v>6</v>
      </c>
      <c r="D2078" s="5" t="s">
        <v>54</v>
      </c>
      <c r="E2078" s="5" t="s">
        <v>70</v>
      </c>
      <c r="F2078" s="5" t="s">
        <v>71</v>
      </c>
      <c r="G2078" s="5" t="s">
        <v>72</v>
      </c>
      <c r="H2078" s="5" t="s">
        <v>39</v>
      </c>
      <c r="I2078" s="5" t="s">
        <v>40</v>
      </c>
      <c r="J2078" s="5" t="s">
        <v>41</v>
      </c>
      <c r="K2078">
        <v>55</v>
      </c>
      <c r="L2078">
        <v>602984</v>
      </c>
      <c r="M2078" s="26">
        <v>33164120</v>
      </c>
      <c r="N2078">
        <v>21727</v>
      </c>
      <c r="O2078" s="26">
        <v>3220650.05</v>
      </c>
      <c r="P2078" s="5" t="s">
        <v>50</v>
      </c>
      <c r="Q2078" s="5" t="s">
        <v>51</v>
      </c>
      <c r="R2078">
        <v>4.9000000000000004</v>
      </c>
      <c r="S2078">
        <v>2</v>
      </c>
      <c r="T2078">
        <f t="shared" si="32"/>
        <v>0</v>
      </c>
    </row>
    <row r="2079" spans="1:20">
      <c r="A2079" s="4">
        <v>45445</v>
      </c>
      <c r="B2079">
        <v>2024</v>
      </c>
      <c r="C2079">
        <v>6</v>
      </c>
      <c r="D2079" s="5" t="s">
        <v>35</v>
      </c>
      <c r="E2079" s="5" t="s">
        <v>60</v>
      </c>
      <c r="F2079" s="5" t="s">
        <v>61</v>
      </c>
      <c r="G2079" s="5" t="s">
        <v>62</v>
      </c>
      <c r="H2079" s="5" t="s">
        <v>63</v>
      </c>
      <c r="I2079" s="5" t="s">
        <v>64</v>
      </c>
      <c r="J2079" s="5" t="s">
        <v>41</v>
      </c>
      <c r="K2079">
        <v>32</v>
      </c>
      <c r="L2079">
        <v>740491</v>
      </c>
      <c r="M2079" s="26">
        <v>23695712</v>
      </c>
      <c r="N2079">
        <v>19465</v>
      </c>
      <c r="O2079" s="26">
        <v>3715873.45</v>
      </c>
      <c r="P2079" s="5" t="s">
        <v>50</v>
      </c>
      <c r="Q2079" s="5" t="s">
        <v>43</v>
      </c>
      <c r="R2079">
        <v>4.9000000000000004</v>
      </c>
      <c r="S2079">
        <v>9</v>
      </c>
      <c r="T2079">
        <f t="shared" si="32"/>
        <v>0</v>
      </c>
    </row>
    <row r="2080" spans="1:20">
      <c r="A2080" s="4">
        <v>45446</v>
      </c>
      <c r="B2080">
        <v>2024</v>
      </c>
      <c r="C2080">
        <v>6</v>
      </c>
      <c r="D2080" s="5" t="s">
        <v>44</v>
      </c>
      <c r="E2080" s="5" t="s">
        <v>82</v>
      </c>
      <c r="F2080" s="5" t="s">
        <v>83</v>
      </c>
      <c r="G2080" s="5" t="s">
        <v>84</v>
      </c>
      <c r="H2080" s="5" t="s">
        <v>86</v>
      </c>
      <c r="I2080" s="5" t="s">
        <v>40</v>
      </c>
      <c r="J2080" s="5" t="s">
        <v>41</v>
      </c>
      <c r="K2080">
        <v>53</v>
      </c>
      <c r="L2080">
        <v>579234</v>
      </c>
      <c r="M2080" s="26">
        <v>30699402</v>
      </c>
      <c r="N2080">
        <v>38117</v>
      </c>
      <c r="O2080" s="26">
        <v>4322252.1100000003</v>
      </c>
      <c r="P2080" s="5" t="s">
        <v>42</v>
      </c>
      <c r="Q2080" s="5" t="s">
        <v>75</v>
      </c>
      <c r="R2080">
        <v>4.7</v>
      </c>
      <c r="S2080">
        <v>12</v>
      </c>
      <c r="T2080">
        <f t="shared" si="32"/>
        <v>1</v>
      </c>
    </row>
    <row r="2081" spans="1:20">
      <c r="A2081" s="4">
        <v>45461</v>
      </c>
      <c r="B2081">
        <v>2024</v>
      </c>
      <c r="C2081">
        <v>6</v>
      </c>
      <c r="D2081" s="5" t="s">
        <v>54</v>
      </c>
      <c r="E2081" s="5" t="s">
        <v>55</v>
      </c>
      <c r="F2081" s="5" t="s">
        <v>55</v>
      </c>
      <c r="G2081" s="5" t="s">
        <v>56</v>
      </c>
      <c r="H2081" s="5" t="s">
        <v>79</v>
      </c>
      <c r="I2081" s="5" t="s">
        <v>58</v>
      </c>
      <c r="J2081" s="5" t="s">
        <v>49</v>
      </c>
      <c r="K2081">
        <v>53</v>
      </c>
      <c r="L2081">
        <v>922625</v>
      </c>
      <c r="M2081" s="26">
        <v>48899125</v>
      </c>
      <c r="N2081">
        <v>16738</v>
      </c>
      <c r="O2081" s="26">
        <v>6970024.3799999999</v>
      </c>
      <c r="P2081" s="5" t="s">
        <v>42</v>
      </c>
      <c r="Q2081" s="5" t="s">
        <v>43</v>
      </c>
      <c r="R2081">
        <v>3.6</v>
      </c>
      <c r="S2081">
        <v>18</v>
      </c>
      <c r="T2081">
        <f t="shared" si="32"/>
        <v>1</v>
      </c>
    </row>
    <row r="2082" spans="1:20">
      <c r="A2082" s="4">
        <v>45450</v>
      </c>
      <c r="B2082">
        <v>2024</v>
      </c>
      <c r="C2082">
        <v>6</v>
      </c>
      <c r="D2082" s="5" t="s">
        <v>35</v>
      </c>
      <c r="E2082" s="5" t="s">
        <v>76</v>
      </c>
      <c r="F2082" s="5" t="s">
        <v>77</v>
      </c>
      <c r="G2082" s="5" t="s">
        <v>78</v>
      </c>
      <c r="H2082" s="5" t="s">
        <v>57</v>
      </c>
      <c r="I2082" s="5" t="s">
        <v>58</v>
      </c>
      <c r="J2082" s="5" t="s">
        <v>59</v>
      </c>
      <c r="K2082">
        <v>18</v>
      </c>
      <c r="L2082">
        <v>1409863</v>
      </c>
      <c r="M2082" s="26">
        <v>25377534</v>
      </c>
      <c r="N2082">
        <v>45851</v>
      </c>
      <c r="O2082" s="26">
        <v>2447421.64</v>
      </c>
      <c r="P2082" s="5" t="s">
        <v>50</v>
      </c>
      <c r="Q2082" s="5" t="s">
        <v>75</v>
      </c>
      <c r="R2082">
        <v>4.2</v>
      </c>
      <c r="S2082">
        <v>5</v>
      </c>
      <c r="T2082">
        <f t="shared" si="32"/>
        <v>0</v>
      </c>
    </row>
    <row r="2083" spans="1:20">
      <c r="A2083" s="4">
        <v>45450</v>
      </c>
      <c r="B2083">
        <v>2024</v>
      </c>
      <c r="C2083">
        <v>6</v>
      </c>
      <c r="D2083" s="5" t="s">
        <v>54</v>
      </c>
      <c r="E2083" s="5" t="s">
        <v>70</v>
      </c>
      <c r="F2083" s="5" t="s">
        <v>71</v>
      </c>
      <c r="G2083" s="5" t="s">
        <v>72</v>
      </c>
      <c r="H2083" s="5" t="s">
        <v>65</v>
      </c>
      <c r="I2083" s="5" t="s">
        <v>53</v>
      </c>
      <c r="J2083" s="5" t="s">
        <v>49</v>
      </c>
      <c r="K2083">
        <v>26</v>
      </c>
      <c r="L2083">
        <v>1262759</v>
      </c>
      <c r="M2083" s="26">
        <v>32831734</v>
      </c>
      <c r="N2083">
        <v>47293</v>
      </c>
      <c r="O2083" s="26">
        <v>5150890.72</v>
      </c>
      <c r="P2083" s="5" t="s">
        <v>42</v>
      </c>
      <c r="Q2083" s="5" t="s">
        <v>51</v>
      </c>
      <c r="R2083">
        <v>3.6</v>
      </c>
      <c r="S2083">
        <v>3</v>
      </c>
      <c r="T2083">
        <f t="shared" si="32"/>
        <v>1</v>
      </c>
    </row>
    <row r="2084" spans="1:20">
      <c r="A2084" s="4">
        <v>45455</v>
      </c>
      <c r="B2084">
        <v>2024</v>
      </c>
      <c r="C2084">
        <v>6</v>
      </c>
      <c r="D2084" s="5" t="s">
        <v>54</v>
      </c>
      <c r="E2084" s="5" t="s">
        <v>55</v>
      </c>
      <c r="F2084" s="5" t="s">
        <v>55</v>
      </c>
      <c r="G2084" s="5" t="s">
        <v>56</v>
      </c>
      <c r="H2084" s="5" t="s">
        <v>85</v>
      </c>
      <c r="I2084" s="5" t="s">
        <v>58</v>
      </c>
      <c r="J2084" s="5" t="s">
        <v>49</v>
      </c>
      <c r="K2084">
        <v>58</v>
      </c>
      <c r="L2084">
        <v>954172</v>
      </c>
      <c r="M2084" s="26">
        <v>55341976</v>
      </c>
      <c r="N2084">
        <v>12532</v>
      </c>
      <c r="O2084" s="26">
        <v>4667396.82</v>
      </c>
      <c r="P2084" s="5" t="s">
        <v>50</v>
      </c>
      <c r="Q2084" s="5" t="s">
        <v>75</v>
      </c>
      <c r="R2084">
        <v>4.9000000000000004</v>
      </c>
      <c r="S2084">
        <v>16</v>
      </c>
      <c r="T2084">
        <f t="shared" si="32"/>
        <v>0</v>
      </c>
    </row>
    <row r="2085" spans="1:20">
      <c r="A2085" s="4">
        <v>45455</v>
      </c>
      <c r="B2085">
        <v>2024</v>
      </c>
      <c r="C2085">
        <v>6</v>
      </c>
      <c r="D2085" s="5" t="s">
        <v>54</v>
      </c>
      <c r="E2085" s="5" t="s">
        <v>55</v>
      </c>
      <c r="F2085" s="5" t="s">
        <v>55</v>
      </c>
      <c r="G2085" s="5" t="s">
        <v>56</v>
      </c>
      <c r="H2085" s="5" t="s">
        <v>85</v>
      </c>
      <c r="I2085" s="5" t="s">
        <v>58</v>
      </c>
      <c r="J2085" s="5" t="s">
        <v>49</v>
      </c>
      <c r="K2085">
        <v>9</v>
      </c>
      <c r="L2085">
        <v>1000482</v>
      </c>
      <c r="M2085" s="26">
        <v>9004338</v>
      </c>
      <c r="N2085">
        <v>18743</v>
      </c>
      <c r="O2085" s="26">
        <v>1415849.62</v>
      </c>
      <c r="P2085" s="5" t="s">
        <v>50</v>
      </c>
      <c r="Q2085" s="5" t="s">
        <v>75</v>
      </c>
      <c r="R2085">
        <v>3.7</v>
      </c>
      <c r="S2085">
        <v>18</v>
      </c>
      <c r="T2085">
        <f t="shared" si="32"/>
        <v>0</v>
      </c>
    </row>
    <row r="2086" spans="1:20">
      <c r="A2086" s="4">
        <v>45449</v>
      </c>
      <c r="B2086">
        <v>2024</v>
      </c>
      <c r="C2086">
        <v>6</v>
      </c>
      <c r="D2086" s="5" t="s">
        <v>44</v>
      </c>
      <c r="E2086" s="5" t="s">
        <v>82</v>
      </c>
      <c r="F2086" s="5" t="s">
        <v>83</v>
      </c>
      <c r="G2086" s="5" t="s">
        <v>84</v>
      </c>
      <c r="H2086" s="5" t="s">
        <v>74</v>
      </c>
      <c r="I2086" s="5" t="s">
        <v>40</v>
      </c>
      <c r="J2086" s="5" t="s">
        <v>49</v>
      </c>
      <c r="K2086">
        <v>58</v>
      </c>
      <c r="L2086">
        <v>647986</v>
      </c>
      <c r="M2086" s="26">
        <v>37583188</v>
      </c>
      <c r="N2086">
        <v>38688</v>
      </c>
      <c r="O2086" s="26">
        <v>3614353.96</v>
      </c>
      <c r="P2086" s="5" t="s">
        <v>50</v>
      </c>
      <c r="Q2086" s="5" t="s">
        <v>75</v>
      </c>
      <c r="R2086">
        <v>4.4000000000000004</v>
      </c>
      <c r="S2086">
        <v>12</v>
      </c>
      <c r="T2086">
        <f t="shared" si="32"/>
        <v>0</v>
      </c>
    </row>
    <row r="2087" spans="1:20">
      <c r="A2087" s="4">
        <v>45457</v>
      </c>
      <c r="B2087">
        <v>2024</v>
      </c>
      <c r="C2087">
        <v>6</v>
      </c>
      <c r="D2087" s="5" t="s">
        <v>35</v>
      </c>
      <c r="E2087" s="5" t="s">
        <v>76</v>
      </c>
      <c r="F2087" s="5" t="s">
        <v>77</v>
      </c>
      <c r="G2087" s="5" t="s">
        <v>78</v>
      </c>
      <c r="H2087" s="5" t="s">
        <v>80</v>
      </c>
      <c r="I2087" s="5" t="s">
        <v>81</v>
      </c>
      <c r="J2087" s="5" t="s">
        <v>41</v>
      </c>
      <c r="K2087">
        <v>57</v>
      </c>
      <c r="L2087">
        <v>562975</v>
      </c>
      <c r="M2087" s="26">
        <v>32089575</v>
      </c>
      <c r="N2087">
        <v>45691</v>
      </c>
      <c r="O2087" s="26">
        <v>4993475.1900000004</v>
      </c>
      <c r="P2087" s="5" t="s">
        <v>50</v>
      </c>
      <c r="Q2087" s="5" t="s">
        <v>43</v>
      </c>
      <c r="R2087">
        <v>4.4000000000000004</v>
      </c>
      <c r="S2087">
        <v>2</v>
      </c>
      <c r="T2087">
        <f t="shared" si="32"/>
        <v>0</v>
      </c>
    </row>
    <row r="2088" spans="1:20">
      <c r="A2088" s="4">
        <v>45471</v>
      </c>
      <c r="B2088">
        <v>2024</v>
      </c>
      <c r="C2088">
        <v>6</v>
      </c>
      <c r="D2088" s="5" t="s">
        <v>35</v>
      </c>
      <c r="E2088" s="5" t="s">
        <v>76</v>
      </c>
      <c r="F2088" s="5" t="s">
        <v>77</v>
      </c>
      <c r="G2088" s="5" t="s">
        <v>78</v>
      </c>
      <c r="H2088" s="5" t="s">
        <v>74</v>
      </c>
      <c r="I2088" s="5" t="s">
        <v>40</v>
      </c>
      <c r="J2088" s="5" t="s">
        <v>49</v>
      </c>
      <c r="K2088">
        <v>24</v>
      </c>
      <c r="L2088">
        <v>659977</v>
      </c>
      <c r="M2088" s="26">
        <v>15839448</v>
      </c>
      <c r="N2088">
        <v>16956</v>
      </c>
      <c r="O2088" s="26">
        <v>2159306.09</v>
      </c>
      <c r="P2088" s="5" t="s">
        <v>50</v>
      </c>
      <c r="Q2088" s="5" t="s">
        <v>51</v>
      </c>
      <c r="R2088">
        <v>3.9</v>
      </c>
      <c r="S2088">
        <v>7</v>
      </c>
      <c r="T2088">
        <f t="shared" si="32"/>
        <v>0</v>
      </c>
    </row>
    <row r="2089" spans="1:20">
      <c r="A2089" s="4">
        <v>45446</v>
      </c>
      <c r="B2089">
        <v>2024</v>
      </c>
      <c r="C2089">
        <v>6</v>
      </c>
      <c r="D2089" s="5" t="s">
        <v>35</v>
      </c>
      <c r="E2089" s="5" t="s">
        <v>60</v>
      </c>
      <c r="F2089" s="5" t="s">
        <v>61</v>
      </c>
      <c r="G2089" s="5" t="s">
        <v>62</v>
      </c>
      <c r="H2089" s="5" t="s">
        <v>74</v>
      </c>
      <c r="I2089" s="5" t="s">
        <v>40</v>
      </c>
      <c r="J2089" s="5" t="s">
        <v>49</v>
      </c>
      <c r="K2089">
        <v>17</v>
      </c>
      <c r="L2089">
        <v>645451</v>
      </c>
      <c r="M2089" s="26">
        <v>10972667</v>
      </c>
      <c r="N2089">
        <v>24837</v>
      </c>
      <c r="O2089" s="26">
        <v>1051001.44</v>
      </c>
      <c r="P2089" s="5" t="s">
        <v>42</v>
      </c>
      <c r="Q2089" s="5" t="s">
        <v>51</v>
      </c>
      <c r="R2089">
        <v>4.9000000000000004</v>
      </c>
      <c r="S2089">
        <v>21</v>
      </c>
      <c r="T2089">
        <f t="shared" si="32"/>
        <v>1</v>
      </c>
    </row>
    <row r="2090" spans="1:20">
      <c r="A2090" s="4">
        <v>45446</v>
      </c>
      <c r="B2090">
        <v>2024</v>
      </c>
      <c r="C2090">
        <v>6</v>
      </c>
      <c r="D2090" s="5" t="s">
        <v>54</v>
      </c>
      <c r="E2090" s="5" t="s">
        <v>55</v>
      </c>
      <c r="F2090" s="5" t="s">
        <v>55</v>
      </c>
      <c r="G2090" s="5" t="s">
        <v>56</v>
      </c>
      <c r="H2090" s="5" t="s">
        <v>85</v>
      </c>
      <c r="I2090" s="5" t="s">
        <v>58</v>
      </c>
      <c r="J2090" s="5" t="s">
        <v>49</v>
      </c>
      <c r="K2090">
        <v>26</v>
      </c>
      <c r="L2090">
        <v>958047</v>
      </c>
      <c r="M2090" s="26">
        <v>24909222</v>
      </c>
      <c r="N2090">
        <v>36673</v>
      </c>
      <c r="O2090" s="26">
        <v>2636230.2999999998</v>
      </c>
      <c r="P2090" s="5" t="s">
        <v>42</v>
      </c>
      <c r="Q2090" s="5" t="s">
        <v>43</v>
      </c>
      <c r="R2090">
        <v>4.4000000000000004</v>
      </c>
      <c r="S2090">
        <v>3</v>
      </c>
      <c r="T2090">
        <f t="shared" si="32"/>
        <v>1</v>
      </c>
    </row>
    <row r="2091" spans="1:20">
      <c r="A2091" s="4">
        <v>45466</v>
      </c>
      <c r="B2091">
        <v>2024</v>
      </c>
      <c r="C2091">
        <v>6</v>
      </c>
      <c r="D2091" s="5" t="s">
        <v>54</v>
      </c>
      <c r="E2091" s="5" t="s">
        <v>55</v>
      </c>
      <c r="F2091" s="5" t="s">
        <v>55</v>
      </c>
      <c r="G2091" s="5" t="s">
        <v>56</v>
      </c>
      <c r="H2091" s="5" t="s">
        <v>79</v>
      </c>
      <c r="I2091" s="5" t="s">
        <v>58</v>
      </c>
      <c r="J2091" s="5" t="s">
        <v>49</v>
      </c>
      <c r="K2091">
        <v>21</v>
      </c>
      <c r="L2091">
        <v>900130</v>
      </c>
      <c r="M2091" s="26">
        <v>18902730</v>
      </c>
      <c r="N2091">
        <v>21471</v>
      </c>
      <c r="O2091" s="26">
        <v>1660475.85</v>
      </c>
      <c r="P2091" s="5" t="s">
        <v>50</v>
      </c>
      <c r="Q2091" s="5" t="s">
        <v>51</v>
      </c>
      <c r="R2091">
        <v>4.5999999999999996</v>
      </c>
      <c r="S2091">
        <v>10</v>
      </c>
      <c r="T2091">
        <f t="shared" si="32"/>
        <v>0</v>
      </c>
    </row>
    <row r="2092" spans="1:20">
      <c r="A2092" s="4">
        <v>45449</v>
      </c>
      <c r="B2092">
        <v>2024</v>
      </c>
      <c r="C2092">
        <v>6</v>
      </c>
      <c r="D2092" s="5" t="s">
        <v>66</v>
      </c>
      <c r="E2092" s="5" t="s">
        <v>67</v>
      </c>
      <c r="F2092" s="5" t="s">
        <v>68</v>
      </c>
      <c r="G2092" s="5" t="s">
        <v>69</v>
      </c>
      <c r="H2092" s="5" t="s">
        <v>79</v>
      </c>
      <c r="I2092" s="5" t="s">
        <v>58</v>
      </c>
      <c r="J2092" s="5" t="s">
        <v>49</v>
      </c>
      <c r="K2092">
        <v>44</v>
      </c>
      <c r="L2092">
        <v>914230</v>
      </c>
      <c r="M2092" s="26">
        <v>40226120</v>
      </c>
      <c r="N2092">
        <v>47187</v>
      </c>
      <c r="O2092" s="26">
        <v>4850470.7300000004</v>
      </c>
      <c r="P2092" s="5" t="s">
        <v>42</v>
      </c>
      <c r="Q2092" s="5" t="s">
        <v>75</v>
      </c>
      <c r="R2092">
        <v>4.9000000000000004</v>
      </c>
      <c r="S2092">
        <v>2</v>
      </c>
      <c r="T2092">
        <f t="shared" si="32"/>
        <v>1</v>
      </c>
    </row>
    <row r="2093" spans="1:20">
      <c r="A2093" s="4">
        <v>45447</v>
      </c>
      <c r="B2093">
        <v>2024</v>
      </c>
      <c r="C2093">
        <v>6</v>
      </c>
      <c r="D2093" s="5" t="s">
        <v>35</v>
      </c>
      <c r="E2093" s="5" t="s">
        <v>76</v>
      </c>
      <c r="F2093" s="5" t="s">
        <v>77</v>
      </c>
      <c r="G2093" s="5" t="s">
        <v>78</v>
      </c>
      <c r="H2093" s="5" t="s">
        <v>74</v>
      </c>
      <c r="I2093" s="5" t="s">
        <v>40</v>
      </c>
      <c r="J2093" s="5" t="s">
        <v>49</v>
      </c>
      <c r="K2093">
        <v>54</v>
      </c>
      <c r="L2093">
        <v>637861</v>
      </c>
      <c r="M2093" s="26">
        <v>34444494</v>
      </c>
      <c r="N2093">
        <v>43443</v>
      </c>
      <c r="O2093" s="26">
        <v>3327730.74</v>
      </c>
      <c r="P2093" s="5" t="s">
        <v>42</v>
      </c>
      <c r="Q2093" s="5" t="s">
        <v>43</v>
      </c>
      <c r="R2093">
        <v>4.0999999999999996</v>
      </c>
      <c r="S2093">
        <v>5</v>
      </c>
      <c r="T2093">
        <f t="shared" si="32"/>
        <v>1</v>
      </c>
    </row>
    <row r="2094" spans="1:20">
      <c r="A2094" s="4">
        <v>45444</v>
      </c>
      <c r="B2094">
        <v>2024</v>
      </c>
      <c r="C2094">
        <v>6</v>
      </c>
      <c r="D2094" s="5" t="s">
        <v>35</v>
      </c>
      <c r="E2094" s="5" t="s">
        <v>36</v>
      </c>
      <c r="F2094" s="5" t="s">
        <v>37</v>
      </c>
      <c r="G2094" s="5" t="s">
        <v>38</v>
      </c>
      <c r="H2094" s="5" t="s">
        <v>63</v>
      </c>
      <c r="I2094" s="5" t="s">
        <v>64</v>
      </c>
      <c r="J2094" s="5" t="s">
        <v>41</v>
      </c>
      <c r="K2094">
        <v>6</v>
      </c>
      <c r="L2094">
        <v>732871</v>
      </c>
      <c r="M2094" s="26">
        <v>4397226</v>
      </c>
      <c r="N2094">
        <v>14069</v>
      </c>
      <c r="O2094" s="26">
        <v>654131.09</v>
      </c>
      <c r="P2094" s="5" t="s">
        <v>42</v>
      </c>
      <c r="Q2094" s="5" t="s">
        <v>51</v>
      </c>
      <c r="R2094">
        <v>4</v>
      </c>
      <c r="S2094">
        <v>3</v>
      </c>
      <c r="T2094">
        <f t="shared" si="32"/>
        <v>1</v>
      </c>
    </row>
    <row r="2095" spans="1:20">
      <c r="A2095" s="4">
        <v>45455</v>
      </c>
      <c r="B2095">
        <v>2024</v>
      </c>
      <c r="C2095">
        <v>6</v>
      </c>
      <c r="D2095" s="5" t="s">
        <v>44</v>
      </c>
      <c r="E2095" s="5" t="s">
        <v>82</v>
      </c>
      <c r="F2095" s="5" t="s">
        <v>83</v>
      </c>
      <c r="G2095" s="5" t="s">
        <v>84</v>
      </c>
      <c r="H2095" s="5" t="s">
        <v>74</v>
      </c>
      <c r="I2095" s="5" t="s">
        <v>40</v>
      </c>
      <c r="J2095" s="5" t="s">
        <v>49</v>
      </c>
      <c r="K2095">
        <v>8</v>
      </c>
      <c r="L2095">
        <v>636104</v>
      </c>
      <c r="M2095" s="26">
        <v>5088832</v>
      </c>
      <c r="N2095">
        <v>48466</v>
      </c>
      <c r="O2095" s="26">
        <v>489830.83</v>
      </c>
      <c r="P2095" s="5" t="s">
        <v>42</v>
      </c>
      <c r="Q2095" s="5" t="s">
        <v>51</v>
      </c>
      <c r="R2095">
        <v>3.7</v>
      </c>
      <c r="S2095">
        <v>3</v>
      </c>
      <c r="T2095">
        <f t="shared" si="32"/>
        <v>1</v>
      </c>
    </row>
    <row r="2096" spans="1:20">
      <c r="A2096" s="4">
        <v>45466</v>
      </c>
      <c r="B2096">
        <v>2024</v>
      </c>
      <c r="C2096">
        <v>6</v>
      </c>
      <c r="D2096" s="5" t="s">
        <v>35</v>
      </c>
      <c r="E2096" s="5" t="s">
        <v>36</v>
      </c>
      <c r="F2096" s="5" t="s">
        <v>37</v>
      </c>
      <c r="G2096" s="5" t="s">
        <v>38</v>
      </c>
      <c r="H2096" s="5" t="s">
        <v>57</v>
      </c>
      <c r="I2096" s="5" t="s">
        <v>58</v>
      </c>
      <c r="J2096" s="5" t="s">
        <v>59</v>
      </c>
      <c r="K2096">
        <v>56</v>
      </c>
      <c r="L2096">
        <v>1406000</v>
      </c>
      <c r="M2096" s="26">
        <v>78736000</v>
      </c>
      <c r="N2096">
        <v>24986</v>
      </c>
      <c r="O2096" s="26">
        <v>7323248.29</v>
      </c>
      <c r="P2096" s="5" t="s">
        <v>50</v>
      </c>
      <c r="Q2096" s="5" t="s">
        <v>75</v>
      </c>
      <c r="R2096">
        <v>4.3</v>
      </c>
      <c r="S2096">
        <v>7</v>
      </c>
      <c r="T2096">
        <f t="shared" si="32"/>
        <v>0</v>
      </c>
    </row>
    <row r="2097" spans="1:20">
      <c r="A2097" s="4">
        <v>45470</v>
      </c>
      <c r="B2097">
        <v>2024</v>
      </c>
      <c r="C2097">
        <v>6</v>
      </c>
      <c r="D2097" s="5" t="s">
        <v>54</v>
      </c>
      <c r="E2097" s="5" t="s">
        <v>55</v>
      </c>
      <c r="F2097" s="5" t="s">
        <v>55</v>
      </c>
      <c r="G2097" s="5" t="s">
        <v>56</v>
      </c>
      <c r="H2097" s="5" t="s">
        <v>74</v>
      </c>
      <c r="I2097" s="5" t="s">
        <v>40</v>
      </c>
      <c r="J2097" s="5" t="s">
        <v>49</v>
      </c>
      <c r="K2097">
        <v>46</v>
      </c>
      <c r="L2097">
        <v>623239</v>
      </c>
      <c r="M2097" s="26">
        <v>28668994</v>
      </c>
      <c r="N2097">
        <v>33034</v>
      </c>
      <c r="O2097" s="26">
        <v>4211596.8899999997</v>
      </c>
      <c r="P2097" s="5" t="s">
        <v>42</v>
      </c>
      <c r="Q2097" s="5" t="s">
        <v>43</v>
      </c>
      <c r="R2097">
        <v>4.2</v>
      </c>
      <c r="S2097">
        <v>12</v>
      </c>
      <c r="T2097">
        <f t="shared" si="32"/>
        <v>1</v>
      </c>
    </row>
    <row r="2098" spans="1:20">
      <c r="A2098" s="4">
        <v>45461</v>
      </c>
      <c r="B2098">
        <v>2024</v>
      </c>
      <c r="C2098">
        <v>6</v>
      </c>
      <c r="D2098" s="5" t="s">
        <v>54</v>
      </c>
      <c r="E2098" s="5" t="s">
        <v>55</v>
      </c>
      <c r="F2098" s="5" t="s">
        <v>55</v>
      </c>
      <c r="G2098" s="5" t="s">
        <v>56</v>
      </c>
      <c r="H2098" s="5" t="s">
        <v>52</v>
      </c>
      <c r="I2098" s="5" t="s">
        <v>53</v>
      </c>
      <c r="J2098" s="5" t="s">
        <v>41</v>
      </c>
      <c r="K2098">
        <v>40</v>
      </c>
      <c r="L2098">
        <v>978234</v>
      </c>
      <c r="M2098" s="26">
        <v>39129360</v>
      </c>
      <c r="N2098">
        <v>25510</v>
      </c>
      <c r="O2098" s="26">
        <v>4246180.34</v>
      </c>
      <c r="P2098" s="5" t="s">
        <v>42</v>
      </c>
      <c r="Q2098" s="5" t="s">
        <v>51</v>
      </c>
      <c r="R2098">
        <v>4.5</v>
      </c>
      <c r="S2098">
        <v>14</v>
      </c>
      <c r="T2098">
        <f t="shared" si="32"/>
        <v>1</v>
      </c>
    </row>
    <row r="2099" spans="1:20">
      <c r="A2099" s="4">
        <v>45459</v>
      </c>
      <c r="B2099">
        <v>2024</v>
      </c>
      <c r="C2099">
        <v>6</v>
      </c>
      <c r="D2099" s="5" t="s">
        <v>35</v>
      </c>
      <c r="E2099" s="5" t="s">
        <v>76</v>
      </c>
      <c r="F2099" s="5" t="s">
        <v>77</v>
      </c>
      <c r="G2099" s="5" t="s">
        <v>78</v>
      </c>
      <c r="H2099" s="5" t="s">
        <v>52</v>
      </c>
      <c r="I2099" s="5" t="s">
        <v>53</v>
      </c>
      <c r="J2099" s="5" t="s">
        <v>41</v>
      </c>
      <c r="K2099">
        <v>12</v>
      </c>
      <c r="L2099">
        <v>942669</v>
      </c>
      <c r="M2099" s="26">
        <v>11312028</v>
      </c>
      <c r="N2099">
        <v>24730</v>
      </c>
      <c r="O2099" s="26">
        <v>1768420.49</v>
      </c>
      <c r="P2099" s="5" t="s">
        <v>42</v>
      </c>
      <c r="Q2099" s="5" t="s">
        <v>51</v>
      </c>
      <c r="R2099">
        <v>4.7</v>
      </c>
      <c r="S2099">
        <v>19</v>
      </c>
      <c r="T2099">
        <f t="shared" si="32"/>
        <v>1</v>
      </c>
    </row>
    <row r="2100" spans="1:20">
      <c r="A2100" s="4">
        <v>45471</v>
      </c>
      <c r="B2100">
        <v>2024</v>
      </c>
      <c r="C2100">
        <v>6</v>
      </c>
      <c r="D2100" s="5" t="s">
        <v>35</v>
      </c>
      <c r="E2100" s="5" t="s">
        <v>36</v>
      </c>
      <c r="F2100" s="5" t="s">
        <v>37</v>
      </c>
      <c r="G2100" s="5" t="s">
        <v>38</v>
      </c>
      <c r="H2100" s="5" t="s">
        <v>52</v>
      </c>
      <c r="I2100" s="5" t="s">
        <v>53</v>
      </c>
      <c r="J2100" s="5" t="s">
        <v>41</v>
      </c>
      <c r="K2100">
        <v>26</v>
      </c>
      <c r="L2100">
        <v>948494</v>
      </c>
      <c r="M2100" s="26">
        <v>24660844</v>
      </c>
      <c r="N2100">
        <v>42181</v>
      </c>
      <c r="O2100" s="26">
        <v>2473336.98</v>
      </c>
      <c r="P2100" s="5" t="s">
        <v>50</v>
      </c>
      <c r="Q2100" s="5" t="s">
        <v>43</v>
      </c>
      <c r="R2100">
        <v>4.5999999999999996</v>
      </c>
      <c r="S2100">
        <v>8</v>
      </c>
      <c r="T2100">
        <f t="shared" si="32"/>
        <v>0</v>
      </c>
    </row>
    <row r="2101" spans="1:20">
      <c r="A2101" s="4">
        <v>45466</v>
      </c>
      <c r="B2101">
        <v>2024</v>
      </c>
      <c r="C2101">
        <v>6</v>
      </c>
      <c r="D2101" s="5" t="s">
        <v>44</v>
      </c>
      <c r="E2101" s="5" t="s">
        <v>82</v>
      </c>
      <c r="F2101" s="5" t="s">
        <v>83</v>
      </c>
      <c r="G2101" s="5" t="s">
        <v>84</v>
      </c>
      <c r="H2101" s="5" t="s">
        <v>65</v>
      </c>
      <c r="I2101" s="5" t="s">
        <v>53</v>
      </c>
      <c r="J2101" s="5" t="s">
        <v>49</v>
      </c>
      <c r="K2101">
        <v>9</v>
      </c>
      <c r="L2101">
        <v>1248316</v>
      </c>
      <c r="M2101" s="26">
        <v>11234844</v>
      </c>
      <c r="N2101">
        <v>47804</v>
      </c>
      <c r="O2101" s="26">
        <v>1033380.74</v>
      </c>
      <c r="P2101" s="5" t="s">
        <v>50</v>
      </c>
      <c r="Q2101" s="5" t="s">
        <v>75</v>
      </c>
      <c r="R2101">
        <v>3.7</v>
      </c>
      <c r="S2101">
        <v>17</v>
      </c>
      <c r="T2101">
        <f t="shared" si="32"/>
        <v>0</v>
      </c>
    </row>
    <row r="2102" spans="1:20">
      <c r="A2102" s="4">
        <v>45499</v>
      </c>
      <c r="B2102">
        <v>2024</v>
      </c>
      <c r="C2102">
        <v>7</v>
      </c>
      <c r="D2102" s="5" t="s">
        <v>35</v>
      </c>
      <c r="E2102" s="5" t="s">
        <v>76</v>
      </c>
      <c r="F2102" s="5" t="s">
        <v>77</v>
      </c>
      <c r="G2102" s="5" t="s">
        <v>78</v>
      </c>
      <c r="H2102" s="5" t="s">
        <v>39</v>
      </c>
      <c r="I2102" s="5" t="s">
        <v>40</v>
      </c>
      <c r="J2102" s="5" t="s">
        <v>41</v>
      </c>
      <c r="K2102">
        <v>57</v>
      </c>
      <c r="L2102">
        <v>598742</v>
      </c>
      <c r="M2102" s="26">
        <v>34128294</v>
      </c>
      <c r="N2102">
        <v>8791</v>
      </c>
      <c r="O2102" s="26">
        <v>4908970.66</v>
      </c>
      <c r="P2102" s="5" t="s">
        <v>42</v>
      </c>
      <c r="Q2102" s="5" t="s">
        <v>43</v>
      </c>
      <c r="R2102">
        <v>4.3</v>
      </c>
      <c r="S2102">
        <v>3</v>
      </c>
      <c r="T2102">
        <f t="shared" si="32"/>
        <v>1</v>
      </c>
    </row>
    <row r="2103" spans="1:20">
      <c r="A2103" s="4">
        <v>45494</v>
      </c>
      <c r="B2103">
        <v>2024</v>
      </c>
      <c r="C2103">
        <v>7</v>
      </c>
      <c r="D2103" s="5" t="s">
        <v>54</v>
      </c>
      <c r="E2103" s="5" t="s">
        <v>55</v>
      </c>
      <c r="F2103" s="5" t="s">
        <v>55</v>
      </c>
      <c r="G2103" s="5" t="s">
        <v>56</v>
      </c>
      <c r="H2103" s="5" t="s">
        <v>57</v>
      </c>
      <c r="I2103" s="5" t="s">
        <v>58</v>
      </c>
      <c r="J2103" s="5" t="s">
        <v>59</v>
      </c>
      <c r="K2103">
        <v>32</v>
      </c>
      <c r="L2103">
        <v>1418700</v>
      </c>
      <c r="M2103" s="26">
        <v>45398400</v>
      </c>
      <c r="N2103">
        <v>38430</v>
      </c>
      <c r="O2103" s="26">
        <v>5221874.1100000003</v>
      </c>
      <c r="P2103" s="5" t="s">
        <v>42</v>
      </c>
      <c r="Q2103" s="5" t="s">
        <v>43</v>
      </c>
      <c r="R2103">
        <v>4.7</v>
      </c>
      <c r="S2103">
        <v>5</v>
      </c>
      <c r="T2103">
        <f t="shared" si="32"/>
        <v>1</v>
      </c>
    </row>
    <row r="2104" spans="1:20">
      <c r="A2104" s="4">
        <v>45482</v>
      </c>
      <c r="B2104">
        <v>2024</v>
      </c>
      <c r="C2104">
        <v>7</v>
      </c>
      <c r="D2104" s="5" t="s">
        <v>66</v>
      </c>
      <c r="E2104" s="5" t="s">
        <v>67</v>
      </c>
      <c r="F2104" s="5" t="s">
        <v>68</v>
      </c>
      <c r="G2104" s="5" t="s">
        <v>69</v>
      </c>
      <c r="H2104" s="5" t="s">
        <v>48</v>
      </c>
      <c r="I2104" s="5" t="s">
        <v>40</v>
      </c>
      <c r="J2104" s="5" t="s">
        <v>49</v>
      </c>
      <c r="K2104">
        <v>23</v>
      </c>
      <c r="L2104">
        <v>434463</v>
      </c>
      <c r="M2104" s="26">
        <v>9992649</v>
      </c>
      <c r="N2104">
        <v>47835</v>
      </c>
      <c r="O2104" s="26">
        <v>1107870.17</v>
      </c>
      <c r="P2104" s="5" t="s">
        <v>42</v>
      </c>
      <c r="Q2104" s="5" t="s">
        <v>43</v>
      </c>
      <c r="R2104">
        <v>3.6</v>
      </c>
      <c r="S2104">
        <v>5</v>
      </c>
      <c r="T2104">
        <f t="shared" si="32"/>
        <v>1</v>
      </c>
    </row>
    <row r="2105" spans="1:20">
      <c r="A2105" s="4">
        <v>45482</v>
      </c>
      <c r="B2105">
        <v>2024</v>
      </c>
      <c r="C2105">
        <v>7</v>
      </c>
      <c r="D2105" s="5" t="s">
        <v>35</v>
      </c>
      <c r="E2105" s="5" t="s">
        <v>76</v>
      </c>
      <c r="F2105" s="5" t="s">
        <v>77</v>
      </c>
      <c r="G2105" s="5" t="s">
        <v>78</v>
      </c>
      <c r="H2105" s="5" t="s">
        <v>39</v>
      </c>
      <c r="I2105" s="5" t="s">
        <v>40</v>
      </c>
      <c r="J2105" s="5" t="s">
        <v>41</v>
      </c>
      <c r="K2105">
        <v>37</v>
      </c>
      <c r="L2105">
        <v>563930</v>
      </c>
      <c r="M2105" s="26">
        <v>20865410</v>
      </c>
      <c r="N2105">
        <v>22896</v>
      </c>
      <c r="O2105" s="26">
        <v>2818065.04</v>
      </c>
      <c r="P2105" s="5" t="s">
        <v>42</v>
      </c>
      <c r="Q2105" s="5" t="s">
        <v>43</v>
      </c>
      <c r="R2105">
        <v>4</v>
      </c>
      <c r="S2105">
        <v>4</v>
      </c>
      <c r="T2105">
        <f t="shared" si="32"/>
        <v>1</v>
      </c>
    </row>
    <row r="2106" spans="1:20">
      <c r="A2106" s="4">
        <v>45499</v>
      </c>
      <c r="B2106">
        <v>2024</v>
      </c>
      <c r="C2106">
        <v>7</v>
      </c>
      <c r="D2106" s="5" t="s">
        <v>35</v>
      </c>
      <c r="E2106" s="5" t="s">
        <v>60</v>
      </c>
      <c r="F2106" s="5" t="s">
        <v>61</v>
      </c>
      <c r="G2106" s="5" t="s">
        <v>62</v>
      </c>
      <c r="H2106" s="5" t="s">
        <v>79</v>
      </c>
      <c r="I2106" s="5" t="s">
        <v>58</v>
      </c>
      <c r="J2106" s="5" t="s">
        <v>49</v>
      </c>
      <c r="K2106">
        <v>47</v>
      </c>
      <c r="L2106">
        <v>886762</v>
      </c>
      <c r="M2106" s="26">
        <v>41677814</v>
      </c>
      <c r="N2106">
        <v>26819</v>
      </c>
      <c r="O2106" s="26">
        <v>4960713.53</v>
      </c>
      <c r="P2106" s="5" t="s">
        <v>42</v>
      </c>
      <c r="Q2106" s="5" t="s">
        <v>51</v>
      </c>
      <c r="R2106">
        <v>3.9</v>
      </c>
      <c r="S2106">
        <v>19</v>
      </c>
      <c r="T2106">
        <f t="shared" si="32"/>
        <v>1</v>
      </c>
    </row>
    <row r="2107" spans="1:20">
      <c r="A2107" s="4">
        <v>45498</v>
      </c>
      <c r="B2107">
        <v>2024</v>
      </c>
      <c r="C2107">
        <v>7</v>
      </c>
      <c r="D2107" s="5" t="s">
        <v>35</v>
      </c>
      <c r="E2107" s="5" t="s">
        <v>76</v>
      </c>
      <c r="F2107" s="5" t="s">
        <v>77</v>
      </c>
      <c r="G2107" s="5" t="s">
        <v>78</v>
      </c>
      <c r="H2107" s="5" t="s">
        <v>52</v>
      </c>
      <c r="I2107" s="5" t="s">
        <v>53</v>
      </c>
      <c r="J2107" s="5" t="s">
        <v>41</v>
      </c>
      <c r="K2107">
        <v>40</v>
      </c>
      <c r="L2107">
        <v>941404</v>
      </c>
      <c r="M2107" s="26">
        <v>37656160</v>
      </c>
      <c r="N2107">
        <v>19095</v>
      </c>
      <c r="O2107" s="26">
        <v>4065851.17</v>
      </c>
      <c r="P2107" s="5" t="s">
        <v>50</v>
      </c>
      <c r="Q2107" s="5" t="s">
        <v>51</v>
      </c>
      <c r="R2107">
        <v>4.5999999999999996</v>
      </c>
      <c r="S2107">
        <v>3</v>
      </c>
      <c r="T2107">
        <f t="shared" si="32"/>
        <v>0</v>
      </c>
    </row>
    <row r="2108" spans="1:20">
      <c r="A2108" s="4">
        <v>45499</v>
      </c>
      <c r="B2108">
        <v>2024</v>
      </c>
      <c r="C2108">
        <v>7</v>
      </c>
      <c r="D2108" s="5" t="s">
        <v>54</v>
      </c>
      <c r="E2108" s="5" t="s">
        <v>70</v>
      </c>
      <c r="F2108" s="5" t="s">
        <v>71</v>
      </c>
      <c r="G2108" s="5" t="s">
        <v>72</v>
      </c>
      <c r="H2108" s="5" t="s">
        <v>65</v>
      </c>
      <c r="I2108" s="5" t="s">
        <v>53</v>
      </c>
      <c r="J2108" s="5" t="s">
        <v>49</v>
      </c>
      <c r="K2108">
        <v>24</v>
      </c>
      <c r="L2108">
        <v>1235247</v>
      </c>
      <c r="M2108" s="26">
        <v>29645928</v>
      </c>
      <c r="N2108">
        <v>42560</v>
      </c>
      <c r="O2108" s="26">
        <v>3008086.53</v>
      </c>
      <c r="P2108" s="5" t="s">
        <v>42</v>
      </c>
      <c r="Q2108" s="5" t="s">
        <v>43</v>
      </c>
      <c r="R2108">
        <v>3.9</v>
      </c>
      <c r="S2108">
        <v>3</v>
      </c>
      <c r="T2108">
        <f t="shared" si="32"/>
        <v>1</v>
      </c>
    </row>
    <row r="2109" spans="1:20">
      <c r="A2109" s="4">
        <v>45481</v>
      </c>
      <c r="B2109">
        <v>2024</v>
      </c>
      <c r="C2109">
        <v>7</v>
      </c>
      <c r="D2109" s="5" t="s">
        <v>35</v>
      </c>
      <c r="E2109" s="5" t="s">
        <v>36</v>
      </c>
      <c r="F2109" s="5" t="s">
        <v>37</v>
      </c>
      <c r="G2109" s="5" t="s">
        <v>38</v>
      </c>
      <c r="H2109" s="5" t="s">
        <v>79</v>
      </c>
      <c r="I2109" s="5" t="s">
        <v>58</v>
      </c>
      <c r="J2109" s="5" t="s">
        <v>49</v>
      </c>
      <c r="K2109">
        <v>11</v>
      </c>
      <c r="L2109">
        <v>919936</v>
      </c>
      <c r="M2109" s="26">
        <v>10119296</v>
      </c>
      <c r="N2109">
        <v>23308</v>
      </c>
      <c r="O2109" s="26">
        <v>1576329.1</v>
      </c>
      <c r="P2109" s="5" t="s">
        <v>42</v>
      </c>
      <c r="Q2109" s="5" t="s">
        <v>51</v>
      </c>
      <c r="R2109">
        <v>3.8</v>
      </c>
      <c r="S2109">
        <v>10</v>
      </c>
      <c r="T2109">
        <f t="shared" si="32"/>
        <v>1</v>
      </c>
    </row>
    <row r="2110" spans="1:20">
      <c r="A2110" s="4">
        <v>45490</v>
      </c>
      <c r="B2110">
        <v>2024</v>
      </c>
      <c r="C2110">
        <v>7</v>
      </c>
      <c r="D2110" s="5" t="s">
        <v>44</v>
      </c>
      <c r="E2110" s="5" t="s">
        <v>82</v>
      </c>
      <c r="F2110" s="5" t="s">
        <v>83</v>
      </c>
      <c r="G2110" s="5" t="s">
        <v>84</v>
      </c>
      <c r="H2110" s="5" t="s">
        <v>65</v>
      </c>
      <c r="I2110" s="5" t="s">
        <v>53</v>
      </c>
      <c r="J2110" s="5" t="s">
        <v>49</v>
      </c>
      <c r="K2110">
        <v>9</v>
      </c>
      <c r="L2110">
        <v>1223276</v>
      </c>
      <c r="M2110" s="26">
        <v>11009484</v>
      </c>
      <c r="N2110">
        <v>46808</v>
      </c>
      <c r="O2110" s="26">
        <v>1687394.6</v>
      </c>
      <c r="P2110" s="5" t="s">
        <v>50</v>
      </c>
      <c r="Q2110" s="5" t="s">
        <v>51</v>
      </c>
      <c r="R2110">
        <v>4.8</v>
      </c>
      <c r="S2110">
        <v>15</v>
      </c>
      <c r="T2110">
        <f t="shared" si="32"/>
        <v>0</v>
      </c>
    </row>
    <row r="2111" spans="1:20">
      <c r="A2111" s="4">
        <v>45477</v>
      </c>
      <c r="B2111">
        <v>2024</v>
      </c>
      <c r="C2111">
        <v>7</v>
      </c>
      <c r="D2111" s="5" t="s">
        <v>54</v>
      </c>
      <c r="E2111" s="5" t="s">
        <v>70</v>
      </c>
      <c r="F2111" s="5" t="s">
        <v>71</v>
      </c>
      <c r="G2111" s="5" t="s">
        <v>72</v>
      </c>
      <c r="H2111" s="5" t="s">
        <v>86</v>
      </c>
      <c r="I2111" s="5" t="s">
        <v>40</v>
      </c>
      <c r="J2111" s="5" t="s">
        <v>41</v>
      </c>
      <c r="K2111">
        <v>6</v>
      </c>
      <c r="L2111">
        <v>621552</v>
      </c>
      <c r="M2111" s="26">
        <v>3729312</v>
      </c>
      <c r="N2111">
        <v>39207</v>
      </c>
      <c r="O2111" s="26">
        <v>470368.84</v>
      </c>
      <c r="P2111" s="5" t="s">
        <v>50</v>
      </c>
      <c r="Q2111" s="5" t="s">
        <v>43</v>
      </c>
      <c r="R2111">
        <v>4.7</v>
      </c>
      <c r="S2111">
        <v>9</v>
      </c>
      <c r="T2111">
        <f t="shared" si="32"/>
        <v>0</v>
      </c>
    </row>
    <row r="2112" spans="1:20">
      <c r="A2112" s="4">
        <v>45480</v>
      </c>
      <c r="B2112">
        <v>2024</v>
      </c>
      <c r="C2112">
        <v>7</v>
      </c>
      <c r="D2112" s="5" t="s">
        <v>44</v>
      </c>
      <c r="E2112" s="5" t="s">
        <v>82</v>
      </c>
      <c r="F2112" s="5" t="s">
        <v>83</v>
      </c>
      <c r="G2112" s="5" t="s">
        <v>84</v>
      </c>
      <c r="H2112" s="5" t="s">
        <v>48</v>
      </c>
      <c r="I2112" s="5" t="s">
        <v>40</v>
      </c>
      <c r="J2112" s="5" t="s">
        <v>49</v>
      </c>
      <c r="K2112">
        <v>44</v>
      </c>
      <c r="L2112">
        <v>472357</v>
      </c>
      <c r="M2112" s="26">
        <v>20783708</v>
      </c>
      <c r="N2112">
        <v>42980</v>
      </c>
      <c r="O2112" s="26">
        <v>2826477.07</v>
      </c>
      <c r="P2112" s="5" t="s">
        <v>42</v>
      </c>
      <c r="Q2112" s="5" t="s">
        <v>75</v>
      </c>
      <c r="R2112">
        <v>3.7</v>
      </c>
      <c r="S2112">
        <v>3</v>
      </c>
      <c r="T2112">
        <f t="shared" si="32"/>
        <v>1</v>
      </c>
    </row>
    <row r="2113" spans="1:20">
      <c r="A2113" s="4">
        <v>45488</v>
      </c>
      <c r="B2113">
        <v>2024</v>
      </c>
      <c r="C2113">
        <v>7</v>
      </c>
      <c r="D2113" s="5" t="s">
        <v>54</v>
      </c>
      <c r="E2113" s="5" t="s">
        <v>70</v>
      </c>
      <c r="F2113" s="5" t="s">
        <v>71</v>
      </c>
      <c r="G2113" s="5" t="s">
        <v>72</v>
      </c>
      <c r="H2113" s="5" t="s">
        <v>85</v>
      </c>
      <c r="I2113" s="5" t="s">
        <v>58</v>
      </c>
      <c r="J2113" s="5" t="s">
        <v>49</v>
      </c>
      <c r="K2113">
        <v>52</v>
      </c>
      <c r="L2113">
        <v>985990</v>
      </c>
      <c r="M2113" s="26">
        <v>51271480</v>
      </c>
      <c r="N2113">
        <v>9532</v>
      </c>
      <c r="O2113" s="26">
        <v>5016463.09</v>
      </c>
      <c r="P2113" s="5" t="s">
        <v>50</v>
      </c>
      <c r="Q2113" s="5" t="s">
        <v>75</v>
      </c>
      <c r="R2113">
        <v>3.5</v>
      </c>
      <c r="S2113">
        <v>17</v>
      </c>
      <c r="T2113">
        <f t="shared" si="32"/>
        <v>0</v>
      </c>
    </row>
    <row r="2114" spans="1:20">
      <c r="A2114" s="4">
        <v>45494</v>
      </c>
      <c r="B2114">
        <v>2024</v>
      </c>
      <c r="C2114">
        <v>7</v>
      </c>
      <c r="D2114" s="5" t="s">
        <v>35</v>
      </c>
      <c r="E2114" s="5" t="s">
        <v>36</v>
      </c>
      <c r="F2114" s="5" t="s">
        <v>37</v>
      </c>
      <c r="G2114" s="5" t="s">
        <v>38</v>
      </c>
      <c r="H2114" s="5" t="s">
        <v>73</v>
      </c>
      <c r="I2114" s="5" t="s">
        <v>40</v>
      </c>
      <c r="J2114" s="5" t="s">
        <v>49</v>
      </c>
      <c r="K2114">
        <v>24</v>
      </c>
      <c r="L2114">
        <v>719313</v>
      </c>
      <c r="M2114" s="26">
        <v>17263512</v>
      </c>
      <c r="N2114">
        <v>6758</v>
      </c>
      <c r="O2114" s="26">
        <v>2333323.5499999998</v>
      </c>
      <c r="P2114" s="5" t="s">
        <v>50</v>
      </c>
      <c r="Q2114" s="5" t="s">
        <v>43</v>
      </c>
      <c r="R2114">
        <v>3.5</v>
      </c>
      <c r="S2114">
        <v>16</v>
      </c>
      <c r="T2114">
        <f t="shared" ref="T2114:T2177" si="33">IF(AND(OR($B2114=Sel_Year,Sel_Year="All"),OR($C2114=Sel_Month,Sel_Month="All"),OR($D2114=Sel_Region,Sel_Region="All"),OR($E2114=Sel_State,Sel_State="All"),OR($F2114=Sel_City,Sel_City="All"),OR($G2114=Sel_Dealer,Sel_Dealer="All"),OR($H2114=Sel_Model,Sel_Model="All"),OR($I2114=Sel_Segment,Sel_Segment="All"),OR($J2114=Sel_Fuel,Sel_Fuel="All"),OR($P2114=Sel_CustType,Sel_CustType="All"),OR($Q2114=Sel_Payment,Sel_Payment="All")),1,0)</f>
        <v>0</v>
      </c>
    </row>
    <row r="2115" spans="1:20">
      <c r="A2115" s="4">
        <v>45480</v>
      </c>
      <c r="B2115">
        <v>2024</v>
      </c>
      <c r="C2115">
        <v>7</v>
      </c>
      <c r="D2115" s="5" t="s">
        <v>35</v>
      </c>
      <c r="E2115" s="5" t="s">
        <v>60</v>
      </c>
      <c r="F2115" s="5" t="s">
        <v>61</v>
      </c>
      <c r="G2115" s="5" t="s">
        <v>62</v>
      </c>
      <c r="H2115" s="5" t="s">
        <v>57</v>
      </c>
      <c r="I2115" s="5" t="s">
        <v>58</v>
      </c>
      <c r="J2115" s="5" t="s">
        <v>59</v>
      </c>
      <c r="K2115">
        <v>48</v>
      </c>
      <c r="L2115">
        <v>1419701</v>
      </c>
      <c r="M2115" s="26">
        <v>68145648</v>
      </c>
      <c r="N2115">
        <v>5071</v>
      </c>
      <c r="O2115" s="26">
        <v>5495571.4100000001</v>
      </c>
      <c r="P2115" s="5" t="s">
        <v>42</v>
      </c>
      <c r="Q2115" s="5" t="s">
        <v>43</v>
      </c>
      <c r="R2115">
        <v>3.6</v>
      </c>
      <c r="S2115">
        <v>19</v>
      </c>
      <c r="T2115">
        <f t="shared" si="33"/>
        <v>1</v>
      </c>
    </row>
    <row r="2116" spans="1:20">
      <c r="A2116" s="4">
        <v>45493</v>
      </c>
      <c r="B2116">
        <v>2024</v>
      </c>
      <c r="C2116">
        <v>7</v>
      </c>
      <c r="D2116" s="5" t="s">
        <v>54</v>
      </c>
      <c r="E2116" s="5" t="s">
        <v>70</v>
      </c>
      <c r="F2116" s="5" t="s">
        <v>71</v>
      </c>
      <c r="G2116" s="5" t="s">
        <v>72</v>
      </c>
      <c r="H2116" s="5" t="s">
        <v>52</v>
      </c>
      <c r="I2116" s="5" t="s">
        <v>53</v>
      </c>
      <c r="J2116" s="5" t="s">
        <v>41</v>
      </c>
      <c r="K2116">
        <v>17</v>
      </c>
      <c r="L2116">
        <v>941994</v>
      </c>
      <c r="M2116" s="26">
        <v>16013898</v>
      </c>
      <c r="N2116">
        <v>5286</v>
      </c>
      <c r="O2116" s="26">
        <v>2222485.5</v>
      </c>
      <c r="P2116" s="5" t="s">
        <v>50</v>
      </c>
      <c r="Q2116" s="5" t="s">
        <v>51</v>
      </c>
      <c r="R2116">
        <v>3.7</v>
      </c>
      <c r="S2116">
        <v>7</v>
      </c>
      <c r="T2116">
        <f t="shared" si="33"/>
        <v>0</v>
      </c>
    </row>
    <row r="2117" spans="1:20">
      <c r="A2117" s="4">
        <v>45498</v>
      </c>
      <c r="B2117">
        <v>2024</v>
      </c>
      <c r="C2117">
        <v>7</v>
      </c>
      <c r="D2117" s="5" t="s">
        <v>35</v>
      </c>
      <c r="E2117" s="5" t="s">
        <v>60</v>
      </c>
      <c r="F2117" s="5" t="s">
        <v>61</v>
      </c>
      <c r="G2117" s="5" t="s">
        <v>62</v>
      </c>
      <c r="H2117" s="5" t="s">
        <v>65</v>
      </c>
      <c r="I2117" s="5" t="s">
        <v>53</v>
      </c>
      <c r="J2117" s="5" t="s">
        <v>49</v>
      </c>
      <c r="K2117">
        <v>12</v>
      </c>
      <c r="L2117">
        <v>1268275</v>
      </c>
      <c r="M2117" s="26">
        <v>15219300</v>
      </c>
      <c r="N2117">
        <v>39681</v>
      </c>
      <c r="O2117" s="26">
        <v>1535591.98</v>
      </c>
      <c r="P2117" s="5" t="s">
        <v>42</v>
      </c>
      <c r="Q2117" s="5" t="s">
        <v>51</v>
      </c>
      <c r="R2117">
        <v>4.5</v>
      </c>
      <c r="S2117">
        <v>11</v>
      </c>
      <c r="T2117">
        <f t="shared" si="33"/>
        <v>1</v>
      </c>
    </row>
    <row r="2118" spans="1:20">
      <c r="A2118" s="4">
        <v>45493</v>
      </c>
      <c r="B2118">
        <v>2024</v>
      </c>
      <c r="C2118">
        <v>7</v>
      </c>
      <c r="D2118" s="5" t="s">
        <v>35</v>
      </c>
      <c r="E2118" s="5" t="s">
        <v>36</v>
      </c>
      <c r="F2118" s="5" t="s">
        <v>37</v>
      </c>
      <c r="G2118" s="5" t="s">
        <v>38</v>
      </c>
      <c r="H2118" s="5" t="s">
        <v>48</v>
      </c>
      <c r="I2118" s="5" t="s">
        <v>40</v>
      </c>
      <c r="J2118" s="5" t="s">
        <v>49</v>
      </c>
      <c r="K2118">
        <v>41</v>
      </c>
      <c r="L2118">
        <v>441976</v>
      </c>
      <c r="M2118" s="26">
        <v>18121016</v>
      </c>
      <c r="N2118">
        <v>28156</v>
      </c>
      <c r="O2118" s="26">
        <v>2030095.32</v>
      </c>
      <c r="P2118" s="5" t="s">
        <v>50</v>
      </c>
      <c r="Q2118" s="5" t="s">
        <v>43</v>
      </c>
      <c r="R2118">
        <v>4.9000000000000004</v>
      </c>
      <c r="S2118">
        <v>11</v>
      </c>
      <c r="T2118">
        <f t="shared" si="33"/>
        <v>0</v>
      </c>
    </row>
    <row r="2119" spans="1:20">
      <c r="A2119" s="4">
        <v>45487</v>
      </c>
      <c r="B2119">
        <v>2024</v>
      </c>
      <c r="C2119">
        <v>7</v>
      </c>
      <c r="D2119" s="5" t="s">
        <v>35</v>
      </c>
      <c r="E2119" s="5" t="s">
        <v>36</v>
      </c>
      <c r="F2119" s="5" t="s">
        <v>37</v>
      </c>
      <c r="G2119" s="5" t="s">
        <v>38</v>
      </c>
      <c r="H2119" s="5" t="s">
        <v>80</v>
      </c>
      <c r="I2119" s="5" t="s">
        <v>81</v>
      </c>
      <c r="J2119" s="5" t="s">
        <v>41</v>
      </c>
      <c r="K2119">
        <v>37</v>
      </c>
      <c r="L2119">
        <v>572538</v>
      </c>
      <c r="M2119" s="26">
        <v>21183906</v>
      </c>
      <c r="N2119">
        <v>36159</v>
      </c>
      <c r="O2119" s="26">
        <v>2313566.86</v>
      </c>
      <c r="P2119" s="5" t="s">
        <v>50</v>
      </c>
      <c r="Q2119" s="5" t="s">
        <v>75</v>
      </c>
      <c r="R2119">
        <v>3.6</v>
      </c>
      <c r="S2119">
        <v>10</v>
      </c>
      <c r="T2119">
        <f t="shared" si="33"/>
        <v>0</v>
      </c>
    </row>
    <row r="2120" spans="1:20">
      <c r="A2120" s="4">
        <v>45475</v>
      </c>
      <c r="B2120">
        <v>2024</v>
      </c>
      <c r="C2120">
        <v>7</v>
      </c>
      <c r="D2120" s="5" t="s">
        <v>44</v>
      </c>
      <c r="E2120" s="5" t="s">
        <v>82</v>
      </c>
      <c r="F2120" s="5" t="s">
        <v>83</v>
      </c>
      <c r="G2120" s="5" t="s">
        <v>84</v>
      </c>
      <c r="H2120" s="5" t="s">
        <v>52</v>
      </c>
      <c r="I2120" s="5" t="s">
        <v>53</v>
      </c>
      <c r="J2120" s="5" t="s">
        <v>41</v>
      </c>
      <c r="K2120">
        <v>44</v>
      </c>
      <c r="L2120">
        <v>955437</v>
      </c>
      <c r="M2120" s="26">
        <v>42039228</v>
      </c>
      <c r="N2120">
        <v>44552</v>
      </c>
      <c r="O2120" s="26">
        <v>4848629.63</v>
      </c>
      <c r="P2120" s="5" t="s">
        <v>42</v>
      </c>
      <c r="Q2120" s="5" t="s">
        <v>43</v>
      </c>
      <c r="R2120">
        <v>4.9000000000000004</v>
      </c>
      <c r="S2120">
        <v>4</v>
      </c>
      <c r="T2120">
        <f t="shared" si="33"/>
        <v>1</v>
      </c>
    </row>
    <row r="2121" spans="1:20">
      <c r="A2121" s="4">
        <v>45497</v>
      </c>
      <c r="B2121">
        <v>2024</v>
      </c>
      <c r="C2121">
        <v>7</v>
      </c>
      <c r="D2121" s="5" t="s">
        <v>54</v>
      </c>
      <c r="E2121" s="5" t="s">
        <v>70</v>
      </c>
      <c r="F2121" s="5" t="s">
        <v>71</v>
      </c>
      <c r="G2121" s="5" t="s">
        <v>72</v>
      </c>
      <c r="H2121" s="5" t="s">
        <v>73</v>
      </c>
      <c r="I2121" s="5" t="s">
        <v>40</v>
      </c>
      <c r="J2121" s="5" t="s">
        <v>49</v>
      </c>
      <c r="K2121">
        <v>12</v>
      </c>
      <c r="L2121">
        <v>715592</v>
      </c>
      <c r="M2121" s="26">
        <v>8587104</v>
      </c>
      <c r="N2121">
        <v>42147</v>
      </c>
      <c r="O2121" s="26">
        <v>726279.11</v>
      </c>
      <c r="P2121" s="5" t="s">
        <v>42</v>
      </c>
      <c r="Q2121" s="5" t="s">
        <v>75</v>
      </c>
      <c r="R2121">
        <v>3.6</v>
      </c>
      <c r="S2121">
        <v>9</v>
      </c>
      <c r="T2121">
        <f t="shared" si="33"/>
        <v>1</v>
      </c>
    </row>
    <row r="2122" spans="1:20">
      <c r="A2122" s="4">
        <v>45488</v>
      </c>
      <c r="B2122">
        <v>2024</v>
      </c>
      <c r="C2122">
        <v>7</v>
      </c>
      <c r="D2122" s="5" t="s">
        <v>44</v>
      </c>
      <c r="E2122" s="5" t="s">
        <v>45</v>
      </c>
      <c r="F2122" s="5" t="s">
        <v>46</v>
      </c>
      <c r="G2122" s="5" t="s">
        <v>47</v>
      </c>
      <c r="H2122" s="5" t="s">
        <v>65</v>
      </c>
      <c r="I2122" s="5" t="s">
        <v>53</v>
      </c>
      <c r="J2122" s="5" t="s">
        <v>49</v>
      </c>
      <c r="K2122">
        <v>45</v>
      </c>
      <c r="L2122">
        <v>1239419</v>
      </c>
      <c r="M2122" s="26">
        <v>55773855</v>
      </c>
      <c r="N2122">
        <v>49276</v>
      </c>
      <c r="O2122" s="26">
        <v>8652374.0600000005</v>
      </c>
      <c r="P2122" s="5" t="s">
        <v>50</v>
      </c>
      <c r="Q2122" s="5" t="s">
        <v>43</v>
      </c>
      <c r="R2122">
        <v>3.6</v>
      </c>
      <c r="S2122">
        <v>3</v>
      </c>
      <c r="T2122">
        <f t="shared" si="33"/>
        <v>0</v>
      </c>
    </row>
    <row r="2123" spans="1:20">
      <c r="A2123" s="4">
        <v>45496</v>
      </c>
      <c r="B2123">
        <v>2024</v>
      </c>
      <c r="C2123">
        <v>7</v>
      </c>
      <c r="D2123" s="5" t="s">
        <v>35</v>
      </c>
      <c r="E2123" s="5" t="s">
        <v>76</v>
      </c>
      <c r="F2123" s="5" t="s">
        <v>77</v>
      </c>
      <c r="G2123" s="5" t="s">
        <v>78</v>
      </c>
      <c r="H2123" s="5" t="s">
        <v>63</v>
      </c>
      <c r="I2123" s="5" t="s">
        <v>64</v>
      </c>
      <c r="J2123" s="5" t="s">
        <v>41</v>
      </c>
      <c r="K2123">
        <v>19</v>
      </c>
      <c r="L2123">
        <v>761658</v>
      </c>
      <c r="M2123" s="26">
        <v>14471502</v>
      </c>
      <c r="N2123">
        <v>8931</v>
      </c>
      <c r="O2123" s="26">
        <v>1560374.1</v>
      </c>
      <c r="P2123" s="5" t="s">
        <v>42</v>
      </c>
      <c r="Q2123" s="5" t="s">
        <v>43</v>
      </c>
      <c r="R2123">
        <v>4</v>
      </c>
      <c r="S2123">
        <v>9</v>
      </c>
      <c r="T2123">
        <f t="shared" si="33"/>
        <v>1</v>
      </c>
    </row>
    <row r="2124" spans="1:20">
      <c r="A2124" s="4">
        <v>45483</v>
      </c>
      <c r="B2124">
        <v>2024</v>
      </c>
      <c r="C2124">
        <v>7</v>
      </c>
      <c r="D2124" s="5" t="s">
        <v>44</v>
      </c>
      <c r="E2124" s="5" t="s">
        <v>82</v>
      </c>
      <c r="F2124" s="5" t="s">
        <v>83</v>
      </c>
      <c r="G2124" s="5" t="s">
        <v>84</v>
      </c>
      <c r="H2124" s="5" t="s">
        <v>80</v>
      </c>
      <c r="I2124" s="5" t="s">
        <v>81</v>
      </c>
      <c r="J2124" s="5" t="s">
        <v>41</v>
      </c>
      <c r="K2124">
        <v>10</v>
      </c>
      <c r="L2124">
        <v>553916</v>
      </c>
      <c r="M2124" s="26">
        <v>5539160</v>
      </c>
      <c r="N2124">
        <v>35138</v>
      </c>
      <c r="O2124" s="26">
        <v>477187.9</v>
      </c>
      <c r="P2124" s="5" t="s">
        <v>50</v>
      </c>
      <c r="Q2124" s="5" t="s">
        <v>75</v>
      </c>
      <c r="R2124">
        <v>5</v>
      </c>
      <c r="S2124">
        <v>8</v>
      </c>
      <c r="T2124">
        <f t="shared" si="33"/>
        <v>0</v>
      </c>
    </row>
    <row r="2125" spans="1:20">
      <c r="A2125" s="4">
        <v>45475</v>
      </c>
      <c r="B2125">
        <v>2024</v>
      </c>
      <c r="C2125">
        <v>7</v>
      </c>
      <c r="D2125" s="5" t="s">
        <v>35</v>
      </c>
      <c r="E2125" s="5" t="s">
        <v>76</v>
      </c>
      <c r="F2125" s="5" t="s">
        <v>77</v>
      </c>
      <c r="G2125" s="5" t="s">
        <v>78</v>
      </c>
      <c r="H2125" s="5" t="s">
        <v>63</v>
      </c>
      <c r="I2125" s="5" t="s">
        <v>64</v>
      </c>
      <c r="J2125" s="5" t="s">
        <v>41</v>
      </c>
      <c r="K2125">
        <v>13</v>
      </c>
      <c r="L2125">
        <v>771371</v>
      </c>
      <c r="M2125" s="26">
        <v>10027823</v>
      </c>
      <c r="N2125">
        <v>32832</v>
      </c>
      <c r="O2125" s="26">
        <v>939657.67</v>
      </c>
      <c r="P2125" s="5" t="s">
        <v>42</v>
      </c>
      <c r="Q2125" s="5" t="s">
        <v>43</v>
      </c>
      <c r="R2125">
        <v>3.8</v>
      </c>
      <c r="S2125">
        <v>16</v>
      </c>
      <c r="T2125">
        <f t="shared" si="33"/>
        <v>1</v>
      </c>
    </row>
    <row r="2126" spans="1:20">
      <c r="A2126" s="4">
        <v>45489</v>
      </c>
      <c r="B2126">
        <v>2024</v>
      </c>
      <c r="C2126">
        <v>7</v>
      </c>
      <c r="D2126" s="5" t="s">
        <v>35</v>
      </c>
      <c r="E2126" s="5" t="s">
        <v>36</v>
      </c>
      <c r="F2126" s="5" t="s">
        <v>37</v>
      </c>
      <c r="G2126" s="5" t="s">
        <v>38</v>
      </c>
      <c r="H2126" s="5" t="s">
        <v>39</v>
      </c>
      <c r="I2126" s="5" t="s">
        <v>40</v>
      </c>
      <c r="J2126" s="5" t="s">
        <v>41</v>
      </c>
      <c r="K2126">
        <v>21</v>
      </c>
      <c r="L2126">
        <v>602084</v>
      </c>
      <c r="M2126" s="26">
        <v>12643764</v>
      </c>
      <c r="N2126">
        <v>35131</v>
      </c>
      <c r="O2126" s="26">
        <v>1809838.21</v>
      </c>
      <c r="P2126" s="5" t="s">
        <v>50</v>
      </c>
      <c r="Q2126" s="5" t="s">
        <v>75</v>
      </c>
      <c r="R2126">
        <v>4.5</v>
      </c>
      <c r="S2126">
        <v>10</v>
      </c>
      <c r="T2126">
        <f t="shared" si="33"/>
        <v>0</v>
      </c>
    </row>
    <row r="2127" spans="1:20">
      <c r="A2127" s="4">
        <v>45475</v>
      </c>
      <c r="B2127">
        <v>2024</v>
      </c>
      <c r="C2127">
        <v>7</v>
      </c>
      <c r="D2127" s="5" t="s">
        <v>35</v>
      </c>
      <c r="E2127" s="5" t="s">
        <v>36</v>
      </c>
      <c r="F2127" s="5" t="s">
        <v>37</v>
      </c>
      <c r="G2127" s="5" t="s">
        <v>38</v>
      </c>
      <c r="H2127" s="5" t="s">
        <v>52</v>
      </c>
      <c r="I2127" s="5" t="s">
        <v>53</v>
      </c>
      <c r="J2127" s="5" t="s">
        <v>41</v>
      </c>
      <c r="K2127">
        <v>34</v>
      </c>
      <c r="L2127">
        <v>955831</v>
      </c>
      <c r="M2127" s="26">
        <v>32498254</v>
      </c>
      <c r="N2127">
        <v>46034</v>
      </c>
      <c r="O2127" s="26">
        <v>4336169.67</v>
      </c>
      <c r="P2127" s="5" t="s">
        <v>50</v>
      </c>
      <c r="Q2127" s="5" t="s">
        <v>75</v>
      </c>
      <c r="R2127">
        <v>4</v>
      </c>
      <c r="S2127">
        <v>4</v>
      </c>
      <c r="T2127">
        <f t="shared" si="33"/>
        <v>0</v>
      </c>
    </row>
    <row r="2128" spans="1:20">
      <c r="A2128" s="4">
        <v>45482</v>
      </c>
      <c r="B2128">
        <v>2024</v>
      </c>
      <c r="C2128">
        <v>7</v>
      </c>
      <c r="D2128" s="5" t="s">
        <v>44</v>
      </c>
      <c r="E2128" s="5" t="s">
        <v>82</v>
      </c>
      <c r="F2128" s="5" t="s">
        <v>83</v>
      </c>
      <c r="G2128" s="5" t="s">
        <v>84</v>
      </c>
      <c r="H2128" s="5" t="s">
        <v>74</v>
      </c>
      <c r="I2128" s="5" t="s">
        <v>40</v>
      </c>
      <c r="J2128" s="5" t="s">
        <v>49</v>
      </c>
      <c r="K2128">
        <v>20</v>
      </c>
      <c r="L2128">
        <v>626244</v>
      </c>
      <c r="M2128" s="26">
        <v>12524880</v>
      </c>
      <c r="N2128">
        <v>28300</v>
      </c>
      <c r="O2128" s="26">
        <v>1924772.64</v>
      </c>
      <c r="P2128" s="5" t="s">
        <v>42</v>
      </c>
      <c r="Q2128" s="5" t="s">
        <v>43</v>
      </c>
      <c r="R2128">
        <v>4.7</v>
      </c>
      <c r="S2128">
        <v>11</v>
      </c>
      <c r="T2128">
        <f t="shared" si="33"/>
        <v>1</v>
      </c>
    </row>
    <row r="2129" spans="1:20">
      <c r="A2129" s="4">
        <v>45485</v>
      </c>
      <c r="B2129">
        <v>2024</v>
      </c>
      <c r="C2129">
        <v>7</v>
      </c>
      <c r="D2129" s="5" t="s">
        <v>54</v>
      </c>
      <c r="E2129" s="5" t="s">
        <v>70</v>
      </c>
      <c r="F2129" s="5" t="s">
        <v>71</v>
      </c>
      <c r="G2129" s="5" t="s">
        <v>72</v>
      </c>
      <c r="H2129" s="5" t="s">
        <v>48</v>
      </c>
      <c r="I2129" s="5" t="s">
        <v>40</v>
      </c>
      <c r="J2129" s="5" t="s">
        <v>49</v>
      </c>
      <c r="K2129">
        <v>50</v>
      </c>
      <c r="L2129">
        <v>424673</v>
      </c>
      <c r="M2129" s="26">
        <v>21233650</v>
      </c>
      <c r="N2129">
        <v>13716</v>
      </c>
      <c r="O2129" s="26">
        <v>2333209</v>
      </c>
      <c r="P2129" s="5" t="s">
        <v>50</v>
      </c>
      <c r="Q2129" s="5" t="s">
        <v>75</v>
      </c>
      <c r="R2129">
        <v>4.9000000000000004</v>
      </c>
      <c r="S2129">
        <v>21</v>
      </c>
      <c r="T2129">
        <f t="shared" si="33"/>
        <v>0</v>
      </c>
    </row>
    <row r="2130" spans="1:20">
      <c r="A2130" s="4">
        <v>45499</v>
      </c>
      <c r="B2130">
        <v>2024</v>
      </c>
      <c r="C2130">
        <v>7</v>
      </c>
      <c r="D2130" s="5" t="s">
        <v>54</v>
      </c>
      <c r="E2130" s="5" t="s">
        <v>70</v>
      </c>
      <c r="F2130" s="5" t="s">
        <v>71</v>
      </c>
      <c r="G2130" s="5" t="s">
        <v>72</v>
      </c>
      <c r="H2130" s="5" t="s">
        <v>85</v>
      </c>
      <c r="I2130" s="5" t="s">
        <v>58</v>
      </c>
      <c r="J2130" s="5" t="s">
        <v>49</v>
      </c>
      <c r="K2130">
        <v>16</v>
      </c>
      <c r="L2130">
        <v>1001421</v>
      </c>
      <c r="M2130" s="26">
        <v>16022736</v>
      </c>
      <c r="N2130">
        <v>5913</v>
      </c>
      <c r="O2130" s="26">
        <v>2220456.5499999998</v>
      </c>
      <c r="P2130" s="5" t="s">
        <v>42</v>
      </c>
      <c r="Q2130" s="5" t="s">
        <v>51</v>
      </c>
      <c r="R2130">
        <v>4.5999999999999996</v>
      </c>
      <c r="S2130">
        <v>14</v>
      </c>
      <c r="T2130">
        <f t="shared" si="33"/>
        <v>1</v>
      </c>
    </row>
    <row r="2131" spans="1:20">
      <c r="A2131" s="4">
        <v>45480</v>
      </c>
      <c r="B2131">
        <v>2024</v>
      </c>
      <c r="C2131">
        <v>7</v>
      </c>
      <c r="D2131" s="5" t="s">
        <v>35</v>
      </c>
      <c r="E2131" s="5" t="s">
        <v>76</v>
      </c>
      <c r="F2131" s="5" t="s">
        <v>77</v>
      </c>
      <c r="G2131" s="5" t="s">
        <v>78</v>
      </c>
      <c r="H2131" s="5" t="s">
        <v>52</v>
      </c>
      <c r="I2131" s="5" t="s">
        <v>53</v>
      </c>
      <c r="J2131" s="5" t="s">
        <v>41</v>
      </c>
      <c r="K2131">
        <v>34</v>
      </c>
      <c r="L2131">
        <v>970441</v>
      </c>
      <c r="M2131" s="26">
        <v>32994994</v>
      </c>
      <c r="N2131">
        <v>37553</v>
      </c>
      <c r="O2131" s="26">
        <v>4424840.87</v>
      </c>
      <c r="P2131" s="5" t="s">
        <v>42</v>
      </c>
      <c r="Q2131" s="5" t="s">
        <v>51</v>
      </c>
      <c r="R2131">
        <v>3.7</v>
      </c>
      <c r="S2131">
        <v>7</v>
      </c>
      <c r="T2131">
        <f t="shared" si="33"/>
        <v>1</v>
      </c>
    </row>
    <row r="2132" spans="1:20">
      <c r="A2132" s="4">
        <v>45490</v>
      </c>
      <c r="B2132">
        <v>2024</v>
      </c>
      <c r="C2132">
        <v>7</v>
      </c>
      <c r="D2132" s="5" t="s">
        <v>54</v>
      </c>
      <c r="E2132" s="5" t="s">
        <v>70</v>
      </c>
      <c r="F2132" s="5" t="s">
        <v>71</v>
      </c>
      <c r="G2132" s="5" t="s">
        <v>72</v>
      </c>
      <c r="H2132" s="5" t="s">
        <v>48</v>
      </c>
      <c r="I2132" s="5" t="s">
        <v>40</v>
      </c>
      <c r="J2132" s="5" t="s">
        <v>49</v>
      </c>
      <c r="K2132">
        <v>44</v>
      </c>
      <c r="L2132">
        <v>429491</v>
      </c>
      <c r="M2132" s="26">
        <v>18897604</v>
      </c>
      <c r="N2132">
        <v>11545</v>
      </c>
      <c r="O2132" s="26">
        <v>2284852.4900000002</v>
      </c>
      <c r="P2132" s="5" t="s">
        <v>42</v>
      </c>
      <c r="Q2132" s="5" t="s">
        <v>51</v>
      </c>
      <c r="R2132">
        <v>4.3</v>
      </c>
      <c r="S2132">
        <v>15</v>
      </c>
      <c r="T2132">
        <f t="shared" si="33"/>
        <v>1</v>
      </c>
    </row>
    <row r="2133" spans="1:20">
      <c r="A2133" s="4">
        <v>45474</v>
      </c>
      <c r="B2133">
        <v>2024</v>
      </c>
      <c r="C2133">
        <v>7</v>
      </c>
      <c r="D2133" s="5" t="s">
        <v>35</v>
      </c>
      <c r="E2133" s="5" t="s">
        <v>36</v>
      </c>
      <c r="F2133" s="5" t="s">
        <v>37</v>
      </c>
      <c r="G2133" s="5" t="s">
        <v>38</v>
      </c>
      <c r="H2133" s="5" t="s">
        <v>63</v>
      </c>
      <c r="I2133" s="5" t="s">
        <v>64</v>
      </c>
      <c r="J2133" s="5" t="s">
        <v>41</v>
      </c>
      <c r="K2133">
        <v>56</v>
      </c>
      <c r="L2133">
        <v>731292</v>
      </c>
      <c r="M2133" s="26">
        <v>40952352</v>
      </c>
      <c r="N2133">
        <v>10194</v>
      </c>
      <c r="O2133" s="26">
        <v>3642094.87</v>
      </c>
      <c r="P2133" s="5" t="s">
        <v>50</v>
      </c>
      <c r="Q2133" s="5" t="s">
        <v>75</v>
      </c>
      <c r="R2133">
        <v>4.3</v>
      </c>
      <c r="S2133">
        <v>9</v>
      </c>
      <c r="T2133">
        <f t="shared" si="33"/>
        <v>0</v>
      </c>
    </row>
    <row r="2134" spans="1:20">
      <c r="A2134" s="4">
        <v>45474</v>
      </c>
      <c r="B2134">
        <v>2024</v>
      </c>
      <c r="C2134">
        <v>7</v>
      </c>
      <c r="D2134" s="5" t="s">
        <v>66</v>
      </c>
      <c r="E2134" s="5" t="s">
        <v>67</v>
      </c>
      <c r="F2134" s="5" t="s">
        <v>68</v>
      </c>
      <c r="G2134" s="5" t="s">
        <v>69</v>
      </c>
      <c r="H2134" s="5" t="s">
        <v>52</v>
      </c>
      <c r="I2134" s="5" t="s">
        <v>53</v>
      </c>
      <c r="J2134" s="5" t="s">
        <v>41</v>
      </c>
      <c r="K2134">
        <v>47</v>
      </c>
      <c r="L2134">
        <v>956957</v>
      </c>
      <c r="M2134" s="26">
        <v>44976979</v>
      </c>
      <c r="N2134">
        <v>25435</v>
      </c>
      <c r="O2134" s="26">
        <v>4680834.0199999996</v>
      </c>
      <c r="P2134" s="5" t="s">
        <v>50</v>
      </c>
      <c r="Q2134" s="5" t="s">
        <v>75</v>
      </c>
      <c r="R2134">
        <v>5</v>
      </c>
      <c r="S2134">
        <v>7</v>
      </c>
      <c r="T2134">
        <f t="shared" si="33"/>
        <v>0</v>
      </c>
    </row>
    <row r="2135" spans="1:20">
      <c r="A2135" s="4">
        <v>45495</v>
      </c>
      <c r="B2135">
        <v>2024</v>
      </c>
      <c r="C2135">
        <v>7</v>
      </c>
      <c r="D2135" s="5" t="s">
        <v>44</v>
      </c>
      <c r="E2135" s="5" t="s">
        <v>82</v>
      </c>
      <c r="F2135" s="5" t="s">
        <v>83</v>
      </c>
      <c r="G2135" s="5" t="s">
        <v>84</v>
      </c>
      <c r="H2135" s="5" t="s">
        <v>57</v>
      </c>
      <c r="I2135" s="5" t="s">
        <v>58</v>
      </c>
      <c r="J2135" s="5" t="s">
        <v>59</v>
      </c>
      <c r="K2135">
        <v>34</v>
      </c>
      <c r="L2135">
        <v>1401919</v>
      </c>
      <c r="M2135" s="26">
        <v>47665246</v>
      </c>
      <c r="N2135">
        <v>44212</v>
      </c>
      <c r="O2135" s="26">
        <v>6592831.1600000001</v>
      </c>
      <c r="P2135" s="5" t="s">
        <v>50</v>
      </c>
      <c r="Q2135" s="5" t="s">
        <v>75</v>
      </c>
      <c r="R2135">
        <v>4.0999999999999996</v>
      </c>
      <c r="S2135">
        <v>19</v>
      </c>
      <c r="T2135">
        <f t="shared" si="33"/>
        <v>0</v>
      </c>
    </row>
    <row r="2136" spans="1:20">
      <c r="A2136" s="4">
        <v>45478</v>
      </c>
      <c r="B2136">
        <v>2024</v>
      </c>
      <c r="C2136">
        <v>7</v>
      </c>
      <c r="D2136" s="5" t="s">
        <v>44</v>
      </c>
      <c r="E2136" s="5" t="s">
        <v>82</v>
      </c>
      <c r="F2136" s="5" t="s">
        <v>83</v>
      </c>
      <c r="G2136" s="5" t="s">
        <v>84</v>
      </c>
      <c r="H2136" s="5" t="s">
        <v>63</v>
      </c>
      <c r="I2136" s="5" t="s">
        <v>64</v>
      </c>
      <c r="J2136" s="5" t="s">
        <v>41</v>
      </c>
      <c r="K2136">
        <v>17</v>
      </c>
      <c r="L2136">
        <v>730916</v>
      </c>
      <c r="M2136" s="26">
        <v>12425572</v>
      </c>
      <c r="N2136">
        <v>22144</v>
      </c>
      <c r="O2136" s="26">
        <v>1644571.6</v>
      </c>
      <c r="P2136" s="5" t="s">
        <v>42</v>
      </c>
      <c r="Q2136" s="5" t="s">
        <v>43</v>
      </c>
      <c r="R2136">
        <v>4</v>
      </c>
      <c r="S2136">
        <v>5</v>
      </c>
      <c r="T2136">
        <f t="shared" si="33"/>
        <v>1</v>
      </c>
    </row>
    <row r="2137" spans="1:20">
      <c r="A2137" s="4">
        <v>45485</v>
      </c>
      <c r="B2137">
        <v>2024</v>
      </c>
      <c r="C2137">
        <v>7</v>
      </c>
      <c r="D2137" s="5" t="s">
        <v>54</v>
      </c>
      <c r="E2137" s="5" t="s">
        <v>70</v>
      </c>
      <c r="F2137" s="5" t="s">
        <v>71</v>
      </c>
      <c r="G2137" s="5" t="s">
        <v>72</v>
      </c>
      <c r="H2137" s="5" t="s">
        <v>85</v>
      </c>
      <c r="I2137" s="5" t="s">
        <v>58</v>
      </c>
      <c r="J2137" s="5" t="s">
        <v>49</v>
      </c>
      <c r="K2137">
        <v>26</v>
      </c>
      <c r="L2137">
        <v>998222</v>
      </c>
      <c r="M2137" s="26">
        <v>25953772</v>
      </c>
      <c r="N2137">
        <v>36612</v>
      </c>
      <c r="O2137" s="26">
        <v>2424945</v>
      </c>
      <c r="P2137" s="5" t="s">
        <v>42</v>
      </c>
      <c r="Q2137" s="5" t="s">
        <v>75</v>
      </c>
      <c r="R2137">
        <v>4.4000000000000004</v>
      </c>
      <c r="S2137">
        <v>12</v>
      </c>
      <c r="T2137">
        <f t="shared" si="33"/>
        <v>1</v>
      </c>
    </row>
    <row r="2138" spans="1:20">
      <c r="A2138" s="4">
        <v>45498</v>
      </c>
      <c r="B2138">
        <v>2024</v>
      </c>
      <c r="C2138">
        <v>7</v>
      </c>
      <c r="D2138" s="5" t="s">
        <v>44</v>
      </c>
      <c r="E2138" s="5" t="s">
        <v>82</v>
      </c>
      <c r="F2138" s="5" t="s">
        <v>83</v>
      </c>
      <c r="G2138" s="5" t="s">
        <v>84</v>
      </c>
      <c r="H2138" s="5" t="s">
        <v>63</v>
      </c>
      <c r="I2138" s="5" t="s">
        <v>64</v>
      </c>
      <c r="J2138" s="5" t="s">
        <v>41</v>
      </c>
      <c r="K2138">
        <v>26</v>
      </c>
      <c r="L2138">
        <v>757714</v>
      </c>
      <c r="M2138" s="26">
        <v>19700564</v>
      </c>
      <c r="N2138">
        <v>44102</v>
      </c>
      <c r="O2138" s="26">
        <v>2588859.98</v>
      </c>
      <c r="P2138" s="5" t="s">
        <v>50</v>
      </c>
      <c r="Q2138" s="5" t="s">
        <v>75</v>
      </c>
      <c r="R2138">
        <v>4.5</v>
      </c>
      <c r="S2138">
        <v>20</v>
      </c>
      <c r="T2138">
        <f t="shared" si="33"/>
        <v>0</v>
      </c>
    </row>
    <row r="2139" spans="1:20">
      <c r="A2139" s="4">
        <v>45491</v>
      </c>
      <c r="B2139">
        <v>2024</v>
      </c>
      <c r="C2139">
        <v>7</v>
      </c>
      <c r="D2139" s="5" t="s">
        <v>44</v>
      </c>
      <c r="E2139" s="5" t="s">
        <v>45</v>
      </c>
      <c r="F2139" s="5" t="s">
        <v>46</v>
      </c>
      <c r="G2139" s="5" t="s">
        <v>47</v>
      </c>
      <c r="H2139" s="5" t="s">
        <v>65</v>
      </c>
      <c r="I2139" s="5" t="s">
        <v>53</v>
      </c>
      <c r="J2139" s="5" t="s">
        <v>49</v>
      </c>
      <c r="K2139">
        <v>19</v>
      </c>
      <c r="L2139">
        <v>1246955</v>
      </c>
      <c r="M2139" s="26">
        <v>23692145</v>
      </c>
      <c r="N2139">
        <v>38483</v>
      </c>
      <c r="O2139" s="26">
        <v>2434725.81</v>
      </c>
      <c r="P2139" s="5" t="s">
        <v>42</v>
      </c>
      <c r="Q2139" s="5" t="s">
        <v>51</v>
      </c>
      <c r="R2139">
        <v>4.2</v>
      </c>
      <c r="S2139">
        <v>3</v>
      </c>
      <c r="T2139">
        <f t="shared" si="33"/>
        <v>1</v>
      </c>
    </row>
    <row r="2140" spans="1:20">
      <c r="A2140" s="4">
        <v>45501</v>
      </c>
      <c r="B2140">
        <v>2024</v>
      </c>
      <c r="C2140">
        <v>7</v>
      </c>
      <c r="D2140" s="5" t="s">
        <v>35</v>
      </c>
      <c r="E2140" s="5" t="s">
        <v>76</v>
      </c>
      <c r="F2140" s="5" t="s">
        <v>77</v>
      </c>
      <c r="G2140" s="5" t="s">
        <v>78</v>
      </c>
      <c r="H2140" s="5" t="s">
        <v>52</v>
      </c>
      <c r="I2140" s="5" t="s">
        <v>53</v>
      </c>
      <c r="J2140" s="5" t="s">
        <v>41</v>
      </c>
      <c r="K2140">
        <v>23</v>
      </c>
      <c r="L2140">
        <v>943527</v>
      </c>
      <c r="M2140" s="26">
        <v>21701121</v>
      </c>
      <c r="N2140">
        <v>25669</v>
      </c>
      <c r="O2140" s="26">
        <v>1948735.24</v>
      </c>
      <c r="P2140" s="5" t="s">
        <v>42</v>
      </c>
      <c r="Q2140" s="5" t="s">
        <v>43</v>
      </c>
      <c r="R2140">
        <v>4.3</v>
      </c>
      <c r="S2140">
        <v>20</v>
      </c>
      <c r="T2140">
        <f t="shared" si="33"/>
        <v>1</v>
      </c>
    </row>
    <row r="2141" spans="1:20">
      <c r="A2141" s="4">
        <v>45481</v>
      </c>
      <c r="B2141">
        <v>2024</v>
      </c>
      <c r="C2141">
        <v>7</v>
      </c>
      <c r="D2141" s="5" t="s">
        <v>54</v>
      </c>
      <c r="E2141" s="5" t="s">
        <v>70</v>
      </c>
      <c r="F2141" s="5" t="s">
        <v>71</v>
      </c>
      <c r="G2141" s="5" t="s">
        <v>72</v>
      </c>
      <c r="H2141" s="5" t="s">
        <v>65</v>
      </c>
      <c r="I2141" s="5" t="s">
        <v>53</v>
      </c>
      <c r="J2141" s="5" t="s">
        <v>49</v>
      </c>
      <c r="K2141">
        <v>30</v>
      </c>
      <c r="L2141">
        <v>1230127</v>
      </c>
      <c r="M2141" s="26">
        <v>36903810</v>
      </c>
      <c r="N2141">
        <v>41694</v>
      </c>
      <c r="O2141" s="26">
        <v>3896640.8</v>
      </c>
      <c r="P2141" s="5" t="s">
        <v>50</v>
      </c>
      <c r="Q2141" s="5" t="s">
        <v>43</v>
      </c>
      <c r="R2141">
        <v>4.4000000000000004</v>
      </c>
      <c r="S2141">
        <v>5</v>
      </c>
      <c r="T2141">
        <f t="shared" si="33"/>
        <v>0</v>
      </c>
    </row>
    <row r="2142" spans="1:20">
      <c r="A2142" s="4">
        <v>45479</v>
      </c>
      <c r="B2142">
        <v>2024</v>
      </c>
      <c r="C2142">
        <v>7</v>
      </c>
      <c r="D2142" s="5" t="s">
        <v>35</v>
      </c>
      <c r="E2142" s="5" t="s">
        <v>36</v>
      </c>
      <c r="F2142" s="5" t="s">
        <v>37</v>
      </c>
      <c r="G2142" s="5" t="s">
        <v>38</v>
      </c>
      <c r="H2142" s="5" t="s">
        <v>85</v>
      </c>
      <c r="I2142" s="5" t="s">
        <v>58</v>
      </c>
      <c r="J2142" s="5" t="s">
        <v>49</v>
      </c>
      <c r="K2142">
        <v>38</v>
      </c>
      <c r="L2142">
        <v>989305</v>
      </c>
      <c r="M2142" s="26">
        <v>37593590</v>
      </c>
      <c r="N2142">
        <v>39909</v>
      </c>
      <c r="O2142" s="26">
        <v>4184243.43</v>
      </c>
      <c r="P2142" s="5" t="s">
        <v>50</v>
      </c>
      <c r="Q2142" s="5" t="s">
        <v>75</v>
      </c>
      <c r="R2142">
        <v>3.9</v>
      </c>
      <c r="S2142">
        <v>6</v>
      </c>
      <c r="T2142">
        <f t="shared" si="33"/>
        <v>0</v>
      </c>
    </row>
    <row r="2143" spans="1:20">
      <c r="A2143" s="4">
        <v>45477</v>
      </c>
      <c r="B2143">
        <v>2024</v>
      </c>
      <c r="C2143">
        <v>7</v>
      </c>
      <c r="D2143" s="5" t="s">
        <v>44</v>
      </c>
      <c r="E2143" s="5" t="s">
        <v>45</v>
      </c>
      <c r="F2143" s="5" t="s">
        <v>46</v>
      </c>
      <c r="G2143" s="5" t="s">
        <v>47</v>
      </c>
      <c r="H2143" s="5" t="s">
        <v>85</v>
      </c>
      <c r="I2143" s="5" t="s">
        <v>58</v>
      </c>
      <c r="J2143" s="5" t="s">
        <v>49</v>
      </c>
      <c r="K2143">
        <v>30</v>
      </c>
      <c r="L2143">
        <v>953317</v>
      </c>
      <c r="M2143" s="26">
        <v>28599510</v>
      </c>
      <c r="N2143">
        <v>31521</v>
      </c>
      <c r="O2143" s="26">
        <v>2911257.54</v>
      </c>
      <c r="P2143" s="5" t="s">
        <v>42</v>
      </c>
      <c r="Q2143" s="5" t="s">
        <v>51</v>
      </c>
      <c r="R2143">
        <v>4.5</v>
      </c>
      <c r="S2143">
        <v>17</v>
      </c>
      <c r="T2143">
        <f t="shared" si="33"/>
        <v>1</v>
      </c>
    </row>
    <row r="2144" spans="1:20">
      <c r="A2144" s="4">
        <v>45475</v>
      </c>
      <c r="B2144">
        <v>2024</v>
      </c>
      <c r="C2144">
        <v>7</v>
      </c>
      <c r="D2144" s="5" t="s">
        <v>44</v>
      </c>
      <c r="E2144" s="5" t="s">
        <v>82</v>
      </c>
      <c r="F2144" s="5" t="s">
        <v>83</v>
      </c>
      <c r="G2144" s="5" t="s">
        <v>84</v>
      </c>
      <c r="H2144" s="5" t="s">
        <v>57</v>
      </c>
      <c r="I2144" s="5" t="s">
        <v>58</v>
      </c>
      <c r="J2144" s="5" t="s">
        <v>59</v>
      </c>
      <c r="K2144">
        <v>57</v>
      </c>
      <c r="L2144">
        <v>1423614</v>
      </c>
      <c r="M2144" s="26">
        <v>81145998</v>
      </c>
      <c r="N2144">
        <v>20568</v>
      </c>
      <c r="O2144" s="26">
        <v>12560058.48</v>
      </c>
      <c r="P2144" s="5" t="s">
        <v>50</v>
      </c>
      <c r="Q2144" s="5" t="s">
        <v>51</v>
      </c>
      <c r="R2144">
        <v>4.3</v>
      </c>
      <c r="S2144">
        <v>21</v>
      </c>
      <c r="T2144">
        <f t="shared" si="33"/>
        <v>0</v>
      </c>
    </row>
    <row r="2145" spans="1:20">
      <c r="A2145" s="4">
        <v>45501</v>
      </c>
      <c r="B2145">
        <v>2024</v>
      </c>
      <c r="C2145">
        <v>7</v>
      </c>
      <c r="D2145" s="5" t="s">
        <v>44</v>
      </c>
      <c r="E2145" s="5" t="s">
        <v>45</v>
      </c>
      <c r="F2145" s="5" t="s">
        <v>46</v>
      </c>
      <c r="G2145" s="5" t="s">
        <v>47</v>
      </c>
      <c r="H2145" s="5" t="s">
        <v>48</v>
      </c>
      <c r="I2145" s="5" t="s">
        <v>40</v>
      </c>
      <c r="J2145" s="5" t="s">
        <v>49</v>
      </c>
      <c r="K2145">
        <v>46</v>
      </c>
      <c r="L2145">
        <v>433973</v>
      </c>
      <c r="M2145" s="26">
        <v>19962758</v>
      </c>
      <c r="N2145">
        <v>34301</v>
      </c>
      <c r="O2145" s="26">
        <v>1608384.13</v>
      </c>
      <c r="P2145" s="5" t="s">
        <v>42</v>
      </c>
      <c r="Q2145" s="5" t="s">
        <v>43</v>
      </c>
      <c r="R2145">
        <v>4.4000000000000004</v>
      </c>
      <c r="S2145">
        <v>2</v>
      </c>
      <c r="T2145">
        <f t="shared" si="33"/>
        <v>1</v>
      </c>
    </row>
    <row r="2146" spans="1:20">
      <c r="A2146" s="4">
        <v>45492</v>
      </c>
      <c r="B2146">
        <v>2024</v>
      </c>
      <c r="C2146">
        <v>7</v>
      </c>
      <c r="D2146" s="5" t="s">
        <v>44</v>
      </c>
      <c r="E2146" s="5" t="s">
        <v>45</v>
      </c>
      <c r="F2146" s="5" t="s">
        <v>46</v>
      </c>
      <c r="G2146" s="5" t="s">
        <v>47</v>
      </c>
      <c r="H2146" s="5" t="s">
        <v>74</v>
      </c>
      <c r="I2146" s="5" t="s">
        <v>40</v>
      </c>
      <c r="J2146" s="5" t="s">
        <v>49</v>
      </c>
      <c r="K2146">
        <v>51</v>
      </c>
      <c r="L2146">
        <v>659737</v>
      </c>
      <c r="M2146" s="26">
        <v>33646587</v>
      </c>
      <c r="N2146">
        <v>37641</v>
      </c>
      <c r="O2146" s="26">
        <v>3904458.07</v>
      </c>
      <c r="P2146" s="5" t="s">
        <v>42</v>
      </c>
      <c r="Q2146" s="5" t="s">
        <v>43</v>
      </c>
      <c r="R2146">
        <v>4.5</v>
      </c>
      <c r="S2146">
        <v>8</v>
      </c>
      <c r="T2146">
        <f t="shared" si="33"/>
        <v>1</v>
      </c>
    </row>
    <row r="2147" spans="1:20">
      <c r="A2147" s="4">
        <v>45486</v>
      </c>
      <c r="B2147">
        <v>2024</v>
      </c>
      <c r="C2147">
        <v>7</v>
      </c>
      <c r="D2147" s="5" t="s">
        <v>44</v>
      </c>
      <c r="E2147" s="5" t="s">
        <v>82</v>
      </c>
      <c r="F2147" s="5" t="s">
        <v>83</v>
      </c>
      <c r="G2147" s="5" t="s">
        <v>84</v>
      </c>
      <c r="H2147" s="5" t="s">
        <v>85</v>
      </c>
      <c r="I2147" s="5" t="s">
        <v>58</v>
      </c>
      <c r="J2147" s="5" t="s">
        <v>49</v>
      </c>
      <c r="K2147">
        <v>32</v>
      </c>
      <c r="L2147">
        <v>960426</v>
      </c>
      <c r="M2147" s="26">
        <v>30733632</v>
      </c>
      <c r="N2147">
        <v>49401</v>
      </c>
      <c r="O2147" s="26">
        <v>4018785.12</v>
      </c>
      <c r="P2147" s="5" t="s">
        <v>42</v>
      </c>
      <c r="Q2147" s="5" t="s">
        <v>75</v>
      </c>
      <c r="R2147">
        <v>3.7</v>
      </c>
      <c r="S2147">
        <v>18</v>
      </c>
      <c r="T2147">
        <f t="shared" si="33"/>
        <v>1</v>
      </c>
    </row>
    <row r="2148" spans="1:20">
      <c r="A2148" s="4">
        <v>45490</v>
      </c>
      <c r="B2148">
        <v>2024</v>
      </c>
      <c r="C2148">
        <v>7</v>
      </c>
      <c r="D2148" s="5" t="s">
        <v>44</v>
      </c>
      <c r="E2148" s="5" t="s">
        <v>45</v>
      </c>
      <c r="F2148" s="5" t="s">
        <v>46</v>
      </c>
      <c r="G2148" s="5" t="s">
        <v>47</v>
      </c>
      <c r="H2148" s="5" t="s">
        <v>86</v>
      </c>
      <c r="I2148" s="5" t="s">
        <v>40</v>
      </c>
      <c r="J2148" s="5" t="s">
        <v>41</v>
      </c>
      <c r="K2148">
        <v>6</v>
      </c>
      <c r="L2148">
        <v>577158</v>
      </c>
      <c r="M2148" s="26">
        <v>3462948</v>
      </c>
      <c r="N2148">
        <v>5921</v>
      </c>
      <c r="O2148" s="26">
        <v>406925.39</v>
      </c>
      <c r="P2148" s="5" t="s">
        <v>50</v>
      </c>
      <c r="Q2148" s="5" t="s">
        <v>51</v>
      </c>
      <c r="R2148">
        <v>4</v>
      </c>
      <c r="S2148">
        <v>4</v>
      </c>
      <c r="T2148">
        <f t="shared" si="33"/>
        <v>0</v>
      </c>
    </row>
    <row r="2149" spans="1:20">
      <c r="A2149" s="4">
        <v>45480</v>
      </c>
      <c r="B2149">
        <v>2024</v>
      </c>
      <c r="C2149">
        <v>7</v>
      </c>
      <c r="D2149" s="5" t="s">
        <v>54</v>
      </c>
      <c r="E2149" s="5" t="s">
        <v>55</v>
      </c>
      <c r="F2149" s="5" t="s">
        <v>55</v>
      </c>
      <c r="G2149" s="5" t="s">
        <v>56</v>
      </c>
      <c r="H2149" s="5" t="s">
        <v>39</v>
      </c>
      <c r="I2149" s="5" t="s">
        <v>40</v>
      </c>
      <c r="J2149" s="5" t="s">
        <v>41</v>
      </c>
      <c r="K2149">
        <v>43</v>
      </c>
      <c r="L2149">
        <v>603836</v>
      </c>
      <c r="M2149" s="26">
        <v>25964948</v>
      </c>
      <c r="N2149">
        <v>20701</v>
      </c>
      <c r="O2149" s="26">
        <v>3106279.69</v>
      </c>
      <c r="P2149" s="5" t="s">
        <v>50</v>
      </c>
      <c r="Q2149" s="5" t="s">
        <v>75</v>
      </c>
      <c r="R2149">
        <v>4.5</v>
      </c>
      <c r="S2149">
        <v>20</v>
      </c>
      <c r="T2149">
        <f t="shared" si="33"/>
        <v>0</v>
      </c>
    </row>
    <row r="2150" spans="1:20">
      <c r="A2150" s="4">
        <v>45487</v>
      </c>
      <c r="B2150">
        <v>2024</v>
      </c>
      <c r="C2150">
        <v>7</v>
      </c>
      <c r="D2150" s="5" t="s">
        <v>35</v>
      </c>
      <c r="E2150" s="5" t="s">
        <v>36</v>
      </c>
      <c r="F2150" s="5" t="s">
        <v>37</v>
      </c>
      <c r="G2150" s="5" t="s">
        <v>38</v>
      </c>
      <c r="H2150" s="5" t="s">
        <v>79</v>
      </c>
      <c r="I2150" s="5" t="s">
        <v>58</v>
      </c>
      <c r="J2150" s="5" t="s">
        <v>49</v>
      </c>
      <c r="K2150">
        <v>60</v>
      </c>
      <c r="L2150">
        <v>925560</v>
      </c>
      <c r="M2150" s="26">
        <v>55533600</v>
      </c>
      <c r="N2150">
        <v>32843</v>
      </c>
      <c r="O2150" s="26">
        <v>8363551.04</v>
      </c>
      <c r="P2150" s="5" t="s">
        <v>42</v>
      </c>
      <c r="Q2150" s="5" t="s">
        <v>51</v>
      </c>
      <c r="R2150">
        <v>4.5999999999999996</v>
      </c>
      <c r="S2150">
        <v>10</v>
      </c>
      <c r="T2150">
        <f t="shared" si="33"/>
        <v>1</v>
      </c>
    </row>
    <row r="2151" spans="1:20">
      <c r="A2151" s="4">
        <v>45500</v>
      </c>
      <c r="B2151">
        <v>2024</v>
      </c>
      <c r="C2151">
        <v>7</v>
      </c>
      <c r="D2151" s="5" t="s">
        <v>44</v>
      </c>
      <c r="E2151" s="5" t="s">
        <v>45</v>
      </c>
      <c r="F2151" s="5" t="s">
        <v>46</v>
      </c>
      <c r="G2151" s="5" t="s">
        <v>47</v>
      </c>
      <c r="H2151" s="5" t="s">
        <v>85</v>
      </c>
      <c r="I2151" s="5" t="s">
        <v>58</v>
      </c>
      <c r="J2151" s="5" t="s">
        <v>49</v>
      </c>
      <c r="K2151">
        <v>12</v>
      </c>
      <c r="L2151">
        <v>950666</v>
      </c>
      <c r="M2151" s="26">
        <v>11407992</v>
      </c>
      <c r="N2151">
        <v>30431</v>
      </c>
      <c r="O2151" s="26">
        <v>1298691.3600000001</v>
      </c>
      <c r="P2151" s="5" t="s">
        <v>42</v>
      </c>
      <c r="Q2151" s="5" t="s">
        <v>51</v>
      </c>
      <c r="R2151">
        <v>3.9</v>
      </c>
      <c r="S2151">
        <v>3</v>
      </c>
      <c r="T2151">
        <f t="shared" si="33"/>
        <v>1</v>
      </c>
    </row>
    <row r="2152" spans="1:20">
      <c r="A2152" s="4">
        <v>45532</v>
      </c>
      <c r="B2152">
        <v>2024</v>
      </c>
      <c r="C2152">
        <v>8</v>
      </c>
      <c r="D2152" s="5" t="s">
        <v>44</v>
      </c>
      <c r="E2152" s="5" t="s">
        <v>45</v>
      </c>
      <c r="F2152" s="5" t="s">
        <v>46</v>
      </c>
      <c r="G2152" s="5" t="s">
        <v>47</v>
      </c>
      <c r="H2152" s="5" t="s">
        <v>52</v>
      </c>
      <c r="I2152" s="5" t="s">
        <v>53</v>
      </c>
      <c r="J2152" s="5" t="s">
        <v>41</v>
      </c>
      <c r="K2152">
        <v>13</v>
      </c>
      <c r="L2152">
        <v>957592</v>
      </c>
      <c r="M2152" s="26">
        <v>12448696</v>
      </c>
      <c r="N2152">
        <v>49231</v>
      </c>
      <c r="O2152" s="26">
        <v>1236422.3400000001</v>
      </c>
      <c r="P2152" s="5" t="s">
        <v>42</v>
      </c>
      <c r="Q2152" s="5" t="s">
        <v>43</v>
      </c>
      <c r="R2152">
        <v>3.6</v>
      </c>
      <c r="S2152">
        <v>3</v>
      </c>
      <c r="T2152">
        <f t="shared" si="33"/>
        <v>1</v>
      </c>
    </row>
    <row r="2153" spans="1:20">
      <c r="A2153" s="4">
        <v>45516</v>
      </c>
      <c r="B2153">
        <v>2024</v>
      </c>
      <c r="C2153">
        <v>8</v>
      </c>
      <c r="D2153" s="5" t="s">
        <v>54</v>
      </c>
      <c r="E2153" s="5" t="s">
        <v>70</v>
      </c>
      <c r="F2153" s="5" t="s">
        <v>71</v>
      </c>
      <c r="G2153" s="5" t="s">
        <v>72</v>
      </c>
      <c r="H2153" s="5" t="s">
        <v>74</v>
      </c>
      <c r="I2153" s="5" t="s">
        <v>40</v>
      </c>
      <c r="J2153" s="5" t="s">
        <v>49</v>
      </c>
      <c r="K2153">
        <v>16</v>
      </c>
      <c r="L2153">
        <v>627424</v>
      </c>
      <c r="M2153" s="26">
        <v>10038784</v>
      </c>
      <c r="N2153">
        <v>15794</v>
      </c>
      <c r="O2153" s="26">
        <v>1556392.91</v>
      </c>
      <c r="P2153" s="5" t="s">
        <v>50</v>
      </c>
      <c r="Q2153" s="5" t="s">
        <v>43</v>
      </c>
      <c r="R2153">
        <v>4.5999999999999996</v>
      </c>
      <c r="S2153">
        <v>20</v>
      </c>
      <c r="T2153">
        <f t="shared" si="33"/>
        <v>0</v>
      </c>
    </row>
    <row r="2154" spans="1:20">
      <c r="A2154" s="4">
        <v>45525</v>
      </c>
      <c r="B2154">
        <v>2024</v>
      </c>
      <c r="C2154">
        <v>8</v>
      </c>
      <c r="D2154" s="5" t="s">
        <v>35</v>
      </c>
      <c r="E2154" s="5" t="s">
        <v>60</v>
      </c>
      <c r="F2154" s="5" t="s">
        <v>61</v>
      </c>
      <c r="G2154" s="5" t="s">
        <v>62</v>
      </c>
      <c r="H2154" s="5" t="s">
        <v>80</v>
      </c>
      <c r="I2154" s="5" t="s">
        <v>81</v>
      </c>
      <c r="J2154" s="5" t="s">
        <v>41</v>
      </c>
      <c r="K2154">
        <v>31</v>
      </c>
      <c r="L2154">
        <v>567396</v>
      </c>
      <c r="M2154" s="26">
        <v>17589276</v>
      </c>
      <c r="N2154">
        <v>21970</v>
      </c>
      <c r="O2154" s="26">
        <v>2134393.16</v>
      </c>
      <c r="P2154" s="5" t="s">
        <v>42</v>
      </c>
      <c r="Q2154" s="5" t="s">
        <v>75</v>
      </c>
      <c r="R2154">
        <v>3.8</v>
      </c>
      <c r="S2154">
        <v>8</v>
      </c>
      <c r="T2154">
        <f t="shared" si="33"/>
        <v>1</v>
      </c>
    </row>
    <row r="2155" spans="1:20">
      <c r="A2155" s="4">
        <v>45529</v>
      </c>
      <c r="B2155">
        <v>2024</v>
      </c>
      <c r="C2155">
        <v>8</v>
      </c>
      <c r="D2155" s="5" t="s">
        <v>66</v>
      </c>
      <c r="E2155" s="5" t="s">
        <v>67</v>
      </c>
      <c r="F2155" s="5" t="s">
        <v>68</v>
      </c>
      <c r="G2155" s="5" t="s">
        <v>69</v>
      </c>
      <c r="H2155" s="5" t="s">
        <v>48</v>
      </c>
      <c r="I2155" s="5" t="s">
        <v>40</v>
      </c>
      <c r="J2155" s="5" t="s">
        <v>49</v>
      </c>
      <c r="K2155">
        <v>33</v>
      </c>
      <c r="L2155">
        <v>467656</v>
      </c>
      <c r="M2155" s="26">
        <v>15432648</v>
      </c>
      <c r="N2155">
        <v>25690</v>
      </c>
      <c r="O2155" s="26">
        <v>1571584.17</v>
      </c>
      <c r="P2155" s="5" t="s">
        <v>42</v>
      </c>
      <c r="Q2155" s="5" t="s">
        <v>51</v>
      </c>
      <c r="R2155">
        <v>3.8</v>
      </c>
      <c r="S2155">
        <v>8</v>
      </c>
      <c r="T2155">
        <f t="shared" si="33"/>
        <v>1</v>
      </c>
    </row>
    <row r="2156" spans="1:20">
      <c r="A2156" s="4">
        <v>45528</v>
      </c>
      <c r="B2156">
        <v>2024</v>
      </c>
      <c r="C2156">
        <v>8</v>
      </c>
      <c r="D2156" s="5" t="s">
        <v>35</v>
      </c>
      <c r="E2156" s="5" t="s">
        <v>60</v>
      </c>
      <c r="F2156" s="5" t="s">
        <v>61</v>
      </c>
      <c r="G2156" s="5" t="s">
        <v>62</v>
      </c>
      <c r="H2156" s="5" t="s">
        <v>63</v>
      </c>
      <c r="I2156" s="5" t="s">
        <v>64</v>
      </c>
      <c r="J2156" s="5" t="s">
        <v>41</v>
      </c>
      <c r="K2156">
        <v>16</v>
      </c>
      <c r="L2156">
        <v>778974</v>
      </c>
      <c r="M2156" s="26">
        <v>12463584</v>
      </c>
      <c r="N2156">
        <v>49095</v>
      </c>
      <c r="O2156" s="26">
        <v>1580170.44</v>
      </c>
      <c r="P2156" s="5" t="s">
        <v>42</v>
      </c>
      <c r="Q2156" s="5" t="s">
        <v>51</v>
      </c>
      <c r="R2156">
        <v>4.5999999999999996</v>
      </c>
      <c r="S2156">
        <v>14</v>
      </c>
      <c r="T2156">
        <f t="shared" si="33"/>
        <v>1</v>
      </c>
    </row>
    <row r="2157" spans="1:20">
      <c r="A2157" s="4">
        <v>45518</v>
      </c>
      <c r="B2157">
        <v>2024</v>
      </c>
      <c r="C2157">
        <v>8</v>
      </c>
      <c r="D2157" s="5" t="s">
        <v>44</v>
      </c>
      <c r="E2157" s="5" t="s">
        <v>45</v>
      </c>
      <c r="F2157" s="5" t="s">
        <v>46</v>
      </c>
      <c r="G2157" s="5" t="s">
        <v>47</v>
      </c>
      <c r="H2157" s="5" t="s">
        <v>74</v>
      </c>
      <c r="I2157" s="5" t="s">
        <v>40</v>
      </c>
      <c r="J2157" s="5" t="s">
        <v>49</v>
      </c>
      <c r="K2157">
        <v>54</v>
      </c>
      <c r="L2157">
        <v>626870</v>
      </c>
      <c r="M2157" s="26">
        <v>33850980</v>
      </c>
      <c r="N2157">
        <v>21106</v>
      </c>
      <c r="O2157" s="26">
        <v>3376755.98</v>
      </c>
      <c r="P2157" s="5" t="s">
        <v>42</v>
      </c>
      <c r="Q2157" s="5" t="s">
        <v>43</v>
      </c>
      <c r="R2157">
        <v>4.0999999999999996</v>
      </c>
      <c r="S2157">
        <v>6</v>
      </c>
      <c r="T2157">
        <f t="shared" si="33"/>
        <v>1</v>
      </c>
    </row>
    <row r="2158" spans="1:20">
      <c r="A2158" s="4">
        <v>45530</v>
      </c>
      <c r="B2158">
        <v>2024</v>
      </c>
      <c r="C2158">
        <v>8</v>
      </c>
      <c r="D2158" s="5" t="s">
        <v>44</v>
      </c>
      <c r="E2158" s="5" t="s">
        <v>45</v>
      </c>
      <c r="F2158" s="5" t="s">
        <v>46</v>
      </c>
      <c r="G2158" s="5" t="s">
        <v>47</v>
      </c>
      <c r="H2158" s="5" t="s">
        <v>74</v>
      </c>
      <c r="I2158" s="5" t="s">
        <v>40</v>
      </c>
      <c r="J2158" s="5" t="s">
        <v>49</v>
      </c>
      <c r="K2158">
        <v>9</v>
      </c>
      <c r="L2158">
        <v>665733</v>
      </c>
      <c r="M2158" s="26">
        <v>5991597</v>
      </c>
      <c r="N2158">
        <v>17596</v>
      </c>
      <c r="O2158" s="26">
        <v>917293.91</v>
      </c>
      <c r="P2158" s="5" t="s">
        <v>50</v>
      </c>
      <c r="Q2158" s="5" t="s">
        <v>75</v>
      </c>
      <c r="R2158">
        <v>3.7</v>
      </c>
      <c r="S2158">
        <v>9</v>
      </c>
      <c r="T2158">
        <f t="shared" si="33"/>
        <v>0</v>
      </c>
    </row>
    <row r="2159" spans="1:20">
      <c r="A2159" s="4">
        <v>45516</v>
      </c>
      <c r="B2159">
        <v>2024</v>
      </c>
      <c r="C2159">
        <v>8</v>
      </c>
      <c r="D2159" s="5" t="s">
        <v>44</v>
      </c>
      <c r="E2159" s="5" t="s">
        <v>82</v>
      </c>
      <c r="F2159" s="5" t="s">
        <v>83</v>
      </c>
      <c r="G2159" s="5" t="s">
        <v>84</v>
      </c>
      <c r="H2159" s="5" t="s">
        <v>73</v>
      </c>
      <c r="I2159" s="5" t="s">
        <v>40</v>
      </c>
      <c r="J2159" s="5" t="s">
        <v>49</v>
      </c>
      <c r="K2159">
        <v>12</v>
      </c>
      <c r="L2159">
        <v>747756</v>
      </c>
      <c r="M2159" s="26">
        <v>8973072</v>
      </c>
      <c r="N2159">
        <v>12426</v>
      </c>
      <c r="O2159" s="26">
        <v>898043.99</v>
      </c>
      <c r="P2159" s="5" t="s">
        <v>50</v>
      </c>
      <c r="Q2159" s="5" t="s">
        <v>51</v>
      </c>
      <c r="R2159">
        <v>3.8</v>
      </c>
      <c r="S2159">
        <v>8</v>
      </c>
      <c r="T2159">
        <f t="shared" si="33"/>
        <v>0</v>
      </c>
    </row>
    <row r="2160" spans="1:20">
      <c r="A2160" s="4">
        <v>45529</v>
      </c>
      <c r="B2160">
        <v>2024</v>
      </c>
      <c r="C2160">
        <v>8</v>
      </c>
      <c r="D2160" s="5" t="s">
        <v>44</v>
      </c>
      <c r="E2160" s="5" t="s">
        <v>82</v>
      </c>
      <c r="F2160" s="5" t="s">
        <v>83</v>
      </c>
      <c r="G2160" s="5" t="s">
        <v>84</v>
      </c>
      <c r="H2160" s="5" t="s">
        <v>48</v>
      </c>
      <c r="I2160" s="5" t="s">
        <v>40</v>
      </c>
      <c r="J2160" s="5" t="s">
        <v>49</v>
      </c>
      <c r="K2160">
        <v>18</v>
      </c>
      <c r="L2160">
        <v>457670</v>
      </c>
      <c r="M2160" s="26">
        <v>8238060</v>
      </c>
      <c r="N2160">
        <v>21706</v>
      </c>
      <c r="O2160" s="26">
        <v>903137.01</v>
      </c>
      <c r="P2160" s="5" t="s">
        <v>50</v>
      </c>
      <c r="Q2160" s="5" t="s">
        <v>43</v>
      </c>
      <c r="R2160">
        <v>4.7</v>
      </c>
      <c r="S2160">
        <v>5</v>
      </c>
      <c r="T2160">
        <f t="shared" si="33"/>
        <v>0</v>
      </c>
    </row>
    <row r="2161" spans="1:20">
      <c r="A2161" s="4">
        <v>45506</v>
      </c>
      <c r="B2161">
        <v>2024</v>
      </c>
      <c r="C2161">
        <v>8</v>
      </c>
      <c r="D2161" s="5" t="s">
        <v>35</v>
      </c>
      <c r="E2161" s="5" t="s">
        <v>76</v>
      </c>
      <c r="F2161" s="5" t="s">
        <v>77</v>
      </c>
      <c r="G2161" s="5" t="s">
        <v>78</v>
      </c>
      <c r="H2161" s="5" t="s">
        <v>73</v>
      </c>
      <c r="I2161" s="5" t="s">
        <v>40</v>
      </c>
      <c r="J2161" s="5" t="s">
        <v>49</v>
      </c>
      <c r="K2161">
        <v>35</v>
      </c>
      <c r="L2161">
        <v>737509</v>
      </c>
      <c r="M2161" s="26">
        <v>25812815</v>
      </c>
      <c r="N2161">
        <v>25527</v>
      </c>
      <c r="O2161" s="26">
        <v>3611627.4</v>
      </c>
      <c r="P2161" s="5" t="s">
        <v>42</v>
      </c>
      <c r="Q2161" s="5" t="s">
        <v>51</v>
      </c>
      <c r="R2161">
        <v>4.2</v>
      </c>
      <c r="S2161">
        <v>10</v>
      </c>
      <c r="T2161">
        <f t="shared" si="33"/>
        <v>1</v>
      </c>
    </row>
    <row r="2162" spans="1:20">
      <c r="A2162" s="4">
        <v>45512</v>
      </c>
      <c r="B2162">
        <v>2024</v>
      </c>
      <c r="C2162">
        <v>8</v>
      </c>
      <c r="D2162" s="5" t="s">
        <v>54</v>
      </c>
      <c r="E2162" s="5" t="s">
        <v>70</v>
      </c>
      <c r="F2162" s="5" t="s">
        <v>71</v>
      </c>
      <c r="G2162" s="5" t="s">
        <v>72</v>
      </c>
      <c r="H2162" s="5" t="s">
        <v>63</v>
      </c>
      <c r="I2162" s="5" t="s">
        <v>64</v>
      </c>
      <c r="J2162" s="5" t="s">
        <v>41</v>
      </c>
      <c r="K2162">
        <v>13</v>
      </c>
      <c r="L2162">
        <v>733198</v>
      </c>
      <c r="M2162" s="26">
        <v>9531574</v>
      </c>
      <c r="N2162">
        <v>9943</v>
      </c>
      <c r="O2162" s="26">
        <v>1418292.34</v>
      </c>
      <c r="P2162" s="5" t="s">
        <v>42</v>
      </c>
      <c r="Q2162" s="5" t="s">
        <v>43</v>
      </c>
      <c r="R2162">
        <v>4.0999999999999996</v>
      </c>
      <c r="S2162">
        <v>14</v>
      </c>
      <c r="T2162">
        <f t="shared" si="33"/>
        <v>1</v>
      </c>
    </row>
    <row r="2163" spans="1:20">
      <c r="A2163" s="4">
        <v>45527</v>
      </c>
      <c r="B2163">
        <v>2024</v>
      </c>
      <c r="C2163">
        <v>8</v>
      </c>
      <c r="D2163" s="5" t="s">
        <v>35</v>
      </c>
      <c r="E2163" s="5" t="s">
        <v>60</v>
      </c>
      <c r="F2163" s="5" t="s">
        <v>61</v>
      </c>
      <c r="G2163" s="5" t="s">
        <v>62</v>
      </c>
      <c r="H2163" s="5" t="s">
        <v>39</v>
      </c>
      <c r="I2163" s="5" t="s">
        <v>40</v>
      </c>
      <c r="J2163" s="5" t="s">
        <v>41</v>
      </c>
      <c r="K2163">
        <v>47</v>
      </c>
      <c r="L2163">
        <v>584906</v>
      </c>
      <c r="M2163" s="26">
        <v>27490582</v>
      </c>
      <c r="N2163">
        <v>42768</v>
      </c>
      <c r="O2163" s="26">
        <v>3195001.74</v>
      </c>
      <c r="P2163" s="5" t="s">
        <v>50</v>
      </c>
      <c r="Q2163" s="5" t="s">
        <v>51</v>
      </c>
      <c r="R2163">
        <v>3.8</v>
      </c>
      <c r="S2163">
        <v>5</v>
      </c>
      <c r="T2163">
        <f t="shared" si="33"/>
        <v>0</v>
      </c>
    </row>
    <row r="2164" spans="1:20">
      <c r="A2164" s="4">
        <v>45525</v>
      </c>
      <c r="B2164">
        <v>2024</v>
      </c>
      <c r="C2164">
        <v>8</v>
      </c>
      <c r="D2164" s="5" t="s">
        <v>35</v>
      </c>
      <c r="E2164" s="5" t="s">
        <v>60</v>
      </c>
      <c r="F2164" s="5" t="s">
        <v>61</v>
      </c>
      <c r="G2164" s="5" t="s">
        <v>62</v>
      </c>
      <c r="H2164" s="5" t="s">
        <v>65</v>
      </c>
      <c r="I2164" s="5" t="s">
        <v>53</v>
      </c>
      <c r="J2164" s="5" t="s">
        <v>49</v>
      </c>
      <c r="K2164">
        <v>39</v>
      </c>
      <c r="L2164">
        <v>1252721</v>
      </c>
      <c r="M2164" s="26">
        <v>48856119</v>
      </c>
      <c r="N2164">
        <v>30984</v>
      </c>
      <c r="O2164" s="26">
        <v>4498918.8600000003</v>
      </c>
      <c r="P2164" s="5" t="s">
        <v>50</v>
      </c>
      <c r="Q2164" s="5" t="s">
        <v>75</v>
      </c>
      <c r="R2164">
        <v>4.3</v>
      </c>
      <c r="S2164">
        <v>10</v>
      </c>
      <c r="T2164">
        <f t="shared" si="33"/>
        <v>0</v>
      </c>
    </row>
    <row r="2165" spans="1:20">
      <c r="A2165" s="4">
        <v>45520</v>
      </c>
      <c r="B2165">
        <v>2024</v>
      </c>
      <c r="C2165">
        <v>8</v>
      </c>
      <c r="D2165" s="5" t="s">
        <v>54</v>
      </c>
      <c r="E2165" s="5" t="s">
        <v>70</v>
      </c>
      <c r="F2165" s="5" t="s">
        <v>71</v>
      </c>
      <c r="G2165" s="5" t="s">
        <v>72</v>
      </c>
      <c r="H2165" s="5" t="s">
        <v>73</v>
      </c>
      <c r="I2165" s="5" t="s">
        <v>40</v>
      </c>
      <c r="J2165" s="5" t="s">
        <v>49</v>
      </c>
      <c r="K2165">
        <v>24</v>
      </c>
      <c r="L2165">
        <v>746028</v>
      </c>
      <c r="M2165" s="26">
        <v>17904672</v>
      </c>
      <c r="N2165">
        <v>10121</v>
      </c>
      <c r="O2165" s="26">
        <v>1551981.68</v>
      </c>
      <c r="P2165" s="5" t="s">
        <v>42</v>
      </c>
      <c r="Q2165" s="5" t="s">
        <v>43</v>
      </c>
      <c r="R2165">
        <v>4.7</v>
      </c>
      <c r="S2165">
        <v>7</v>
      </c>
      <c r="T2165">
        <f t="shared" si="33"/>
        <v>1</v>
      </c>
    </row>
    <row r="2166" spans="1:20">
      <c r="A2166" s="4">
        <v>45530</v>
      </c>
      <c r="B2166">
        <v>2024</v>
      </c>
      <c r="C2166">
        <v>8</v>
      </c>
      <c r="D2166" s="5" t="s">
        <v>54</v>
      </c>
      <c r="E2166" s="5" t="s">
        <v>55</v>
      </c>
      <c r="F2166" s="5" t="s">
        <v>55</v>
      </c>
      <c r="G2166" s="5" t="s">
        <v>56</v>
      </c>
      <c r="H2166" s="5" t="s">
        <v>85</v>
      </c>
      <c r="I2166" s="5" t="s">
        <v>58</v>
      </c>
      <c r="J2166" s="5" t="s">
        <v>49</v>
      </c>
      <c r="K2166">
        <v>20</v>
      </c>
      <c r="L2166">
        <v>984247</v>
      </c>
      <c r="M2166" s="26">
        <v>19684940</v>
      </c>
      <c r="N2166">
        <v>27331</v>
      </c>
      <c r="O2166" s="26">
        <v>3093212.19</v>
      </c>
      <c r="P2166" s="5" t="s">
        <v>42</v>
      </c>
      <c r="Q2166" s="5" t="s">
        <v>75</v>
      </c>
      <c r="R2166">
        <v>3.5</v>
      </c>
      <c r="S2166">
        <v>2</v>
      </c>
      <c r="T2166">
        <f t="shared" si="33"/>
        <v>1</v>
      </c>
    </row>
    <row r="2167" spans="1:20">
      <c r="A2167" s="4">
        <v>45516</v>
      </c>
      <c r="B2167">
        <v>2024</v>
      </c>
      <c r="C2167">
        <v>8</v>
      </c>
      <c r="D2167" s="5" t="s">
        <v>35</v>
      </c>
      <c r="E2167" s="5" t="s">
        <v>36</v>
      </c>
      <c r="F2167" s="5" t="s">
        <v>37</v>
      </c>
      <c r="G2167" s="5" t="s">
        <v>38</v>
      </c>
      <c r="H2167" s="5" t="s">
        <v>63</v>
      </c>
      <c r="I2167" s="5" t="s">
        <v>64</v>
      </c>
      <c r="J2167" s="5" t="s">
        <v>41</v>
      </c>
      <c r="K2167">
        <v>14</v>
      </c>
      <c r="L2167">
        <v>746390</v>
      </c>
      <c r="M2167" s="26">
        <v>10449460</v>
      </c>
      <c r="N2167">
        <v>23135</v>
      </c>
      <c r="O2167" s="26">
        <v>1273337.03</v>
      </c>
      <c r="P2167" s="5" t="s">
        <v>42</v>
      </c>
      <c r="Q2167" s="5" t="s">
        <v>51</v>
      </c>
      <c r="R2167">
        <v>4.0999999999999996</v>
      </c>
      <c r="S2167">
        <v>4</v>
      </c>
      <c r="T2167">
        <f t="shared" si="33"/>
        <v>1</v>
      </c>
    </row>
    <row r="2168" spans="1:20">
      <c r="A2168" s="4">
        <v>45530</v>
      </c>
      <c r="B2168">
        <v>2024</v>
      </c>
      <c r="C2168">
        <v>8</v>
      </c>
      <c r="D2168" s="5" t="s">
        <v>35</v>
      </c>
      <c r="E2168" s="5" t="s">
        <v>36</v>
      </c>
      <c r="F2168" s="5" t="s">
        <v>37</v>
      </c>
      <c r="G2168" s="5" t="s">
        <v>38</v>
      </c>
      <c r="H2168" s="5" t="s">
        <v>48</v>
      </c>
      <c r="I2168" s="5" t="s">
        <v>40</v>
      </c>
      <c r="J2168" s="5" t="s">
        <v>49</v>
      </c>
      <c r="K2168">
        <v>18</v>
      </c>
      <c r="L2168">
        <v>438461</v>
      </c>
      <c r="M2168" s="26">
        <v>7892298</v>
      </c>
      <c r="N2168">
        <v>6743</v>
      </c>
      <c r="O2168" s="26">
        <v>1128053.27</v>
      </c>
      <c r="P2168" s="5" t="s">
        <v>50</v>
      </c>
      <c r="Q2168" s="5" t="s">
        <v>75</v>
      </c>
      <c r="R2168">
        <v>5</v>
      </c>
      <c r="S2168">
        <v>14</v>
      </c>
      <c r="T2168">
        <f t="shared" si="33"/>
        <v>0</v>
      </c>
    </row>
    <row r="2169" spans="1:20">
      <c r="A2169" s="4">
        <v>45527</v>
      </c>
      <c r="B2169">
        <v>2024</v>
      </c>
      <c r="C2169">
        <v>8</v>
      </c>
      <c r="D2169" s="5" t="s">
        <v>66</v>
      </c>
      <c r="E2169" s="5" t="s">
        <v>67</v>
      </c>
      <c r="F2169" s="5" t="s">
        <v>68</v>
      </c>
      <c r="G2169" s="5" t="s">
        <v>69</v>
      </c>
      <c r="H2169" s="5" t="s">
        <v>86</v>
      </c>
      <c r="I2169" s="5" t="s">
        <v>40</v>
      </c>
      <c r="J2169" s="5" t="s">
        <v>41</v>
      </c>
      <c r="K2169">
        <v>26</v>
      </c>
      <c r="L2169">
        <v>626751</v>
      </c>
      <c r="M2169" s="26">
        <v>16295526</v>
      </c>
      <c r="N2169">
        <v>32384</v>
      </c>
      <c r="O2169" s="26">
        <v>2255102</v>
      </c>
      <c r="P2169" s="5" t="s">
        <v>42</v>
      </c>
      <c r="Q2169" s="5" t="s">
        <v>43</v>
      </c>
      <c r="R2169">
        <v>4.4000000000000004</v>
      </c>
      <c r="S2169">
        <v>12</v>
      </c>
      <c r="T2169">
        <f t="shared" si="33"/>
        <v>1</v>
      </c>
    </row>
    <row r="2170" spans="1:20">
      <c r="A2170" s="4">
        <v>45530</v>
      </c>
      <c r="B2170">
        <v>2024</v>
      </c>
      <c r="C2170">
        <v>8</v>
      </c>
      <c r="D2170" s="5" t="s">
        <v>35</v>
      </c>
      <c r="E2170" s="5" t="s">
        <v>76</v>
      </c>
      <c r="F2170" s="5" t="s">
        <v>77</v>
      </c>
      <c r="G2170" s="5" t="s">
        <v>78</v>
      </c>
      <c r="H2170" s="5" t="s">
        <v>48</v>
      </c>
      <c r="I2170" s="5" t="s">
        <v>40</v>
      </c>
      <c r="J2170" s="5" t="s">
        <v>49</v>
      </c>
      <c r="K2170">
        <v>53</v>
      </c>
      <c r="L2170">
        <v>462109</v>
      </c>
      <c r="M2170" s="26">
        <v>24491777</v>
      </c>
      <c r="N2170">
        <v>33045</v>
      </c>
      <c r="O2170" s="26">
        <v>2667958.04</v>
      </c>
      <c r="P2170" s="5" t="s">
        <v>50</v>
      </c>
      <c r="Q2170" s="5" t="s">
        <v>51</v>
      </c>
      <c r="R2170">
        <v>3.8</v>
      </c>
      <c r="S2170">
        <v>15</v>
      </c>
      <c r="T2170">
        <f t="shared" si="33"/>
        <v>0</v>
      </c>
    </row>
    <row r="2171" spans="1:20">
      <c r="A2171" s="4">
        <v>45522</v>
      </c>
      <c r="B2171">
        <v>2024</v>
      </c>
      <c r="C2171">
        <v>8</v>
      </c>
      <c r="D2171" s="5" t="s">
        <v>66</v>
      </c>
      <c r="E2171" s="5" t="s">
        <v>67</v>
      </c>
      <c r="F2171" s="5" t="s">
        <v>68</v>
      </c>
      <c r="G2171" s="5" t="s">
        <v>69</v>
      </c>
      <c r="H2171" s="5" t="s">
        <v>86</v>
      </c>
      <c r="I2171" s="5" t="s">
        <v>40</v>
      </c>
      <c r="J2171" s="5" t="s">
        <v>41</v>
      </c>
      <c r="K2171">
        <v>29</v>
      </c>
      <c r="L2171">
        <v>574449</v>
      </c>
      <c r="M2171" s="26">
        <v>16659021</v>
      </c>
      <c r="N2171">
        <v>23224</v>
      </c>
      <c r="O2171" s="26">
        <v>2444351.21</v>
      </c>
      <c r="P2171" s="5" t="s">
        <v>42</v>
      </c>
      <c r="Q2171" s="5" t="s">
        <v>75</v>
      </c>
      <c r="R2171">
        <v>4.5999999999999996</v>
      </c>
      <c r="S2171">
        <v>12</v>
      </c>
      <c r="T2171">
        <f t="shared" si="33"/>
        <v>1</v>
      </c>
    </row>
    <row r="2172" spans="1:20">
      <c r="A2172" s="4">
        <v>45524</v>
      </c>
      <c r="B2172">
        <v>2024</v>
      </c>
      <c r="C2172">
        <v>8</v>
      </c>
      <c r="D2172" s="5" t="s">
        <v>54</v>
      </c>
      <c r="E2172" s="5" t="s">
        <v>55</v>
      </c>
      <c r="F2172" s="5" t="s">
        <v>55</v>
      </c>
      <c r="G2172" s="5" t="s">
        <v>56</v>
      </c>
      <c r="H2172" s="5" t="s">
        <v>52</v>
      </c>
      <c r="I2172" s="5" t="s">
        <v>53</v>
      </c>
      <c r="J2172" s="5" t="s">
        <v>41</v>
      </c>
      <c r="K2172">
        <v>44</v>
      </c>
      <c r="L2172">
        <v>945163</v>
      </c>
      <c r="M2172" s="26">
        <v>41587172</v>
      </c>
      <c r="N2172">
        <v>24390</v>
      </c>
      <c r="O2172" s="26">
        <v>6349772.5199999996</v>
      </c>
      <c r="P2172" s="5" t="s">
        <v>50</v>
      </c>
      <c r="Q2172" s="5" t="s">
        <v>75</v>
      </c>
      <c r="R2172">
        <v>3.9</v>
      </c>
      <c r="S2172">
        <v>13</v>
      </c>
      <c r="T2172">
        <f t="shared" si="33"/>
        <v>0</v>
      </c>
    </row>
    <row r="2173" spans="1:20">
      <c r="A2173" s="4">
        <v>45519</v>
      </c>
      <c r="B2173">
        <v>2024</v>
      </c>
      <c r="C2173">
        <v>8</v>
      </c>
      <c r="D2173" s="5" t="s">
        <v>66</v>
      </c>
      <c r="E2173" s="5" t="s">
        <v>67</v>
      </c>
      <c r="F2173" s="5" t="s">
        <v>68</v>
      </c>
      <c r="G2173" s="5" t="s">
        <v>69</v>
      </c>
      <c r="H2173" s="5" t="s">
        <v>39</v>
      </c>
      <c r="I2173" s="5" t="s">
        <v>40</v>
      </c>
      <c r="J2173" s="5" t="s">
        <v>41</v>
      </c>
      <c r="K2173">
        <v>32</v>
      </c>
      <c r="L2173">
        <v>602374</v>
      </c>
      <c r="M2173" s="26">
        <v>19275968</v>
      </c>
      <c r="N2173">
        <v>27475</v>
      </c>
      <c r="O2173" s="26">
        <v>2654995.61</v>
      </c>
      <c r="P2173" s="5" t="s">
        <v>50</v>
      </c>
      <c r="Q2173" s="5" t="s">
        <v>43</v>
      </c>
      <c r="R2173">
        <v>4.2</v>
      </c>
      <c r="S2173">
        <v>2</v>
      </c>
      <c r="T2173">
        <f t="shared" si="33"/>
        <v>0</v>
      </c>
    </row>
    <row r="2174" spans="1:20">
      <c r="A2174" s="4">
        <v>45517</v>
      </c>
      <c r="B2174">
        <v>2024</v>
      </c>
      <c r="C2174">
        <v>8</v>
      </c>
      <c r="D2174" s="5" t="s">
        <v>35</v>
      </c>
      <c r="E2174" s="5" t="s">
        <v>60</v>
      </c>
      <c r="F2174" s="5" t="s">
        <v>61</v>
      </c>
      <c r="G2174" s="5" t="s">
        <v>62</v>
      </c>
      <c r="H2174" s="5" t="s">
        <v>48</v>
      </c>
      <c r="I2174" s="5" t="s">
        <v>40</v>
      </c>
      <c r="J2174" s="5" t="s">
        <v>49</v>
      </c>
      <c r="K2174">
        <v>11</v>
      </c>
      <c r="L2174">
        <v>446279</v>
      </c>
      <c r="M2174" s="26">
        <v>4909069</v>
      </c>
      <c r="N2174">
        <v>35174</v>
      </c>
      <c r="O2174" s="26">
        <v>719404.49</v>
      </c>
      <c r="P2174" s="5" t="s">
        <v>50</v>
      </c>
      <c r="Q2174" s="5" t="s">
        <v>51</v>
      </c>
      <c r="R2174">
        <v>3.6</v>
      </c>
      <c r="S2174">
        <v>14</v>
      </c>
      <c r="T2174">
        <f t="shared" si="33"/>
        <v>0</v>
      </c>
    </row>
    <row r="2175" spans="1:20">
      <c r="A2175" s="4">
        <v>45515</v>
      </c>
      <c r="B2175">
        <v>2024</v>
      </c>
      <c r="C2175">
        <v>8</v>
      </c>
      <c r="D2175" s="5" t="s">
        <v>54</v>
      </c>
      <c r="E2175" s="5" t="s">
        <v>55</v>
      </c>
      <c r="F2175" s="5" t="s">
        <v>55</v>
      </c>
      <c r="G2175" s="5" t="s">
        <v>56</v>
      </c>
      <c r="H2175" s="5" t="s">
        <v>57</v>
      </c>
      <c r="I2175" s="5" t="s">
        <v>58</v>
      </c>
      <c r="J2175" s="5" t="s">
        <v>59</v>
      </c>
      <c r="K2175">
        <v>37</v>
      </c>
      <c r="L2175">
        <v>1422295</v>
      </c>
      <c r="M2175" s="26">
        <v>52624915</v>
      </c>
      <c r="N2175">
        <v>12187</v>
      </c>
      <c r="O2175" s="26">
        <v>5973262</v>
      </c>
      <c r="P2175" s="5" t="s">
        <v>50</v>
      </c>
      <c r="Q2175" s="5" t="s">
        <v>51</v>
      </c>
      <c r="R2175">
        <v>4</v>
      </c>
      <c r="S2175">
        <v>6</v>
      </c>
      <c r="T2175">
        <f t="shared" si="33"/>
        <v>0</v>
      </c>
    </row>
    <row r="2176" spans="1:20">
      <c r="A2176" s="4">
        <v>45513</v>
      </c>
      <c r="B2176">
        <v>2024</v>
      </c>
      <c r="C2176">
        <v>8</v>
      </c>
      <c r="D2176" s="5" t="s">
        <v>35</v>
      </c>
      <c r="E2176" s="5" t="s">
        <v>60</v>
      </c>
      <c r="F2176" s="5" t="s">
        <v>61</v>
      </c>
      <c r="G2176" s="5" t="s">
        <v>62</v>
      </c>
      <c r="H2176" s="5" t="s">
        <v>52</v>
      </c>
      <c r="I2176" s="5" t="s">
        <v>53</v>
      </c>
      <c r="J2176" s="5" t="s">
        <v>41</v>
      </c>
      <c r="K2176">
        <v>37</v>
      </c>
      <c r="L2176">
        <v>965368</v>
      </c>
      <c r="M2176" s="26">
        <v>35718616</v>
      </c>
      <c r="N2176">
        <v>35580</v>
      </c>
      <c r="O2176" s="26">
        <v>5683850.5599999996</v>
      </c>
      <c r="P2176" s="5" t="s">
        <v>50</v>
      </c>
      <c r="Q2176" s="5" t="s">
        <v>75</v>
      </c>
      <c r="R2176">
        <v>4.9000000000000004</v>
      </c>
      <c r="S2176">
        <v>4</v>
      </c>
      <c r="T2176">
        <f t="shared" si="33"/>
        <v>0</v>
      </c>
    </row>
    <row r="2177" spans="1:20">
      <c r="A2177" s="4">
        <v>45524</v>
      </c>
      <c r="B2177">
        <v>2024</v>
      </c>
      <c r="C2177">
        <v>8</v>
      </c>
      <c r="D2177" s="5" t="s">
        <v>44</v>
      </c>
      <c r="E2177" s="5" t="s">
        <v>82</v>
      </c>
      <c r="F2177" s="5" t="s">
        <v>83</v>
      </c>
      <c r="G2177" s="5" t="s">
        <v>84</v>
      </c>
      <c r="H2177" s="5" t="s">
        <v>85</v>
      </c>
      <c r="I2177" s="5" t="s">
        <v>58</v>
      </c>
      <c r="J2177" s="5" t="s">
        <v>49</v>
      </c>
      <c r="K2177">
        <v>7</v>
      </c>
      <c r="L2177">
        <v>972845</v>
      </c>
      <c r="M2177" s="26">
        <v>6809915</v>
      </c>
      <c r="N2177">
        <v>40783</v>
      </c>
      <c r="O2177" s="26">
        <v>863686.15</v>
      </c>
      <c r="P2177" s="5" t="s">
        <v>50</v>
      </c>
      <c r="Q2177" s="5" t="s">
        <v>51</v>
      </c>
      <c r="R2177">
        <v>4.0999999999999996</v>
      </c>
      <c r="S2177">
        <v>9</v>
      </c>
      <c r="T2177">
        <f t="shared" si="33"/>
        <v>0</v>
      </c>
    </row>
    <row r="2178" spans="1:20">
      <c r="A2178" s="4">
        <v>45527</v>
      </c>
      <c r="B2178">
        <v>2024</v>
      </c>
      <c r="C2178">
        <v>8</v>
      </c>
      <c r="D2178" s="5" t="s">
        <v>35</v>
      </c>
      <c r="E2178" s="5" t="s">
        <v>60</v>
      </c>
      <c r="F2178" s="5" t="s">
        <v>61</v>
      </c>
      <c r="G2178" s="5" t="s">
        <v>62</v>
      </c>
      <c r="H2178" s="5" t="s">
        <v>48</v>
      </c>
      <c r="I2178" s="5" t="s">
        <v>40</v>
      </c>
      <c r="J2178" s="5" t="s">
        <v>49</v>
      </c>
      <c r="K2178">
        <v>26</v>
      </c>
      <c r="L2178">
        <v>429504</v>
      </c>
      <c r="M2178" s="26">
        <v>11167104</v>
      </c>
      <c r="N2178">
        <v>34367</v>
      </c>
      <c r="O2178" s="26">
        <v>1413199.32</v>
      </c>
      <c r="P2178" s="5" t="s">
        <v>42</v>
      </c>
      <c r="Q2178" s="5" t="s">
        <v>75</v>
      </c>
      <c r="R2178">
        <v>4.7</v>
      </c>
      <c r="S2178">
        <v>2</v>
      </c>
      <c r="T2178">
        <f t="shared" ref="T2178:T2241" si="34">IF(AND(OR($B2178=Sel_Year,Sel_Year="All"),OR($C2178=Sel_Month,Sel_Month="All"),OR($D2178=Sel_Region,Sel_Region="All"),OR($E2178=Sel_State,Sel_State="All"),OR($F2178=Sel_City,Sel_City="All"),OR($G2178=Sel_Dealer,Sel_Dealer="All"),OR($H2178=Sel_Model,Sel_Model="All"),OR($I2178=Sel_Segment,Sel_Segment="All"),OR($J2178=Sel_Fuel,Sel_Fuel="All"),OR($P2178=Sel_CustType,Sel_CustType="All"),OR($Q2178=Sel_Payment,Sel_Payment="All")),1,0)</f>
        <v>1</v>
      </c>
    </row>
    <row r="2179" spans="1:20">
      <c r="A2179" s="4">
        <v>45528</v>
      </c>
      <c r="B2179">
        <v>2024</v>
      </c>
      <c r="C2179">
        <v>8</v>
      </c>
      <c r="D2179" s="5" t="s">
        <v>35</v>
      </c>
      <c r="E2179" s="5" t="s">
        <v>36</v>
      </c>
      <c r="F2179" s="5" t="s">
        <v>37</v>
      </c>
      <c r="G2179" s="5" t="s">
        <v>38</v>
      </c>
      <c r="H2179" s="5" t="s">
        <v>74</v>
      </c>
      <c r="I2179" s="5" t="s">
        <v>40</v>
      </c>
      <c r="J2179" s="5" t="s">
        <v>49</v>
      </c>
      <c r="K2179">
        <v>13</v>
      </c>
      <c r="L2179">
        <v>626738</v>
      </c>
      <c r="M2179" s="26">
        <v>8147594</v>
      </c>
      <c r="N2179">
        <v>26939</v>
      </c>
      <c r="O2179" s="26">
        <v>1257589.3899999999</v>
      </c>
      <c r="P2179" s="5" t="s">
        <v>42</v>
      </c>
      <c r="Q2179" s="5" t="s">
        <v>43</v>
      </c>
      <c r="R2179">
        <v>3.7</v>
      </c>
      <c r="S2179">
        <v>11</v>
      </c>
      <c r="T2179">
        <f t="shared" si="34"/>
        <v>1</v>
      </c>
    </row>
    <row r="2180" spans="1:20">
      <c r="A2180" s="4">
        <v>45530</v>
      </c>
      <c r="B2180">
        <v>2024</v>
      </c>
      <c r="C2180">
        <v>8</v>
      </c>
      <c r="D2180" s="5" t="s">
        <v>35</v>
      </c>
      <c r="E2180" s="5" t="s">
        <v>76</v>
      </c>
      <c r="F2180" s="5" t="s">
        <v>77</v>
      </c>
      <c r="G2180" s="5" t="s">
        <v>78</v>
      </c>
      <c r="H2180" s="5" t="s">
        <v>63</v>
      </c>
      <c r="I2180" s="5" t="s">
        <v>64</v>
      </c>
      <c r="J2180" s="5" t="s">
        <v>41</v>
      </c>
      <c r="K2180">
        <v>52</v>
      </c>
      <c r="L2180">
        <v>737320</v>
      </c>
      <c r="M2180" s="26">
        <v>38340640</v>
      </c>
      <c r="N2180">
        <v>44355</v>
      </c>
      <c r="O2180" s="26">
        <v>3850392.57</v>
      </c>
      <c r="P2180" s="5" t="s">
        <v>42</v>
      </c>
      <c r="Q2180" s="5" t="s">
        <v>75</v>
      </c>
      <c r="R2180">
        <v>4.3</v>
      </c>
      <c r="S2180">
        <v>12</v>
      </c>
      <c r="T2180">
        <f t="shared" si="34"/>
        <v>1</v>
      </c>
    </row>
    <row r="2181" spans="1:20">
      <c r="A2181" s="4">
        <v>45507</v>
      </c>
      <c r="B2181">
        <v>2024</v>
      </c>
      <c r="C2181">
        <v>8</v>
      </c>
      <c r="D2181" s="5" t="s">
        <v>54</v>
      </c>
      <c r="E2181" s="5" t="s">
        <v>70</v>
      </c>
      <c r="F2181" s="5" t="s">
        <v>71</v>
      </c>
      <c r="G2181" s="5" t="s">
        <v>72</v>
      </c>
      <c r="H2181" s="5" t="s">
        <v>63</v>
      </c>
      <c r="I2181" s="5" t="s">
        <v>64</v>
      </c>
      <c r="J2181" s="5" t="s">
        <v>41</v>
      </c>
      <c r="K2181">
        <v>10</v>
      </c>
      <c r="L2181">
        <v>742916</v>
      </c>
      <c r="M2181" s="26">
        <v>7429160</v>
      </c>
      <c r="N2181">
        <v>35155</v>
      </c>
      <c r="O2181" s="26">
        <v>1002185.35</v>
      </c>
      <c r="P2181" s="5" t="s">
        <v>42</v>
      </c>
      <c r="Q2181" s="5" t="s">
        <v>75</v>
      </c>
      <c r="R2181">
        <v>4.3</v>
      </c>
      <c r="S2181">
        <v>20</v>
      </c>
      <c r="T2181">
        <f t="shared" si="34"/>
        <v>1</v>
      </c>
    </row>
    <row r="2182" spans="1:20">
      <c r="A2182" s="4">
        <v>45518</v>
      </c>
      <c r="B2182">
        <v>2024</v>
      </c>
      <c r="C2182">
        <v>8</v>
      </c>
      <c r="D2182" s="5" t="s">
        <v>44</v>
      </c>
      <c r="E2182" s="5" t="s">
        <v>45</v>
      </c>
      <c r="F2182" s="5" t="s">
        <v>46</v>
      </c>
      <c r="G2182" s="5" t="s">
        <v>47</v>
      </c>
      <c r="H2182" s="5" t="s">
        <v>48</v>
      </c>
      <c r="I2182" s="5" t="s">
        <v>40</v>
      </c>
      <c r="J2182" s="5" t="s">
        <v>49</v>
      </c>
      <c r="K2182">
        <v>14</v>
      </c>
      <c r="L2182">
        <v>468421</v>
      </c>
      <c r="M2182" s="26">
        <v>6557894</v>
      </c>
      <c r="N2182">
        <v>11227</v>
      </c>
      <c r="O2182" s="26">
        <v>546461.12</v>
      </c>
      <c r="P2182" s="5" t="s">
        <v>50</v>
      </c>
      <c r="Q2182" s="5" t="s">
        <v>51</v>
      </c>
      <c r="R2182">
        <v>4.5</v>
      </c>
      <c r="S2182">
        <v>18</v>
      </c>
      <c r="T2182">
        <f t="shared" si="34"/>
        <v>0</v>
      </c>
    </row>
    <row r="2183" spans="1:20">
      <c r="A2183" s="4">
        <v>45508</v>
      </c>
      <c r="B2183">
        <v>2024</v>
      </c>
      <c r="C2183">
        <v>8</v>
      </c>
      <c r="D2183" s="5" t="s">
        <v>35</v>
      </c>
      <c r="E2183" s="5" t="s">
        <v>60</v>
      </c>
      <c r="F2183" s="5" t="s">
        <v>61</v>
      </c>
      <c r="G2183" s="5" t="s">
        <v>62</v>
      </c>
      <c r="H2183" s="5" t="s">
        <v>80</v>
      </c>
      <c r="I2183" s="5" t="s">
        <v>81</v>
      </c>
      <c r="J2183" s="5" t="s">
        <v>41</v>
      </c>
      <c r="K2183">
        <v>15</v>
      </c>
      <c r="L2183">
        <v>550124</v>
      </c>
      <c r="M2183" s="26">
        <v>8251860</v>
      </c>
      <c r="N2183">
        <v>12155</v>
      </c>
      <c r="O2183" s="26">
        <v>834346.04</v>
      </c>
      <c r="P2183" s="5" t="s">
        <v>50</v>
      </c>
      <c r="Q2183" s="5" t="s">
        <v>43</v>
      </c>
      <c r="R2183">
        <v>3.6</v>
      </c>
      <c r="S2183">
        <v>13</v>
      </c>
      <c r="T2183">
        <f t="shared" si="34"/>
        <v>0</v>
      </c>
    </row>
    <row r="2184" spans="1:20">
      <c r="A2184" s="4">
        <v>45525</v>
      </c>
      <c r="B2184">
        <v>2024</v>
      </c>
      <c r="C2184">
        <v>8</v>
      </c>
      <c r="D2184" s="5" t="s">
        <v>35</v>
      </c>
      <c r="E2184" s="5" t="s">
        <v>76</v>
      </c>
      <c r="F2184" s="5" t="s">
        <v>77</v>
      </c>
      <c r="G2184" s="5" t="s">
        <v>78</v>
      </c>
      <c r="H2184" s="5" t="s">
        <v>79</v>
      </c>
      <c r="I2184" s="5" t="s">
        <v>58</v>
      </c>
      <c r="J2184" s="5" t="s">
        <v>49</v>
      </c>
      <c r="K2184">
        <v>33</v>
      </c>
      <c r="L2184">
        <v>911640</v>
      </c>
      <c r="M2184" s="26">
        <v>30084120</v>
      </c>
      <c r="N2184">
        <v>43207</v>
      </c>
      <c r="O2184" s="26">
        <v>3886313.79</v>
      </c>
      <c r="P2184" s="5" t="s">
        <v>42</v>
      </c>
      <c r="Q2184" s="5" t="s">
        <v>43</v>
      </c>
      <c r="R2184">
        <v>3.6</v>
      </c>
      <c r="S2184">
        <v>12</v>
      </c>
      <c r="T2184">
        <f t="shared" si="34"/>
        <v>1</v>
      </c>
    </row>
    <row r="2185" spans="1:20">
      <c r="A2185" s="4">
        <v>45527</v>
      </c>
      <c r="B2185">
        <v>2024</v>
      </c>
      <c r="C2185">
        <v>8</v>
      </c>
      <c r="D2185" s="5" t="s">
        <v>54</v>
      </c>
      <c r="E2185" s="5" t="s">
        <v>55</v>
      </c>
      <c r="F2185" s="5" t="s">
        <v>55</v>
      </c>
      <c r="G2185" s="5" t="s">
        <v>56</v>
      </c>
      <c r="H2185" s="5" t="s">
        <v>65</v>
      </c>
      <c r="I2185" s="5" t="s">
        <v>53</v>
      </c>
      <c r="J2185" s="5" t="s">
        <v>49</v>
      </c>
      <c r="K2185">
        <v>31</v>
      </c>
      <c r="L2185">
        <v>1267231</v>
      </c>
      <c r="M2185" s="26">
        <v>39284161</v>
      </c>
      <c r="N2185">
        <v>17716</v>
      </c>
      <c r="O2185" s="26">
        <v>5138081.2</v>
      </c>
      <c r="P2185" s="5" t="s">
        <v>42</v>
      </c>
      <c r="Q2185" s="5" t="s">
        <v>51</v>
      </c>
      <c r="R2185">
        <v>4.3</v>
      </c>
      <c r="S2185">
        <v>12</v>
      </c>
      <c r="T2185">
        <f t="shared" si="34"/>
        <v>1</v>
      </c>
    </row>
    <row r="2186" spans="1:20">
      <c r="A2186" s="4">
        <v>45522</v>
      </c>
      <c r="B2186">
        <v>2024</v>
      </c>
      <c r="C2186">
        <v>8</v>
      </c>
      <c r="D2186" s="5" t="s">
        <v>35</v>
      </c>
      <c r="E2186" s="5" t="s">
        <v>76</v>
      </c>
      <c r="F2186" s="5" t="s">
        <v>77</v>
      </c>
      <c r="G2186" s="5" t="s">
        <v>78</v>
      </c>
      <c r="H2186" s="5" t="s">
        <v>63</v>
      </c>
      <c r="I2186" s="5" t="s">
        <v>64</v>
      </c>
      <c r="J2186" s="5" t="s">
        <v>41</v>
      </c>
      <c r="K2186">
        <v>30</v>
      </c>
      <c r="L2186">
        <v>765449</v>
      </c>
      <c r="M2186" s="26">
        <v>22963470</v>
      </c>
      <c r="N2186">
        <v>44574</v>
      </c>
      <c r="O2186" s="26">
        <v>2609442.2999999998</v>
      </c>
      <c r="P2186" s="5" t="s">
        <v>50</v>
      </c>
      <c r="Q2186" s="5" t="s">
        <v>51</v>
      </c>
      <c r="R2186">
        <v>3.7</v>
      </c>
      <c r="S2186">
        <v>20</v>
      </c>
      <c r="T2186">
        <f t="shared" si="34"/>
        <v>0</v>
      </c>
    </row>
    <row r="2187" spans="1:20">
      <c r="A2187" s="4">
        <v>45527</v>
      </c>
      <c r="B2187">
        <v>2024</v>
      </c>
      <c r="C2187">
        <v>8</v>
      </c>
      <c r="D2187" s="5" t="s">
        <v>54</v>
      </c>
      <c r="E2187" s="5" t="s">
        <v>55</v>
      </c>
      <c r="F2187" s="5" t="s">
        <v>55</v>
      </c>
      <c r="G2187" s="5" t="s">
        <v>56</v>
      </c>
      <c r="H2187" s="5" t="s">
        <v>80</v>
      </c>
      <c r="I2187" s="5" t="s">
        <v>81</v>
      </c>
      <c r="J2187" s="5" t="s">
        <v>41</v>
      </c>
      <c r="K2187">
        <v>17</v>
      </c>
      <c r="L2187">
        <v>557140</v>
      </c>
      <c r="M2187" s="26">
        <v>9471380</v>
      </c>
      <c r="N2187">
        <v>14711</v>
      </c>
      <c r="O2187" s="26">
        <v>993640.07</v>
      </c>
      <c r="P2187" s="5" t="s">
        <v>50</v>
      </c>
      <c r="Q2187" s="5" t="s">
        <v>75</v>
      </c>
      <c r="R2187">
        <v>3.9</v>
      </c>
      <c r="S2187">
        <v>20</v>
      </c>
      <c r="T2187">
        <f t="shared" si="34"/>
        <v>0</v>
      </c>
    </row>
    <row r="2188" spans="1:20">
      <c r="A2188" s="4">
        <v>45532</v>
      </c>
      <c r="B2188">
        <v>2024</v>
      </c>
      <c r="C2188">
        <v>8</v>
      </c>
      <c r="D2188" s="5" t="s">
        <v>44</v>
      </c>
      <c r="E2188" s="5" t="s">
        <v>45</v>
      </c>
      <c r="F2188" s="5" t="s">
        <v>46</v>
      </c>
      <c r="G2188" s="5" t="s">
        <v>47</v>
      </c>
      <c r="H2188" s="5" t="s">
        <v>57</v>
      </c>
      <c r="I2188" s="5" t="s">
        <v>58</v>
      </c>
      <c r="J2188" s="5" t="s">
        <v>59</v>
      </c>
      <c r="K2188">
        <v>55</v>
      </c>
      <c r="L2188">
        <v>1373831</v>
      </c>
      <c r="M2188" s="26">
        <v>75560705</v>
      </c>
      <c r="N2188">
        <v>27390</v>
      </c>
      <c r="O2188" s="26">
        <v>7253488.2300000004</v>
      </c>
      <c r="P2188" s="5" t="s">
        <v>50</v>
      </c>
      <c r="Q2188" s="5" t="s">
        <v>43</v>
      </c>
      <c r="R2188">
        <v>3.6</v>
      </c>
      <c r="S2188">
        <v>12</v>
      </c>
      <c r="T2188">
        <f t="shared" si="34"/>
        <v>0</v>
      </c>
    </row>
    <row r="2189" spans="1:20">
      <c r="A2189" s="4">
        <v>45526</v>
      </c>
      <c r="B2189">
        <v>2024</v>
      </c>
      <c r="C2189">
        <v>8</v>
      </c>
      <c r="D2189" s="5" t="s">
        <v>44</v>
      </c>
      <c r="E2189" s="5" t="s">
        <v>82</v>
      </c>
      <c r="F2189" s="5" t="s">
        <v>83</v>
      </c>
      <c r="G2189" s="5" t="s">
        <v>84</v>
      </c>
      <c r="H2189" s="5" t="s">
        <v>39</v>
      </c>
      <c r="I2189" s="5" t="s">
        <v>40</v>
      </c>
      <c r="J2189" s="5" t="s">
        <v>41</v>
      </c>
      <c r="K2189">
        <v>37</v>
      </c>
      <c r="L2189">
        <v>594812</v>
      </c>
      <c r="M2189" s="26">
        <v>22008044</v>
      </c>
      <c r="N2189">
        <v>12632</v>
      </c>
      <c r="O2189" s="26">
        <v>2916594.47</v>
      </c>
      <c r="P2189" s="5" t="s">
        <v>42</v>
      </c>
      <c r="Q2189" s="5" t="s">
        <v>75</v>
      </c>
      <c r="R2189">
        <v>4.9000000000000004</v>
      </c>
      <c r="S2189">
        <v>8</v>
      </c>
      <c r="T2189">
        <f t="shared" si="34"/>
        <v>1</v>
      </c>
    </row>
    <row r="2190" spans="1:20">
      <c r="A2190" s="4">
        <v>45509</v>
      </c>
      <c r="B2190">
        <v>2024</v>
      </c>
      <c r="C2190">
        <v>8</v>
      </c>
      <c r="D2190" s="5" t="s">
        <v>44</v>
      </c>
      <c r="E2190" s="5" t="s">
        <v>45</v>
      </c>
      <c r="F2190" s="5" t="s">
        <v>46</v>
      </c>
      <c r="G2190" s="5" t="s">
        <v>47</v>
      </c>
      <c r="H2190" s="5" t="s">
        <v>57</v>
      </c>
      <c r="I2190" s="5" t="s">
        <v>58</v>
      </c>
      <c r="J2190" s="5" t="s">
        <v>59</v>
      </c>
      <c r="K2190">
        <v>19</v>
      </c>
      <c r="L2190">
        <v>1417036</v>
      </c>
      <c r="M2190" s="26">
        <v>26923684</v>
      </c>
      <c r="N2190">
        <v>18258</v>
      </c>
      <c r="O2190" s="26">
        <v>4258289.53</v>
      </c>
      <c r="P2190" s="5" t="s">
        <v>42</v>
      </c>
      <c r="Q2190" s="5" t="s">
        <v>75</v>
      </c>
      <c r="R2190">
        <v>5</v>
      </c>
      <c r="S2190">
        <v>13</v>
      </c>
      <c r="T2190">
        <f t="shared" si="34"/>
        <v>1</v>
      </c>
    </row>
    <row r="2191" spans="1:20">
      <c r="A2191" s="4">
        <v>45515</v>
      </c>
      <c r="B2191">
        <v>2024</v>
      </c>
      <c r="C2191">
        <v>8</v>
      </c>
      <c r="D2191" s="5" t="s">
        <v>44</v>
      </c>
      <c r="E2191" s="5" t="s">
        <v>45</v>
      </c>
      <c r="F2191" s="5" t="s">
        <v>46</v>
      </c>
      <c r="G2191" s="5" t="s">
        <v>47</v>
      </c>
      <c r="H2191" s="5" t="s">
        <v>65</v>
      </c>
      <c r="I2191" s="5" t="s">
        <v>53</v>
      </c>
      <c r="J2191" s="5" t="s">
        <v>49</v>
      </c>
      <c r="K2191">
        <v>36</v>
      </c>
      <c r="L2191">
        <v>1226737</v>
      </c>
      <c r="M2191" s="26">
        <v>44162532</v>
      </c>
      <c r="N2191">
        <v>14682</v>
      </c>
      <c r="O2191" s="26">
        <v>5632134.7199999997</v>
      </c>
      <c r="P2191" s="5" t="s">
        <v>42</v>
      </c>
      <c r="Q2191" s="5" t="s">
        <v>75</v>
      </c>
      <c r="R2191">
        <v>3.6</v>
      </c>
      <c r="S2191">
        <v>16</v>
      </c>
      <c r="T2191">
        <f t="shared" si="34"/>
        <v>1</v>
      </c>
    </row>
    <row r="2192" spans="1:20">
      <c r="A2192" s="4">
        <v>45512</v>
      </c>
      <c r="B2192">
        <v>2024</v>
      </c>
      <c r="C2192">
        <v>8</v>
      </c>
      <c r="D2192" s="5" t="s">
        <v>66</v>
      </c>
      <c r="E2192" s="5" t="s">
        <v>67</v>
      </c>
      <c r="F2192" s="5" t="s">
        <v>68</v>
      </c>
      <c r="G2192" s="5" t="s">
        <v>69</v>
      </c>
      <c r="H2192" s="5" t="s">
        <v>39</v>
      </c>
      <c r="I2192" s="5" t="s">
        <v>40</v>
      </c>
      <c r="J2192" s="5" t="s">
        <v>41</v>
      </c>
      <c r="K2192">
        <v>11</v>
      </c>
      <c r="L2192">
        <v>578381</v>
      </c>
      <c r="M2192" s="26">
        <v>6362191</v>
      </c>
      <c r="N2192">
        <v>39012</v>
      </c>
      <c r="O2192" s="26">
        <v>763395.49</v>
      </c>
      <c r="P2192" s="5" t="s">
        <v>42</v>
      </c>
      <c r="Q2192" s="5" t="s">
        <v>51</v>
      </c>
      <c r="R2192">
        <v>4.5999999999999996</v>
      </c>
      <c r="S2192">
        <v>15</v>
      </c>
      <c r="T2192">
        <f t="shared" si="34"/>
        <v>1</v>
      </c>
    </row>
    <row r="2193" spans="1:20">
      <c r="A2193" s="4">
        <v>45531</v>
      </c>
      <c r="B2193">
        <v>2024</v>
      </c>
      <c r="C2193">
        <v>8</v>
      </c>
      <c r="D2193" s="5" t="s">
        <v>35</v>
      </c>
      <c r="E2193" s="5" t="s">
        <v>60</v>
      </c>
      <c r="F2193" s="5" t="s">
        <v>61</v>
      </c>
      <c r="G2193" s="5" t="s">
        <v>62</v>
      </c>
      <c r="H2193" s="5" t="s">
        <v>86</v>
      </c>
      <c r="I2193" s="5" t="s">
        <v>40</v>
      </c>
      <c r="J2193" s="5" t="s">
        <v>41</v>
      </c>
      <c r="K2193">
        <v>51</v>
      </c>
      <c r="L2193">
        <v>581066</v>
      </c>
      <c r="M2193" s="26">
        <v>29634366</v>
      </c>
      <c r="N2193">
        <v>38102</v>
      </c>
      <c r="O2193" s="26">
        <v>4465810.26</v>
      </c>
      <c r="P2193" s="5" t="s">
        <v>50</v>
      </c>
      <c r="Q2193" s="5" t="s">
        <v>75</v>
      </c>
      <c r="R2193">
        <v>4.9000000000000004</v>
      </c>
      <c r="S2193">
        <v>17</v>
      </c>
      <c r="T2193">
        <f t="shared" si="34"/>
        <v>0</v>
      </c>
    </row>
    <row r="2194" spans="1:20">
      <c r="A2194" s="4">
        <v>45505</v>
      </c>
      <c r="B2194">
        <v>2024</v>
      </c>
      <c r="C2194">
        <v>8</v>
      </c>
      <c r="D2194" s="5" t="s">
        <v>66</v>
      </c>
      <c r="E2194" s="5" t="s">
        <v>67</v>
      </c>
      <c r="F2194" s="5" t="s">
        <v>68</v>
      </c>
      <c r="G2194" s="5" t="s">
        <v>69</v>
      </c>
      <c r="H2194" s="5" t="s">
        <v>79</v>
      </c>
      <c r="I2194" s="5" t="s">
        <v>58</v>
      </c>
      <c r="J2194" s="5" t="s">
        <v>49</v>
      </c>
      <c r="K2194">
        <v>30</v>
      </c>
      <c r="L2194">
        <v>893481</v>
      </c>
      <c r="M2194" s="26">
        <v>26804430</v>
      </c>
      <c r="N2194">
        <v>16751</v>
      </c>
      <c r="O2194" s="26">
        <v>3666027.79</v>
      </c>
      <c r="P2194" s="5" t="s">
        <v>50</v>
      </c>
      <c r="Q2194" s="5" t="s">
        <v>75</v>
      </c>
      <c r="R2194">
        <v>4.2</v>
      </c>
      <c r="S2194">
        <v>20</v>
      </c>
      <c r="T2194">
        <f t="shared" si="34"/>
        <v>0</v>
      </c>
    </row>
    <row r="2195" spans="1:20">
      <c r="A2195" s="4">
        <v>45506</v>
      </c>
      <c r="B2195">
        <v>2024</v>
      </c>
      <c r="C2195">
        <v>8</v>
      </c>
      <c r="D2195" s="5" t="s">
        <v>54</v>
      </c>
      <c r="E2195" s="5" t="s">
        <v>70</v>
      </c>
      <c r="F2195" s="5" t="s">
        <v>71</v>
      </c>
      <c r="G2195" s="5" t="s">
        <v>72</v>
      </c>
      <c r="H2195" s="5" t="s">
        <v>39</v>
      </c>
      <c r="I2195" s="5" t="s">
        <v>40</v>
      </c>
      <c r="J2195" s="5" t="s">
        <v>41</v>
      </c>
      <c r="K2195">
        <v>57</v>
      </c>
      <c r="L2195">
        <v>578518</v>
      </c>
      <c r="M2195" s="26">
        <v>32975526</v>
      </c>
      <c r="N2195">
        <v>48597</v>
      </c>
      <c r="O2195" s="26">
        <v>3879867.01</v>
      </c>
      <c r="P2195" s="5" t="s">
        <v>50</v>
      </c>
      <c r="Q2195" s="5" t="s">
        <v>75</v>
      </c>
      <c r="R2195">
        <v>4.3</v>
      </c>
      <c r="S2195">
        <v>3</v>
      </c>
      <c r="T2195">
        <f t="shared" si="34"/>
        <v>0</v>
      </c>
    </row>
    <row r="2196" spans="1:20">
      <c r="A2196" s="4">
        <v>45528</v>
      </c>
      <c r="B2196">
        <v>2024</v>
      </c>
      <c r="C2196">
        <v>8</v>
      </c>
      <c r="D2196" s="5" t="s">
        <v>54</v>
      </c>
      <c r="E2196" s="5" t="s">
        <v>55</v>
      </c>
      <c r="F2196" s="5" t="s">
        <v>55</v>
      </c>
      <c r="G2196" s="5" t="s">
        <v>56</v>
      </c>
      <c r="H2196" s="5" t="s">
        <v>79</v>
      </c>
      <c r="I2196" s="5" t="s">
        <v>58</v>
      </c>
      <c r="J2196" s="5" t="s">
        <v>49</v>
      </c>
      <c r="K2196">
        <v>15</v>
      </c>
      <c r="L2196">
        <v>874391</v>
      </c>
      <c r="M2196" s="26">
        <v>13115865</v>
      </c>
      <c r="N2196">
        <v>20453</v>
      </c>
      <c r="O2196" s="26">
        <v>2051681.43</v>
      </c>
      <c r="P2196" s="5" t="s">
        <v>50</v>
      </c>
      <c r="Q2196" s="5" t="s">
        <v>75</v>
      </c>
      <c r="R2196">
        <v>4.4000000000000004</v>
      </c>
      <c r="S2196">
        <v>11</v>
      </c>
      <c r="T2196">
        <f t="shared" si="34"/>
        <v>0</v>
      </c>
    </row>
    <row r="2197" spans="1:20">
      <c r="A2197" s="4">
        <v>45510</v>
      </c>
      <c r="B2197">
        <v>2024</v>
      </c>
      <c r="C2197">
        <v>8</v>
      </c>
      <c r="D2197" s="5" t="s">
        <v>35</v>
      </c>
      <c r="E2197" s="5" t="s">
        <v>76</v>
      </c>
      <c r="F2197" s="5" t="s">
        <v>77</v>
      </c>
      <c r="G2197" s="5" t="s">
        <v>78</v>
      </c>
      <c r="H2197" s="5" t="s">
        <v>73</v>
      </c>
      <c r="I2197" s="5" t="s">
        <v>40</v>
      </c>
      <c r="J2197" s="5" t="s">
        <v>49</v>
      </c>
      <c r="K2197">
        <v>43</v>
      </c>
      <c r="L2197">
        <v>713456</v>
      </c>
      <c r="M2197" s="26">
        <v>30678608</v>
      </c>
      <c r="N2197">
        <v>34554</v>
      </c>
      <c r="O2197" s="26">
        <v>3166766.57</v>
      </c>
      <c r="P2197" s="5" t="s">
        <v>50</v>
      </c>
      <c r="Q2197" s="5" t="s">
        <v>43</v>
      </c>
      <c r="R2197">
        <v>4</v>
      </c>
      <c r="S2197">
        <v>13</v>
      </c>
      <c r="T2197">
        <f t="shared" si="34"/>
        <v>0</v>
      </c>
    </row>
    <row r="2198" spans="1:20">
      <c r="A2198" s="4">
        <v>45511</v>
      </c>
      <c r="B2198">
        <v>2024</v>
      </c>
      <c r="C2198">
        <v>8</v>
      </c>
      <c r="D2198" s="5" t="s">
        <v>35</v>
      </c>
      <c r="E2198" s="5" t="s">
        <v>76</v>
      </c>
      <c r="F2198" s="5" t="s">
        <v>77</v>
      </c>
      <c r="G2198" s="5" t="s">
        <v>78</v>
      </c>
      <c r="H2198" s="5" t="s">
        <v>74</v>
      </c>
      <c r="I2198" s="5" t="s">
        <v>40</v>
      </c>
      <c r="J2198" s="5" t="s">
        <v>49</v>
      </c>
      <c r="K2198">
        <v>10</v>
      </c>
      <c r="L2198">
        <v>658155</v>
      </c>
      <c r="M2198" s="26">
        <v>6581550</v>
      </c>
      <c r="N2198">
        <v>32655</v>
      </c>
      <c r="O2198" s="26">
        <v>772511.4</v>
      </c>
      <c r="P2198" s="5" t="s">
        <v>42</v>
      </c>
      <c r="Q2198" s="5" t="s">
        <v>51</v>
      </c>
      <c r="R2198">
        <v>4.2</v>
      </c>
      <c r="S2198">
        <v>3</v>
      </c>
      <c r="T2198">
        <f t="shared" si="34"/>
        <v>1</v>
      </c>
    </row>
    <row r="2199" spans="1:20">
      <c r="A2199" s="4">
        <v>45529</v>
      </c>
      <c r="B2199">
        <v>2024</v>
      </c>
      <c r="C2199">
        <v>8</v>
      </c>
      <c r="D2199" s="5" t="s">
        <v>35</v>
      </c>
      <c r="E2199" s="5" t="s">
        <v>36</v>
      </c>
      <c r="F2199" s="5" t="s">
        <v>37</v>
      </c>
      <c r="G2199" s="5" t="s">
        <v>38</v>
      </c>
      <c r="H2199" s="5" t="s">
        <v>85</v>
      </c>
      <c r="I2199" s="5" t="s">
        <v>58</v>
      </c>
      <c r="J2199" s="5" t="s">
        <v>49</v>
      </c>
      <c r="K2199">
        <v>5</v>
      </c>
      <c r="L2199">
        <v>1006000</v>
      </c>
      <c r="M2199" s="26">
        <v>5030000</v>
      </c>
      <c r="N2199">
        <v>44042</v>
      </c>
      <c r="O2199" s="26">
        <v>719546.37</v>
      </c>
      <c r="P2199" s="5" t="s">
        <v>50</v>
      </c>
      <c r="Q2199" s="5" t="s">
        <v>51</v>
      </c>
      <c r="R2199">
        <v>4.4000000000000004</v>
      </c>
      <c r="S2199">
        <v>6</v>
      </c>
      <c r="T2199">
        <f t="shared" si="34"/>
        <v>0</v>
      </c>
    </row>
    <row r="2200" spans="1:20">
      <c r="A2200" s="4">
        <v>45505</v>
      </c>
      <c r="B2200">
        <v>2024</v>
      </c>
      <c r="C2200">
        <v>8</v>
      </c>
      <c r="D2200" s="5" t="s">
        <v>35</v>
      </c>
      <c r="E2200" s="5" t="s">
        <v>76</v>
      </c>
      <c r="F2200" s="5" t="s">
        <v>77</v>
      </c>
      <c r="G2200" s="5" t="s">
        <v>78</v>
      </c>
      <c r="H2200" s="5" t="s">
        <v>48</v>
      </c>
      <c r="I2200" s="5" t="s">
        <v>40</v>
      </c>
      <c r="J2200" s="5" t="s">
        <v>49</v>
      </c>
      <c r="K2200">
        <v>6</v>
      </c>
      <c r="L2200">
        <v>459670</v>
      </c>
      <c r="M2200" s="26">
        <v>2758020</v>
      </c>
      <c r="N2200">
        <v>45215</v>
      </c>
      <c r="O2200" s="26">
        <v>254370.29</v>
      </c>
      <c r="P2200" s="5" t="s">
        <v>42</v>
      </c>
      <c r="Q2200" s="5" t="s">
        <v>51</v>
      </c>
      <c r="R2200">
        <v>3.6</v>
      </c>
      <c r="S2200">
        <v>5</v>
      </c>
      <c r="T2200">
        <f t="shared" si="34"/>
        <v>1</v>
      </c>
    </row>
    <row r="2201" spans="1:20">
      <c r="A2201" s="4">
        <v>45507</v>
      </c>
      <c r="B2201">
        <v>2024</v>
      </c>
      <c r="C2201">
        <v>8</v>
      </c>
      <c r="D2201" s="5" t="s">
        <v>44</v>
      </c>
      <c r="E2201" s="5" t="s">
        <v>82</v>
      </c>
      <c r="F2201" s="5" t="s">
        <v>83</v>
      </c>
      <c r="G2201" s="5" t="s">
        <v>84</v>
      </c>
      <c r="H2201" s="5" t="s">
        <v>73</v>
      </c>
      <c r="I2201" s="5" t="s">
        <v>40</v>
      </c>
      <c r="J2201" s="5" t="s">
        <v>49</v>
      </c>
      <c r="K2201">
        <v>40</v>
      </c>
      <c r="L2201">
        <v>746611</v>
      </c>
      <c r="M2201" s="26">
        <v>29864440</v>
      </c>
      <c r="N2201">
        <v>26702</v>
      </c>
      <c r="O2201" s="26">
        <v>4467301.7300000004</v>
      </c>
      <c r="P2201" s="5" t="s">
        <v>42</v>
      </c>
      <c r="Q2201" s="5" t="s">
        <v>43</v>
      </c>
      <c r="R2201">
        <v>3.8</v>
      </c>
      <c r="S2201">
        <v>2</v>
      </c>
      <c r="T2201">
        <f t="shared" si="34"/>
        <v>1</v>
      </c>
    </row>
    <row r="2202" spans="1:20">
      <c r="A2202" s="4">
        <v>45556</v>
      </c>
      <c r="B2202">
        <v>2024</v>
      </c>
      <c r="C2202">
        <v>9</v>
      </c>
      <c r="D2202" s="5" t="s">
        <v>54</v>
      </c>
      <c r="E2202" s="5" t="s">
        <v>70</v>
      </c>
      <c r="F2202" s="5" t="s">
        <v>71</v>
      </c>
      <c r="G2202" s="5" t="s">
        <v>72</v>
      </c>
      <c r="H2202" s="5" t="s">
        <v>79</v>
      </c>
      <c r="I2202" s="5" t="s">
        <v>58</v>
      </c>
      <c r="J2202" s="5" t="s">
        <v>49</v>
      </c>
      <c r="K2202">
        <v>26</v>
      </c>
      <c r="L2202">
        <v>914467</v>
      </c>
      <c r="M2202" s="26">
        <v>23776142</v>
      </c>
      <c r="N2202">
        <v>11419</v>
      </c>
      <c r="O2202" s="26">
        <v>3032844.08</v>
      </c>
      <c r="P2202" s="5" t="s">
        <v>42</v>
      </c>
      <c r="Q2202" s="5" t="s">
        <v>43</v>
      </c>
      <c r="R2202">
        <v>3.5</v>
      </c>
      <c r="S2202">
        <v>8</v>
      </c>
      <c r="T2202">
        <f t="shared" si="34"/>
        <v>1</v>
      </c>
    </row>
    <row r="2203" spans="1:20">
      <c r="A2203" s="4">
        <v>45543</v>
      </c>
      <c r="B2203">
        <v>2024</v>
      </c>
      <c r="C2203">
        <v>9</v>
      </c>
      <c r="D2203" s="5" t="s">
        <v>35</v>
      </c>
      <c r="E2203" s="5" t="s">
        <v>36</v>
      </c>
      <c r="F2203" s="5" t="s">
        <v>37</v>
      </c>
      <c r="G2203" s="5" t="s">
        <v>38</v>
      </c>
      <c r="H2203" s="5" t="s">
        <v>74</v>
      </c>
      <c r="I2203" s="5" t="s">
        <v>40</v>
      </c>
      <c r="J2203" s="5" t="s">
        <v>49</v>
      </c>
      <c r="K2203">
        <v>31</v>
      </c>
      <c r="L2203">
        <v>647639</v>
      </c>
      <c r="M2203" s="26">
        <v>20076809</v>
      </c>
      <c r="N2203">
        <v>27701</v>
      </c>
      <c r="O2203" s="26">
        <v>2441230.69</v>
      </c>
      <c r="P2203" s="5" t="s">
        <v>42</v>
      </c>
      <c r="Q2203" s="5" t="s">
        <v>43</v>
      </c>
      <c r="R2203">
        <v>3.8</v>
      </c>
      <c r="S2203">
        <v>20</v>
      </c>
      <c r="T2203">
        <f t="shared" si="34"/>
        <v>1</v>
      </c>
    </row>
    <row r="2204" spans="1:20">
      <c r="A2204" s="4">
        <v>45541</v>
      </c>
      <c r="B2204">
        <v>2024</v>
      </c>
      <c r="C2204">
        <v>9</v>
      </c>
      <c r="D2204" s="5" t="s">
        <v>66</v>
      </c>
      <c r="E2204" s="5" t="s">
        <v>67</v>
      </c>
      <c r="F2204" s="5" t="s">
        <v>68</v>
      </c>
      <c r="G2204" s="5" t="s">
        <v>69</v>
      </c>
      <c r="H2204" s="5" t="s">
        <v>52</v>
      </c>
      <c r="I2204" s="5" t="s">
        <v>53</v>
      </c>
      <c r="J2204" s="5" t="s">
        <v>41</v>
      </c>
      <c r="K2204">
        <v>60</v>
      </c>
      <c r="L2204">
        <v>973847</v>
      </c>
      <c r="M2204" s="26">
        <v>58430820</v>
      </c>
      <c r="N2204">
        <v>39087</v>
      </c>
      <c r="O2204" s="26">
        <v>7589444.7199999997</v>
      </c>
      <c r="P2204" s="5" t="s">
        <v>50</v>
      </c>
      <c r="Q2204" s="5" t="s">
        <v>75</v>
      </c>
      <c r="R2204">
        <v>4.9000000000000004</v>
      </c>
      <c r="S2204">
        <v>14</v>
      </c>
      <c r="T2204">
        <f t="shared" si="34"/>
        <v>0</v>
      </c>
    </row>
    <row r="2205" spans="1:20">
      <c r="A2205" s="4">
        <v>45541</v>
      </c>
      <c r="B2205">
        <v>2024</v>
      </c>
      <c r="C2205">
        <v>9</v>
      </c>
      <c r="D2205" s="5" t="s">
        <v>66</v>
      </c>
      <c r="E2205" s="5" t="s">
        <v>67</v>
      </c>
      <c r="F2205" s="5" t="s">
        <v>68</v>
      </c>
      <c r="G2205" s="5" t="s">
        <v>69</v>
      </c>
      <c r="H2205" s="5" t="s">
        <v>74</v>
      </c>
      <c r="I2205" s="5" t="s">
        <v>40</v>
      </c>
      <c r="J2205" s="5" t="s">
        <v>49</v>
      </c>
      <c r="K2205">
        <v>6</v>
      </c>
      <c r="L2205">
        <v>643953</v>
      </c>
      <c r="M2205" s="26">
        <v>3863718</v>
      </c>
      <c r="N2205">
        <v>37715</v>
      </c>
      <c r="O2205" s="26">
        <v>609141.65</v>
      </c>
      <c r="P2205" s="5" t="s">
        <v>42</v>
      </c>
      <c r="Q2205" s="5" t="s">
        <v>43</v>
      </c>
      <c r="R2205">
        <v>4</v>
      </c>
      <c r="S2205">
        <v>19</v>
      </c>
      <c r="T2205">
        <f t="shared" si="34"/>
        <v>1</v>
      </c>
    </row>
    <row r="2206" spans="1:20">
      <c r="A2206" s="4">
        <v>45538</v>
      </c>
      <c r="B2206">
        <v>2024</v>
      </c>
      <c r="C2206">
        <v>9</v>
      </c>
      <c r="D2206" s="5" t="s">
        <v>35</v>
      </c>
      <c r="E2206" s="5" t="s">
        <v>36</v>
      </c>
      <c r="F2206" s="5" t="s">
        <v>37</v>
      </c>
      <c r="G2206" s="5" t="s">
        <v>38</v>
      </c>
      <c r="H2206" s="5" t="s">
        <v>86</v>
      </c>
      <c r="I2206" s="5" t="s">
        <v>40</v>
      </c>
      <c r="J2206" s="5" t="s">
        <v>41</v>
      </c>
      <c r="K2206">
        <v>8</v>
      </c>
      <c r="L2206">
        <v>626500</v>
      </c>
      <c r="M2206" s="26">
        <v>5012000</v>
      </c>
      <c r="N2206">
        <v>27884</v>
      </c>
      <c r="O2206" s="26">
        <v>538779.53</v>
      </c>
      <c r="P2206" s="5" t="s">
        <v>50</v>
      </c>
      <c r="Q2206" s="5" t="s">
        <v>43</v>
      </c>
      <c r="R2206">
        <v>3.5</v>
      </c>
      <c r="S2206">
        <v>10</v>
      </c>
      <c r="T2206">
        <f t="shared" si="34"/>
        <v>0</v>
      </c>
    </row>
    <row r="2207" spans="1:20">
      <c r="A2207" s="4">
        <v>45560</v>
      </c>
      <c r="B2207">
        <v>2024</v>
      </c>
      <c r="C2207">
        <v>9</v>
      </c>
      <c r="D2207" s="5" t="s">
        <v>54</v>
      </c>
      <c r="E2207" s="5" t="s">
        <v>70</v>
      </c>
      <c r="F2207" s="5" t="s">
        <v>71</v>
      </c>
      <c r="G2207" s="5" t="s">
        <v>72</v>
      </c>
      <c r="H2207" s="5" t="s">
        <v>39</v>
      </c>
      <c r="I2207" s="5" t="s">
        <v>40</v>
      </c>
      <c r="J2207" s="5" t="s">
        <v>41</v>
      </c>
      <c r="K2207">
        <v>27</v>
      </c>
      <c r="L2207">
        <v>604775</v>
      </c>
      <c r="M2207" s="26">
        <v>16328925</v>
      </c>
      <c r="N2207">
        <v>6733</v>
      </c>
      <c r="O2207" s="26">
        <v>1445701.12</v>
      </c>
      <c r="P2207" s="5" t="s">
        <v>50</v>
      </c>
      <c r="Q2207" s="5" t="s">
        <v>75</v>
      </c>
      <c r="R2207">
        <v>3.9</v>
      </c>
      <c r="S2207">
        <v>11</v>
      </c>
      <c r="T2207">
        <f t="shared" si="34"/>
        <v>0</v>
      </c>
    </row>
    <row r="2208" spans="1:20">
      <c r="A2208" s="4">
        <v>45561</v>
      </c>
      <c r="B2208">
        <v>2024</v>
      </c>
      <c r="C2208">
        <v>9</v>
      </c>
      <c r="D2208" s="5" t="s">
        <v>44</v>
      </c>
      <c r="E2208" s="5" t="s">
        <v>82</v>
      </c>
      <c r="F2208" s="5" t="s">
        <v>83</v>
      </c>
      <c r="G2208" s="5" t="s">
        <v>84</v>
      </c>
      <c r="H2208" s="5" t="s">
        <v>86</v>
      </c>
      <c r="I2208" s="5" t="s">
        <v>40</v>
      </c>
      <c r="J2208" s="5" t="s">
        <v>41</v>
      </c>
      <c r="K2208">
        <v>10</v>
      </c>
      <c r="L2208">
        <v>570817</v>
      </c>
      <c r="M2208" s="26">
        <v>5708170</v>
      </c>
      <c r="N2208">
        <v>20557</v>
      </c>
      <c r="O2208" s="26">
        <v>512062.4</v>
      </c>
      <c r="P2208" s="5" t="s">
        <v>50</v>
      </c>
      <c r="Q2208" s="5" t="s">
        <v>51</v>
      </c>
      <c r="R2208">
        <v>3.7</v>
      </c>
      <c r="S2208">
        <v>17</v>
      </c>
      <c r="T2208">
        <f t="shared" si="34"/>
        <v>0</v>
      </c>
    </row>
    <row r="2209" spans="1:20">
      <c r="A2209" s="4">
        <v>45536</v>
      </c>
      <c r="B2209">
        <v>2024</v>
      </c>
      <c r="C2209">
        <v>9</v>
      </c>
      <c r="D2209" s="5" t="s">
        <v>35</v>
      </c>
      <c r="E2209" s="5" t="s">
        <v>76</v>
      </c>
      <c r="F2209" s="5" t="s">
        <v>77</v>
      </c>
      <c r="G2209" s="5" t="s">
        <v>78</v>
      </c>
      <c r="H2209" s="5" t="s">
        <v>48</v>
      </c>
      <c r="I2209" s="5" t="s">
        <v>40</v>
      </c>
      <c r="J2209" s="5" t="s">
        <v>49</v>
      </c>
      <c r="K2209">
        <v>29</v>
      </c>
      <c r="L2209">
        <v>477861</v>
      </c>
      <c r="M2209" s="26">
        <v>13857969</v>
      </c>
      <c r="N2209">
        <v>10952</v>
      </c>
      <c r="O2209" s="26">
        <v>1738715.92</v>
      </c>
      <c r="P2209" s="5" t="s">
        <v>50</v>
      </c>
      <c r="Q2209" s="5" t="s">
        <v>51</v>
      </c>
      <c r="R2209">
        <v>4.8</v>
      </c>
      <c r="S2209">
        <v>4</v>
      </c>
      <c r="T2209">
        <f t="shared" si="34"/>
        <v>0</v>
      </c>
    </row>
    <row r="2210" spans="1:20">
      <c r="A2210" s="4">
        <v>45546</v>
      </c>
      <c r="B2210">
        <v>2024</v>
      </c>
      <c r="C2210">
        <v>9</v>
      </c>
      <c r="D2210" s="5" t="s">
        <v>54</v>
      </c>
      <c r="E2210" s="5" t="s">
        <v>55</v>
      </c>
      <c r="F2210" s="5" t="s">
        <v>55</v>
      </c>
      <c r="G2210" s="5" t="s">
        <v>56</v>
      </c>
      <c r="H2210" s="5" t="s">
        <v>52</v>
      </c>
      <c r="I2210" s="5" t="s">
        <v>53</v>
      </c>
      <c r="J2210" s="5" t="s">
        <v>41</v>
      </c>
      <c r="K2210">
        <v>53</v>
      </c>
      <c r="L2210">
        <v>966447</v>
      </c>
      <c r="M2210" s="26">
        <v>51221691</v>
      </c>
      <c r="N2210">
        <v>25332</v>
      </c>
      <c r="O2210" s="26">
        <v>6646718.2999999998</v>
      </c>
      <c r="P2210" s="5" t="s">
        <v>42</v>
      </c>
      <c r="Q2210" s="5" t="s">
        <v>75</v>
      </c>
      <c r="R2210">
        <v>4.0999999999999996</v>
      </c>
      <c r="S2210">
        <v>4</v>
      </c>
      <c r="T2210">
        <f t="shared" si="34"/>
        <v>1</v>
      </c>
    </row>
    <row r="2211" spans="1:20">
      <c r="A2211" s="4">
        <v>45550</v>
      </c>
      <c r="B2211">
        <v>2024</v>
      </c>
      <c r="C2211">
        <v>9</v>
      </c>
      <c r="D2211" s="5" t="s">
        <v>54</v>
      </c>
      <c r="E2211" s="5" t="s">
        <v>70</v>
      </c>
      <c r="F2211" s="5" t="s">
        <v>71</v>
      </c>
      <c r="G2211" s="5" t="s">
        <v>72</v>
      </c>
      <c r="H2211" s="5" t="s">
        <v>48</v>
      </c>
      <c r="I2211" s="5" t="s">
        <v>40</v>
      </c>
      <c r="J2211" s="5" t="s">
        <v>49</v>
      </c>
      <c r="K2211">
        <v>42</v>
      </c>
      <c r="L2211">
        <v>470673</v>
      </c>
      <c r="M2211" s="26">
        <v>19768266</v>
      </c>
      <c r="N2211">
        <v>32184</v>
      </c>
      <c r="O2211" s="26">
        <v>2084031.43</v>
      </c>
      <c r="P2211" s="5" t="s">
        <v>50</v>
      </c>
      <c r="Q2211" s="5" t="s">
        <v>43</v>
      </c>
      <c r="R2211">
        <v>4.3</v>
      </c>
      <c r="S2211">
        <v>6</v>
      </c>
      <c r="T2211">
        <f t="shared" si="34"/>
        <v>0</v>
      </c>
    </row>
    <row r="2212" spans="1:20">
      <c r="A2212" s="4">
        <v>45559</v>
      </c>
      <c r="B2212">
        <v>2024</v>
      </c>
      <c r="C2212">
        <v>9</v>
      </c>
      <c r="D2212" s="5" t="s">
        <v>44</v>
      </c>
      <c r="E2212" s="5" t="s">
        <v>45</v>
      </c>
      <c r="F2212" s="5" t="s">
        <v>46</v>
      </c>
      <c r="G2212" s="5" t="s">
        <v>47</v>
      </c>
      <c r="H2212" s="5" t="s">
        <v>52</v>
      </c>
      <c r="I2212" s="5" t="s">
        <v>53</v>
      </c>
      <c r="J2212" s="5" t="s">
        <v>41</v>
      </c>
      <c r="K2212">
        <v>47</v>
      </c>
      <c r="L2212">
        <v>974004</v>
      </c>
      <c r="M2212" s="26">
        <v>45778188</v>
      </c>
      <c r="N2212">
        <v>48897</v>
      </c>
      <c r="O2212" s="26">
        <v>6086614.25</v>
      </c>
      <c r="P2212" s="5" t="s">
        <v>42</v>
      </c>
      <c r="Q2212" s="5" t="s">
        <v>75</v>
      </c>
      <c r="R2212">
        <v>4.0999999999999996</v>
      </c>
      <c r="S2212">
        <v>14</v>
      </c>
      <c r="T2212">
        <f t="shared" si="34"/>
        <v>1</v>
      </c>
    </row>
    <row r="2213" spans="1:20">
      <c r="A2213" s="4">
        <v>45543</v>
      </c>
      <c r="B2213">
        <v>2024</v>
      </c>
      <c r="C2213">
        <v>9</v>
      </c>
      <c r="D2213" s="5" t="s">
        <v>44</v>
      </c>
      <c r="E2213" s="5" t="s">
        <v>82</v>
      </c>
      <c r="F2213" s="5" t="s">
        <v>83</v>
      </c>
      <c r="G2213" s="5" t="s">
        <v>84</v>
      </c>
      <c r="H2213" s="5" t="s">
        <v>57</v>
      </c>
      <c r="I2213" s="5" t="s">
        <v>58</v>
      </c>
      <c r="J2213" s="5" t="s">
        <v>59</v>
      </c>
      <c r="K2213">
        <v>11</v>
      </c>
      <c r="L2213">
        <v>1421120</v>
      </c>
      <c r="M2213" s="26">
        <v>15632320</v>
      </c>
      <c r="N2213">
        <v>17247</v>
      </c>
      <c r="O2213" s="26">
        <v>1817487.76</v>
      </c>
      <c r="P2213" s="5" t="s">
        <v>50</v>
      </c>
      <c r="Q2213" s="5" t="s">
        <v>75</v>
      </c>
      <c r="R2213">
        <v>4.5</v>
      </c>
      <c r="S2213">
        <v>6</v>
      </c>
      <c r="T2213">
        <f t="shared" si="34"/>
        <v>0</v>
      </c>
    </row>
    <row r="2214" spans="1:20">
      <c r="A2214" s="4">
        <v>45544</v>
      </c>
      <c r="B2214">
        <v>2024</v>
      </c>
      <c r="C2214">
        <v>9</v>
      </c>
      <c r="D2214" s="5" t="s">
        <v>66</v>
      </c>
      <c r="E2214" s="5" t="s">
        <v>67</v>
      </c>
      <c r="F2214" s="5" t="s">
        <v>68</v>
      </c>
      <c r="G2214" s="5" t="s">
        <v>69</v>
      </c>
      <c r="H2214" s="5" t="s">
        <v>73</v>
      </c>
      <c r="I2214" s="5" t="s">
        <v>40</v>
      </c>
      <c r="J2214" s="5" t="s">
        <v>49</v>
      </c>
      <c r="K2214">
        <v>45</v>
      </c>
      <c r="L2214">
        <v>748142</v>
      </c>
      <c r="M2214" s="26">
        <v>33666390</v>
      </c>
      <c r="N2214">
        <v>9945</v>
      </c>
      <c r="O2214" s="26">
        <v>5047277.6500000004</v>
      </c>
      <c r="P2214" s="5" t="s">
        <v>50</v>
      </c>
      <c r="Q2214" s="5" t="s">
        <v>75</v>
      </c>
      <c r="R2214">
        <v>5</v>
      </c>
      <c r="S2214">
        <v>21</v>
      </c>
      <c r="T2214">
        <f t="shared" si="34"/>
        <v>0</v>
      </c>
    </row>
    <row r="2215" spans="1:20">
      <c r="A2215" s="4">
        <v>45536</v>
      </c>
      <c r="B2215">
        <v>2024</v>
      </c>
      <c r="C2215">
        <v>9</v>
      </c>
      <c r="D2215" s="5" t="s">
        <v>35</v>
      </c>
      <c r="E2215" s="5" t="s">
        <v>76</v>
      </c>
      <c r="F2215" s="5" t="s">
        <v>77</v>
      </c>
      <c r="G2215" s="5" t="s">
        <v>78</v>
      </c>
      <c r="H2215" s="5" t="s">
        <v>80</v>
      </c>
      <c r="I2215" s="5" t="s">
        <v>81</v>
      </c>
      <c r="J2215" s="5" t="s">
        <v>41</v>
      </c>
      <c r="K2215">
        <v>49</v>
      </c>
      <c r="L2215">
        <v>567681</v>
      </c>
      <c r="M2215" s="26">
        <v>27816369</v>
      </c>
      <c r="N2215">
        <v>32151</v>
      </c>
      <c r="O2215" s="26">
        <v>3459012.72</v>
      </c>
      <c r="P2215" s="5" t="s">
        <v>42</v>
      </c>
      <c r="Q2215" s="5" t="s">
        <v>51</v>
      </c>
      <c r="R2215">
        <v>3.9</v>
      </c>
      <c r="S2215">
        <v>2</v>
      </c>
      <c r="T2215">
        <f t="shared" si="34"/>
        <v>1</v>
      </c>
    </row>
    <row r="2216" spans="1:20">
      <c r="A2216" s="4">
        <v>45548</v>
      </c>
      <c r="B2216">
        <v>2024</v>
      </c>
      <c r="C2216">
        <v>9</v>
      </c>
      <c r="D2216" s="5" t="s">
        <v>35</v>
      </c>
      <c r="E2216" s="5" t="s">
        <v>36</v>
      </c>
      <c r="F2216" s="5" t="s">
        <v>37</v>
      </c>
      <c r="G2216" s="5" t="s">
        <v>38</v>
      </c>
      <c r="H2216" s="5" t="s">
        <v>74</v>
      </c>
      <c r="I2216" s="5" t="s">
        <v>40</v>
      </c>
      <c r="J2216" s="5" t="s">
        <v>49</v>
      </c>
      <c r="K2216">
        <v>48</v>
      </c>
      <c r="L2216">
        <v>678914</v>
      </c>
      <c r="M2216" s="26">
        <v>32587872</v>
      </c>
      <c r="N2216">
        <v>34999</v>
      </c>
      <c r="O2216" s="26">
        <v>2765468.93</v>
      </c>
      <c r="P2216" s="5" t="s">
        <v>42</v>
      </c>
      <c r="Q2216" s="5" t="s">
        <v>75</v>
      </c>
      <c r="R2216">
        <v>4.0999999999999996</v>
      </c>
      <c r="S2216">
        <v>15</v>
      </c>
      <c r="T2216">
        <f t="shared" si="34"/>
        <v>1</v>
      </c>
    </row>
    <row r="2217" spans="1:20">
      <c r="A2217" s="4">
        <v>45563</v>
      </c>
      <c r="B2217">
        <v>2024</v>
      </c>
      <c r="C2217">
        <v>9</v>
      </c>
      <c r="D2217" s="5" t="s">
        <v>44</v>
      </c>
      <c r="E2217" s="5" t="s">
        <v>45</v>
      </c>
      <c r="F2217" s="5" t="s">
        <v>46</v>
      </c>
      <c r="G2217" s="5" t="s">
        <v>47</v>
      </c>
      <c r="H2217" s="5" t="s">
        <v>86</v>
      </c>
      <c r="I2217" s="5" t="s">
        <v>40</v>
      </c>
      <c r="J2217" s="5" t="s">
        <v>41</v>
      </c>
      <c r="K2217">
        <v>33</v>
      </c>
      <c r="L2217">
        <v>596855</v>
      </c>
      <c r="M2217" s="26">
        <v>19696215</v>
      </c>
      <c r="N2217">
        <v>11894</v>
      </c>
      <c r="O2217" s="26">
        <v>2539690.08</v>
      </c>
      <c r="P2217" s="5" t="s">
        <v>50</v>
      </c>
      <c r="Q2217" s="5" t="s">
        <v>51</v>
      </c>
      <c r="R2217">
        <v>4.8</v>
      </c>
      <c r="S2217">
        <v>13</v>
      </c>
      <c r="T2217">
        <f t="shared" si="34"/>
        <v>0</v>
      </c>
    </row>
    <row r="2218" spans="1:20">
      <c r="A2218" s="4">
        <v>45560</v>
      </c>
      <c r="B2218">
        <v>2024</v>
      </c>
      <c r="C2218">
        <v>9</v>
      </c>
      <c r="D2218" s="5" t="s">
        <v>44</v>
      </c>
      <c r="E2218" s="5" t="s">
        <v>45</v>
      </c>
      <c r="F2218" s="5" t="s">
        <v>46</v>
      </c>
      <c r="G2218" s="5" t="s">
        <v>47</v>
      </c>
      <c r="H2218" s="5" t="s">
        <v>65</v>
      </c>
      <c r="I2218" s="5" t="s">
        <v>53</v>
      </c>
      <c r="J2218" s="5" t="s">
        <v>49</v>
      </c>
      <c r="K2218">
        <v>24</v>
      </c>
      <c r="L2218">
        <v>1275257</v>
      </c>
      <c r="M2218" s="26">
        <v>30606168</v>
      </c>
      <c r="N2218">
        <v>14429</v>
      </c>
      <c r="O2218" s="26">
        <v>2589527.7000000002</v>
      </c>
      <c r="P2218" s="5" t="s">
        <v>50</v>
      </c>
      <c r="Q2218" s="5" t="s">
        <v>51</v>
      </c>
      <c r="R2218">
        <v>4.8</v>
      </c>
      <c r="S2218">
        <v>16</v>
      </c>
      <c r="T2218">
        <f t="shared" si="34"/>
        <v>0</v>
      </c>
    </row>
    <row r="2219" spans="1:20">
      <c r="A2219" s="4">
        <v>45553</v>
      </c>
      <c r="B2219">
        <v>2024</v>
      </c>
      <c r="C2219">
        <v>9</v>
      </c>
      <c r="D2219" s="5" t="s">
        <v>54</v>
      </c>
      <c r="E2219" s="5" t="s">
        <v>55</v>
      </c>
      <c r="F2219" s="5" t="s">
        <v>55</v>
      </c>
      <c r="G2219" s="5" t="s">
        <v>56</v>
      </c>
      <c r="H2219" s="5" t="s">
        <v>57</v>
      </c>
      <c r="I2219" s="5" t="s">
        <v>58</v>
      </c>
      <c r="J2219" s="5" t="s">
        <v>59</v>
      </c>
      <c r="K2219">
        <v>16</v>
      </c>
      <c r="L2219">
        <v>1405405</v>
      </c>
      <c r="M2219" s="26">
        <v>22486480</v>
      </c>
      <c r="N2219">
        <v>8169</v>
      </c>
      <c r="O2219" s="26">
        <v>2799517.65</v>
      </c>
      <c r="P2219" s="5" t="s">
        <v>42</v>
      </c>
      <c r="Q2219" s="5" t="s">
        <v>43</v>
      </c>
      <c r="R2219">
        <v>4</v>
      </c>
      <c r="S2219">
        <v>15</v>
      </c>
      <c r="T2219">
        <f t="shared" si="34"/>
        <v>1</v>
      </c>
    </row>
    <row r="2220" spans="1:20">
      <c r="A2220" s="4">
        <v>45561</v>
      </c>
      <c r="B2220">
        <v>2024</v>
      </c>
      <c r="C2220">
        <v>9</v>
      </c>
      <c r="D2220" s="5" t="s">
        <v>44</v>
      </c>
      <c r="E2220" s="5" t="s">
        <v>45</v>
      </c>
      <c r="F2220" s="5" t="s">
        <v>46</v>
      </c>
      <c r="G2220" s="5" t="s">
        <v>47</v>
      </c>
      <c r="H2220" s="5" t="s">
        <v>74</v>
      </c>
      <c r="I2220" s="5" t="s">
        <v>40</v>
      </c>
      <c r="J2220" s="5" t="s">
        <v>49</v>
      </c>
      <c r="K2220">
        <v>35</v>
      </c>
      <c r="L2220">
        <v>674226</v>
      </c>
      <c r="M2220" s="26">
        <v>23597910</v>
      </c>
      <c r="N2220">
        <v>23601</v>
      </c>
      <c r="O2220" s="26">
        <v>3385824.8</v>
      </c>
      <c r="P2220" s="5" t="s">
        <v>42</v>
      </c>
      <c r="Q2220" s="5" t="s">
        <v>75</v>
      </c>
      <c r="R2220">
        <v>3.5</v>
      </c>
      <c r="S2220">
        <v>2</v>
      </c>
      <c r="T2220">
        <f t="shared" si="34"/>
        <v>1</v>
      </c>
    </row>
    <row r="2221" spans="1:20">
      <c r="A2221" s="4">
        <v>45551</v>
      </c>
      <c r="B2221">
        <v>2024</v>
      </c>
      <c r="C2221">
        <v>9</v>
      </c>
      <c r="D2221" s="5" t="s">
        <v>35</v>
      </c>
      <c r="E2221" s="5" t="s">
        <v>36</v>
      </c>
      <c r="F2221" s="5" t="s">
        <v>37</v>
      </c>
      <c r="G2221" s="5" t="s">
        <v>38</v>
      </c>
      <c r="H2221" s="5" t="s">
        <v>80</v>
      </c>
      <c r="I2221" s="5" t="s">
        <v>81</v>
      </c>
      <c r="J2221" s="5" t="s">
        <v>41</v>
      </c>
      <c r="K2221">
        <v>31</v>
      </c>
      <c r="L2221">
        <v>537561</v>
      </c>
      <c r="M2221" s="26">
        <v>16664391</v>
      </c>
      <c r="N2221">
        <v>12434</v>
      </c>
      <c r="O2221" s="26">
        <v>2404789.65</v>
      </c>
      <c r="P2221" s="5" t="s">
        <v>42</v>
      </c>
      <c r="Q2221" s="5" t="s">
        <v>43</v>
      </c>
      <c r="R2221">
        <v>3.7</v>
      </c>
      <c r="S2221">
        <v>3</v>
      </c>
      <c r="T2221">
        <f t="shared" si="34"/>
        <v>1</v>
      </c>
    </row>
    <row r="2222" spans="1:20">
      <c r="A2222" s="4">
        <v>45548</v>
      </c>
      <c r="B2222">
        <v>2024</v>
      </c>
      <c r="C2222">
        <v>9</v>
      </c>
      <c r="D2222" s="5" t="s">
        <v>44</v>
      </c>
      <c r="E2222" s="5" t="s">
        <v>82</v>
      </c>
      <c r="F2222" s="5" t="s">
        <v>83</v>
      </c>
      <c r="G2222" s="5" t="s">
        <v>84</v>
      </c>
      <c r="H2222" s="5" t="s">
        <v>79</v>
      </c>
      <c r="I2222" s="5" t="s">
        <v>58</v>
      </c>
      <c r="J2222" s="5" t="s">
        <v>49</v>
      </c>
      <c r="K2222">
        <v>8</v>
      </c>
      <c r="L2222">
        <v>915527</v>
      </c>
      <c r="M2222" s="26">
        <v>7324216</v>
      </c>
      <c r="N2222">
        <v>40229</v>
      </c>
      <c r="O2222" s="26">
        <v>801031.91</v>
      </c>
      <c r="P2222" s="5" t="s">
        <v>42</v>
      </c>
      <c r="Q2222" s="5" t="s">
        <v>51</v>
      </c>
      <c r="R2222">
        <v>4.9000000000000004</v>
      </c>
      <c r="S2222">
        <v>2</v>
      </c>
      <c r="T2222">
        <f t="shared" si="34"/>
        <v>1</v>
      </c>
    </row>
    <row r="2223" spans="1:20">
      <c r="A2223" s="4">
        <v>45555</v>
      </c>
      <c r="B2223">
        <v>2024</v>
      </c>
      <c r="C2223">
        <v>9</v>
      </c>
      <c r="D2223" s="5" t="s">
        <v>35</v>
      </c>
      <c r="E2223" s="5" t="s">
        <v>60</v>
      </c>
      <c r="F2223" s="5" t="s">
        <v>61</v>
      </c>
      <c r="G2223" s="5" t="s">
        <v>62</v>
      </c>
      <c r="H2223" s="5" t="s">
        <v>65</v>
      </c>
      <c r="I2223" s="5" t="s">
        <v>53</v>
      </c>
      <c r="J2223" s="5" t="s">
        <v>49</v>
      </c>
      <c r="K2223">
        <v>53</v>
      </c>
      <c r="L2223">
        <v>1256060</v>
      </c>
      <c r="M2223" s="26">
        <v>66571180</v>
      </c>
      <c r="N2223">
        <v>14718</v>
      </c>
      <c r="O2223" s="26">
        <v>8138142.96</v>
      </c>
      <c r="P2223" s="5" t="s">
        <v>50</v>
      </c>
      <c r="Q2223" s="5" t="s">
        <v>43</v>
      </c>
      <c r="R2223">
        <v>4.3</v>
      </c>
      <c r="S2223">
        <v>2</v>
      </c>
      <c r="T2223">
        <f t="shared" si="34"/>
        <v>0</v>
      </c>
    </row>
    <row r="2224" spans="1:20">
      <c r="A2224" s="4">
        <v>45558</v>
      </c>
      <c r="B2224">
        <v>2024</v>
      </c>
      <c r="C2224">
        <v>9</v>
      </c>
      <c r="D2224" s="5" t="s">
        <v>35</v>
      </c>
      <c r="E2224" s="5" t="s">
        <v>36</v>
      </c>
      <c r="F2224" s="5" t="s">
        <v>37</v>
      </c>
      <c r="G2224" s="5" t="s">
        <v>38</v>
      </c>
      <c r="H2224" s="5" t="s">
        <v>74</v>
      </c>
      <c r="I2224" s="5" t="s">
        <v>40</v>
      </c>
      <c r="J2224" s="5" t="s">
        <v>49</v>
      </c>
      <c r="K2224">
        <v>17</v>
      </c>
      <c r="L2224">
        <v>639821</v>
      </c>
      <c r="M2224" s="26">
        <v>10876957</v>
      </c>
      <c r="N2224">
        <v>34047</v>
      </c>
      <c r="O2224" s="26">
        <v>1406419.22</v>
      </c>
      <c r="P2224" s="5" t="s">
        <v>42</v>
      </c>
      <c r="Q2224" s="5" t="s">
        <v>51</v>
      </c>
      <c r="R2224">
        <v>4.9000000000000004</v>
      </c>
      <c r="S2224">
        <v>10</v>
      </c>
      <c r="T2224">
        <f t="shared" si="34"/>
        <v>1</v>
      </c>
    </row>
    <row r="2225" spans="1:20">
      <c r="A2225" s="4">
        <v>45563</v>
      </c>
      <c r="B2225">
        <v>2024</v>
      </c>
      <c r="C2225">
        <v>9</v>
      </c>
      <c r="D2225" s="5" t="s">
        <v>54</v>
      </c>
      <c r="E2225" s="5" t="s">
        <v>55</v>
      </c>
      <c r="F2225" s="5" t="s">
        <v>55</v>
      </c>
      <c r="G2225" s="5" t="s">
        <v>56</v>
      </c>
      <c r="H2225" s="5" t="s">
        <v>79</v>
      </c>
      <c r="I2225" s="5" t="s">
        <v>58</v>
      </c>
      <c r="J2225" s="5" t="s">
        <v>49</v>
      </c>
      <c r="K2225">
        <v>29</v>
      </c>
      <c r="L2225">
        <v>898931</v>
      </c>
      <c r="M2225" s="26">
        <v>26068999</v>
      </c>
      <c r="N2225">
        <v>24558</v>
      </c>
      <c r="O2225" s="26">
        <v>4147552</v>
      </c>
      <c r="P2225" s="5" t="s">
        <v>42</v>
      </c>
      <c r="Q2225" s="5" t="s">
        <v>51</v>
      </c>
      <c r="R2225">
        <v>4.3</v>
      </c>
      <c r="S2225">
        <v>19</v>
      </c>
      <c r="T2225">
        <f t="shared" si="34"/>
        <v>1</v>
      </c>
    </row>
    <row r="2226" spans="1:20">
      <c r="A2226" s="4">
        <v>45556</v>
      </c>
      <c r="B2226">
        <v>2024</v>
      </c>
      <c r="C2226">
        <v>9</v>
      </c>
      <c r="D2226" s="5" t="s">
        <v>66</v>
      </c>
      <c r="E2226" s="5" t="s">
        <v>67</v>
      </c>
      <c r="F2226" s="5" t="s">
        <v>68</v>
      </c>
      <c r="G2226" s="5" t="s">
        <v>69</v>
      </c>
      <c r="H2226" s="5" t="s">
        <v>80</v>
      </c>
      <c r="I2226" s="5" t="s">
        <v>81</v>
      </c>
      <c r="J2226" s="5" t="s">
        <v>41</v>
      </c>
      <c r="K2226">
        <v>55</v>
      </c>
      <c r="L2226">
        <v>529092</v>
      </c>
      <c r="M2226" s="26">
        <v>29100060</v>
      </c>
      <c r="N2226">
        <v>19402</v>
      </c>
      <c r="O2226" s="26">
        <v>3915023.52</v>
      </c>
      <c r="P2226" s="5" t="s">
        <v>50</v>
      </c>
      <c r="Q2226" s="5" t="s">
        <v>43</v>
      </c>
      <c r="R2226">
        <v>4.0999999999999996</v>
      </c>
      <c r="S2226">
        <v>9</v>
      </c>
      <c r="T2226">
        <f t="shared" si="34"/>
        <v>0</v>
      </c>
    </row>
    <row r="2227" spans="1:20">
      <c r="A2227" s="4">
        <v>45557</v>
      </c>
      <c r="B2227">
        <v>2024</v>
      </c>
      <c r="C2227">
        <v>9</v>
      </c>
      <c r="D2227" s="5" t="s">
        <v>44</v>
      </c>
      <c r="E2227" s="5" t="s">
        <v>45</v>
      </c>
      <c r="F2227" s="5" t="s">
        <v>46</v>
      </c>
      <c r="G2227" s="5" t="s">
        <v>47</v>
      </c>
      <c r="H2227" s="5" t="s">
        <v>48</v>
      </c>
      <c r="I2227" s="5" t="s">
        <v>40</v>
      </c>
      <c r="J2227" s="5" t="s">
        <v>49</v>
      </c>
      <c r="K2227">
        <v>45</v>
      </c>
      <c r="L2227">
        <v>469703</v>
      </c>
      <c r="M2227" s="26">
        <v>21136635</v>
      </c>
      <c r="N2227">
        <v>38522</v>
      </c>
      <c r="O2227" s="26">
        <v>2177508.14</v>
      </c>
      <c r="P2227" s="5" t="s">
        <v>42</v>
      </c>
      <c r="Q2227" s="5" t="s">
        <v>51</v>
      </c>
      <c r="R2227">
        <v>4.5</v>
      </c>
      <c r="S2227">
        <v>18</v>
      </c>
      <c r="T2227">
        <f t="shared" si="34"/>
        <v>1</v>
      </c>
    </row>
    <row r="2228" spans="1:20">
      <c r="A2228" s="4">
        <v>45556</v>
      </c>
      <c r="B2228">
        <v>2024</v>
      </c>
      <c r="C2228">
        <v>9</v>
      </c>
      <c r="D2228" s="5" t="s">
        <v>54</v>
      </c>
      <c r="E2228" s="5" t="s">
        <v>55</v>
      </c>
      <c r="F2228" s="5" t="s">
        <v>55</v>
      </c>
      <c r="G2228" s="5" t="s">
        <v>56</v>
      </c>
      <c r="H2228" s="5" t="s">
        <v>86</v>
      </c>
      <c r="I2228" s="5" t="s">
        <v>40</v>
      </c>
      <c r="J2228" s="5" t="s">
        <v>41</v>
      </c>
      <c r="K2228">
        <v>34</v>
      </c>
      <c r="L2228">
        <v>584491</v>
      </c>
      <c r="M2228" s="26">
        <v>19872694</v>
      </c>
      <c r="N2228">
        <v>39592</v>
      </c>
      <c r="O2228" s="26">
        <v>2316930.6</v>
      </c>
      <c r="P2228" s="5" t="s">
        <v>42</v>
      </c>
      <c r="Q2228" s="5" t="s">
        <v>51</v>
      </c>
      <c r="R2228">
        <v>3.8</v>
      </c>
      <c r="S2228">
        <v>9</v>
      </c>
      <c r="T2228">
        <f t="shared" si="34"/>
        <v>1</v>
      </c>
    </row>
    <row r="2229" spans="1:20">
      <c r="A2229" s="4">
        <v>45542</v>
      </c>
      <c r="B2229">
        <v>2024</v>
      </c>
      <c r="C2229">
        <v>9</v>
      </c>
      <c r="D2229" s="5" t="s">
        <v>66</v>
      </c>
      <c r="E2229" s="5" t="s">
        <v>67</v>
      </c>
      <c r="F2229" s="5" t="s">
        <v>68</v>
      </c>
      <c r="G2229" s="5" t="s">
        <v>69</v>
      </c>
      <c r="H2229" s="5" t="s">
        <v>86</v>
      </c>
      <c r="I2229" s="5" t="s">
        <v>40</v>
      </c>
      <c r="J2229" s="5" t="s">
        <v>41</v>
      </c>
      <c r="K2229">
        <v>46</v>
      </c>
      <c r="L2229">
        <v>576875</v>
      </c>
      <c r="M2229" s="26">
        <v>26536250</v>
      </c>
      <c r="N2229">
        <v>36250</v>
      </c>
      <c r="O2229" s="26">
        <v>2690783.99</v>
      </c>
      <c r="P2229" s="5" t="s">
        <v>42</v>
      </c>
      <c r="Q2229" s="5" t="s">
        <v>51</v>
      </c>
      <c r="R2229">
        <v>4.5</v>
      </c>
      <c r="S2229">
        <v>21</v>
      </c>
      <c r="T2229">
        <f t="shared" si="34"/>
        <v>1</v>
      </c>
    </row>
    <row r="2230" spans="1:20">
      <c r="A2230" s="4">
        <v>45549</v>
      </c>
      <c r="B2230">
        <v>2024</v>
      </c>
      <c r="C2230">
        <v>9</v>
      </c>
      <c r="D2230" s="5" t="s">
        <v>66</v>
      </c>
      <c r="E2230" s="5" t="s">
        <v>67</v>
      </c>
      <c r="F2230" s="5" t="s">
        <v>68</v>
      </c>
      <c r="G2230" s="5" t="s">
        <v>69</v>
      </c>
      <c r="H2230" s="5" t="s">
        <v>39</v>
      </c>
      <c r="I2230" s="5" t="s">
        <v>40</v>
      </c>
      <c r="J2230" s="5" t="s">
        <v>41</v>
      </c>
      <c r="K2230">
        <v>23</v>
      </c>
      <c r="L2230">
        <v>598809</v>
      </c>
      <c r="M2230" s="26">
        <v>13772607</v>
      </c>
      <c r="N2230">
        <v>34474</v>
      </c>
      <c r="O2230" s="26">
        <v>1590965.55</v>
      </c>
      <c r="P2230" s="5" t="s">
        <v>42</v>
      </c>
      <c r="Q2230" s="5" t="s">
        <v>75</v>
      </c>
      <c r="R2230">
        <v>4.5</v>
      </c>
      <c r="S2230">
        <v>14</v>
      </c>
      <c r="T2230">
        <f t="shared" si="34"/>
        <v>1</v>
      </c>
    </row>
    <row r="2231" spans="1:20">
      <c r="A2231" s="4">
        <v>45538</v>
      </c>
      <c r="B2231">
        <v>2024</v>
      </c>
      <c r="C2231">
        <v>9</v>
      </c>
      <c r="D2231" s="5" t="s">
        <v>66</v>
      </c>
      <c r="E2231" s="5" t="s">
        <v>67</v>
      </c>
      <c r="F2231" s="5" t="s">
        <v>68</v>
      </c>
      <c r="G2231" s="5" t="s">
        <v>69</v>
      </c>
      <c r="H2231" s="5" t="s">
        <v>48</v>
      </c>
      <c r="I2231" s="5" t="s">
        <v>40</v>
      </c>
      <c r="J2231" s="5" t="s">
        <v>49</v>
      </c>
      <c r="K2231">
        <v>39</v>
      </c>
      <c r="L2231">
        <v>425159</v>
      </c>
      <c r="M2231" s="26">
        <v>16581201</v>
      </c>
      <c r="N2231">
        <v>40517</v>
      </c>
      <c r="O2231" s="26">
        <v>2039049.48</v>
      </c>
      <c r="P2231" s="5" t="s">
        <v>42</v>
      </c>
      <c r="Q2231" s="5" t="s">
        <v>51</v>
      </c>
      <c r="R2231">
        <v>4.2</v>
      </c>
      <c r="S2231">
        <v>21</v>
      </c>
      <c r="T2231">
        <f t="shared" si="34"/>
        <v>1</v>
      </c>
    </row>
    <row r="2232" spans="1:20">
      <c r="A2232" s="4">
        <v>45561</v>
      </c>
      <c r="B2232">
        <v>2024</v>
      </c>
      <c r="C2232">
        <v>9</v>
      </c>
      <c r="D2232" s="5" t="s">
        <v>54</v>
      </c>
      <c r="E2232" s="5" t="s">
        <v>70</v>
      </c>
      <c r="F2232" s="5" t="s">
        <v>71</v>
      </c>
      <c r="G2232" s="5" t="s">
        <v>72</v>
      </c>
      <c r="H2232" s="5" t="s">
        <v>86</v>
      </c>
      <c r="I2232" s="5" t="s">
        <v>40</v>
      </c>
      <c r="J2232" s="5" t="s">
        <v>41</v>
      </c>
      <c r="K2232">
        <v>40</v>
      </c>
      <c r="L2232">
        <v>625612</v>
      </c>
      <c r="M2232" s="26">
        <v>25024480</v>
      </c>
      <c r="N2232">
        <v>31403</v>
      </c>
      <c r="O2232" s="26">
        <v>2632453.0699999998</v>
      </c>
      <c r="P2232" s="5" t="s">
        <v>50</v>
      </c>
      <c r="Q2232" s="5" t="s">
        <v>75</v>
      </c>
      <c r="R2232">
        <v>4.5999999999999996</v>
      </c>
      <c r="S2232">
        <v>13</v>
      </c>
      <c r="T2232">
        <f t="shared" si="34"/>
        <v>0</v>
      </c>
    </row>
    <row r="2233" spans="1:20">
      <c r="A2233" s="4">
        <v>45543</v>
      </c>
      <c r="B2233">
        <v>2024</v>
      </c>
      <c r="C2233">
        <v>9</v>
      </c>
      <c r="D2233" s="5" t="s">
        <v>44</v>
      </c>
      <c r="E2233" s="5" t="s">
        <v>82</v>
      </c>
      <c r="F2233" s="5" t="s">
        <v>83</v>
      </c>
      <c r="G2233" s="5" t="s">
        <v>84</v>
      </c>
      <c r="H2233" s="5" t="s">
        <v>85</v>
      </c>
      <c r="I2233" s="5" t="s">
        <v>58</v>
      </c>
      <c r="J2233" s="5" t="s">
        <v>49</v>
      </c>
      <c r="K2233">
        <v>27</v>
      </c>
      <c r="L2233">
        <v>984700</v>
      </c>
      <c r="M2233" s="26">
        <v>26586900</v>
      </c>
      <c r="N2233">
        <v>19037</v>
      </c>
      <c r="O2233" s="26">
        <v>3739447.18</v>
      </c>
      <c r="P2233" s="5" t="s">
        <v>42</v>
      </c>
      <c r="Q2233" s="5" t="s">
        <v>75</v>
      </c>
      <c r="R2233">
        <v>4.9000000000000004</v>
      </c>
      <c r="S2233">
        <v>4</v>
      </c>
      <c r="T2233">
        <f t="shared" si="34"/>
        <v>1</v>
      </c>
    </row>
    <row r="2234" spans="1:20">
      <c r="A2234" s="4">
        <v>45538</v>
      </c>
      <c r="B2234">
        <v>2024</v>
      </c>
      <c r="C2234">
        <v>9</v>
      </c>
      <c r="D2234" s="5" t="s">
        <v>35</v>
      </c>
      <c r="E2234" s="5" t="s">
        <v>36</v>
      </c>
      <c r="F2234" s="5" t="s">
        <v>37</v>
      </c>
      <c r="G2234" s="5" t="s">
        <v>38</v>
      </c>
      <c r="H2234" s="5" t="s">
        <v>48</v>
      </c>
      <c r="I2234" s="5" t="s">
        <v>40</v>
      </c>
      <c r="J2234" s="5" t="s">
        <v>49</v>
      </c>
      <c r="K2234">
        <v>15</v>
      </c>
      <c r="L2234">
        <v>457467</v>
      </c>
      <c r="M2234" s="26">
        <v>6862005</v>
      </c>
      <c r="N2234">
        <v>41035</v>
      </c>
      <c r="O2234" s="26">
        <v>740322.99</v>
      </c>
      <c r="P2234" s="5" t="s">
        <v>50</v>
      </c>
      <c r="Q2234" s="5" t="s">
        <v>43</v>
      </c>
      <c r="R2234">
        <v>4.3</v>
      </c>
      <c r="S2234">
        <v>20</v>
      </c>
      <c r="T2234">
        <f t="shared" si="34"/>
        <v>0</v>
      </c>
    </row>
    <row r="2235" spans="1:20">
      <c r="A2235" s="4">
        <v>45556</v>
      </c>
      <c r="B2235">
        <v>2024</v>
      </c>
      <c r="C2235">
        <v>9</v>
      </c>
      <c r="D2235" s="5" t="s">
        <v>35</v>
      </c>
      <c r="E2235" s="5" t="s">
        <v>36</v>
      </c>
      <c r="F2235" s="5" t="s">
        <v>37</v>
      </c>
      <c r="G2235" s="5" t="s">
        <v>38</v>
      </c>
      <c r="H2235" s="5" t="s">
        <v>79</v>
      </c>
      <c r="I2235" s="5" t="s">
        <v>58</v>
      </c>
      <c r="J2235" s="5" t="s">
        <v>49</v>
      </c>
      <c r="K2235">
        <v>20</v>
      </c>
      <c r="L2235">
        <v>918783</v>
      </c>
      <c r="M2235" s="26">
        <v>18375660</v>
      </c>
      <c r="N2235">
        <v>7604</v>
      </c>
      <c r="O2235" s="26">
        <v>2376912.0099999998</v>
      </c>
      <c r="P2235" s="5" t="s">
        <v>50</v>
      </c>
      <c r="Q2235" s="5" t="s">
        <v>51</v>
      </c>
      <c r="R2235">
        <v>3.5</v>
      </c>
      <c r="S2235">
        <v>17</v>
      </c>
      <c r="T2235">
        <f t="shared" si="34"/>
        <v>0</v>
      </c>
    </row>
    <row r="2236" spans="1:20">
      <c r="A2236" s="4">
        <v>45536</v>
      </c>
      <c r="B2236">
        <v>2024</v>
      </c>
      <c r="C2236">
        <v>9</v>
      </c>
      <c r="D2236" s="5" t="s">
        <v>35</v>
      </c>
      <c r="E2236" s="5" t="s">
        <v>36</v>
      </c>
      <c r="F2236" s="5" t="s">
        <v>37</v>
      </c>
      <c r="G2236" s="5" t="s">
        <v>38</v>
      </c>
      <c r="H2236" s="5" t="s">
        <v>39</v>
      </c>
      <c r="I2236" s="5" t="s">
        <v>40</v>
      </c>
      <c r="J2236" s="5" t="s">
        <v>41</v>
      </c>
      <c r="K2236">
        <v>59</v>
      </c>
      <c r="L2236">
        <v>550404</v>
      </c>
      <c r="M2236" s="26">
        <v>32473836</v>
      </c>
      <c r="N2236">
        <v>13851</v>
      </c>
      <c r="O2236" s="26">
        <v>4032534.54</v>
      </c>
      <c r="P2236" s="5" t="s">
        <v>50</v>
      </c>
      <c r="Q2236" s="5" t="s">
        <v>51</v>
      </c>
      <c r="R2236">
        <v>4.9000000000000004</v>
      </c>
      <c r="S2236">
        <v>12</v>
      </c>
      <c r="T2236">
        <f t="shared" si="34"/>
        <v>0</v>
      </c>
    </row>
    <row r="2237" spans="1:20">
      <c r="A2237" s="4">
        <v>45558</v>
      </c>
      <c r="B2237">
        <v>2024</v>
      </c>
      <c r="C2237">
        <v>9</v>
      </c>
      <c r="D2237" s="5" t="s">
        <v>35</v>
      </c>
      <c r="E2237" s="5" t="s">
        <v>76</v>
      </c>
      <c r="F2237" s="5" t="s">
        <v>77</v>
      </c>
      <c r="G2237" s="5" t="s">
        <v>78</v>
      </c>
      <c r="H2237" s="5" t="s">
        <v>63</v>
      </c>
      <c r="I2237" s="5" t="s">
        <v>64</v>
      </c>
      <c r="J2237" s="5" t="s">
        <v>41</v>
      </c>
      <c r="K2237">
        <v>56</v>
      </c>
      <c r="L2237">
        <v>748760</v>
      </c>
      <c r="M2237" s="26">
        <v>41930560</v>
      </c>
      <c r="N2237">
        <v>5907</v>
      </c>
      <c r="O2237" s="26">
        <v>5480982.6299999999</v>
      </c>
      <c r="P2237" s="5" t="s">
        <v>50</v>
      </c>
      <c r="Q2237" s="5" t="s">
        <v>43</v>
      </c>
      <c r="R2237">
        <v>4.8</v>
      </c>
      <c r="S2237">
        <v>8</v>
      </c>
      <c r="T2237">
        <f t="shared" si="34"/>
        <v>0</v>
      </c>
    </row>
    <row r="2238" spans="1:20">
      <c r="A2238" s="4">
        <v>45543</v>
      </c>
      <c r="B2238">
        <v>2024</v>
      </c>
      <c r="C2238">
        <v>9</v>
      </c>
      <c r="D2238" s="5" t="s">
        <v>44</v>
      </c>
      <c r="E2238" s="5" t="s">
        <v>45</v>
      </c>
      <c r="F2238" s="5" t="s">
        <v>46</v>
      </c>
      <c r="G2238" s="5" t="s">
        <v>47</v>
      </c>
      <c r="H2238" s="5" t="s">
        <v>73</v>
      </c>
      <c r="I2238" s="5" t="s">
        <v>40</v>
      </c>
      <c r="J2238" s="5" t="s">
        <v>49</v>
      </c>
      <c r="K2238">
        <v>35</v>
      </c>
      <c r="L2238">
        <v>748703</v>
      </c>
      <c r="M2238" s="26">
        <v>26204605</v>
      </c>
      <c r="N2238">
        <v>7383</v>
      </c>
      <c r="O2238" s="26">
        <v>2860560.26</v>
      </c>
      <c r="P2238" s="5" t="s">
        <v>42</v>
      </c>
      <c r="Q2238" s="5" t="s">
        <v>51</v>
      </c>
      <c r="R2238">
        <v>4.5999999999999996</v>
      </c>
      <c r="S2238">
        <v>6</v>
      </c>
      <c r="T2238">
        <f t="shared" si="34"/>
        <v>1</v>
      </c>
    </row>
    <row r="2239" spans="1:20">
      <c r="A2239" s="4">
        <v>45561</v>
      </c>
      <c r="B2239">
        <v>2024</v>
      </c>
      <c r="C2239">
        <v>9</v>
      </c>
      <c r="D2239" s="5" t="s">
        <v>35</v>
      </c>
      <c r="E2239" s="5" t="s">
        <v>60</v>
      </c>
      <c r="F2239" s="5" t="s">
        <v>61</v>
      </c>
      <c r="G2239" s="5" t="s">
        <v>62</v>
      </c>
      <c r="H2239" s="5" t="s">
        <v>74</v>
      </c>
      <c r="I2239" s="5" t="s">
        <v>40</v>
      </c>
      <c r="J2239" s="5" t="s">
        <v>49</v>
      </c>
      <c r="K2239">
        <v>21</v>
      </c>
      <c r="L2239">
        <v>668964</v>
      </c>
      <c r="M2239" s="26">
        <v>14048244</v>
      </c>
      <c r="N2239">
        <v>8362</v>
      </c>
      <c r="O2239" s="26">
        <v>1857759.36</v>
      </c>
      <c r="P2239" s="5" t="s">
        <v>42</v>
      </c>
      <c r="Q2239" s="5" t="s">
        <v>43</v>
      </c>
      <c r="R2239">
        <v>4.5</v>
      </c>
      <c r="S2239">
        <v>7</v>
      </c>
      <c r="T2239">
        <f t="shared" si="34"/>
        <v>1</v>
      </c>
    </row>
    <row r="2240" spans="1:20">
      <c r="A2240" s="4">
        <v>45560</v>
      </c>
      <c r="B2240">
        <v>2024</v>
      </c>
      <c r="C2240">
        <v>9</v>
      </c>
      <c r="D2240" s="5" t="s">
        <v>66</v>
      </c>
      <c r="E2240" s="5" t="s">
        <v>67</v>
      </c>
      <c r="F2240" s="5" t="s">
        <v>68</v>
      </c>
      <c r="G2240" s="5" t="s">
        <v>69</v>
      </c>
      <c r="H2240" s="5" t="s">
        <v>79</v>
      </c>
      <c r="I2240" s="5" t="s">
        <v>58</v>
      </c>
      <c r="J2240" s="5" t="s">
        <v>49</v>
      </c>
      <c r="K2240">
        <v>50</v>
      </c>
      <c r="L2240">
        <v>870534</v>
      </c>
      <c r="M2240" s="26">
        <v>43526700</v>
      </c>
      <c r="N2240">
        <v>14034</v>
      </c>
      <c r="O2240" s="26">
        <v>6951818.0899999999</v>
      </c>
      <c r="P2240" s="5" t="s">
        <v>50</v>
      </c>
      <c r="Q2240" s="5" t="s">
        <v>43</v>
      </c>
      <c r="R2240">
        <v>3.8</v>
      </c>
      <c r="S2240">
        <v>7</v>
      </c>
      <c r="T2240">
        <f t="shared" si="34"/>
        <v>0</v>
      </c>
    </row>
    <row r="2241" spans="1:20">
      <c r="A2241" s="4">
        <v>45560</v>
      </c>
      <c r="B2241">
        <v>2024</v>
      </c>
      <c r="C2241">
        <v>9</v>
      </c>
      <c r="D2241" s="5" t="s">
        <v>44</v>
      </c>
      <c r="E2241" s="5" t="s">
        <v>45</v>
      </c>
      <c r="F2241" s="5" t="s">
        <v>46</v>
      </c>
      <c r="G2241" s="5" t="s">
        <v>47</v>
      </c>
      <c r="H2241" s="5" t="s">
        <v>65</v>
      </c>
      <c r="I2241" s="5" t="s">
        <v>53</v>
      </c>
      <c r="J2241" s="5" t="s">
        <v>49</v>
      </c>
      <c r="K2241">
        <v>32</v>
      </c>
      <c r="L2241">
        <v>1268324</v>
      </c>
      <c r="M2241" s="26">
        <v>40586368</v>
      </c>
      <c r="N2241">
        <v>9941</v>
      </c>
      <c r="O2241" s="26">
        <v>4945211.93</v>
      </c>
      <c r="P2241" s="5" t="s">
        <v>42</v>
      </c>
      <c r="Q2241" s="5" t="s">
        <v>75</v>
      </c>
      <c r="R2241">
        <v>4</v>
      </c>
      <c r="S2241">
        <v>18</v>
      </c>
      <c r="T2241">
        <f t="shared" si="34"/>
        <v>1</v>
      </c>
    </row>
    <row r="2242" spans="1:20">
      <c r="A2242" s="4">
        <v>45556</v>
      </c>
      <c r="B2242">
        <v>2024</v>
      </c>
      <c r="C2242">
        <v>9</v>
      </c>
      <c r="D2242" s="5" t="s">
        <v>54</v>
      </c>
      <c r="E2242" s="5" t="s">
        <v>55</v>
      </c>
      <c r="F2242" s="5" t="s">
        <v>55</v>
      </c>
      <c r="G2242" s="5" t="s">
        <v>56</v>
      </c>
      <c r="H2242" s="5" t="s">
        <v>63</v>
      </c>
      <c r="I2242" s="5" t="s">
        <v>64</v>
      </c>
      <c r="J2242" s="5" t="s">
        <v>41</v>
      </c>
      <c r="K2242">
        <v>18</v>
      </c>
      <c r="L2242">
        <v>768468</v>
      </c>
      <c r="M2242" s="26">
        <v>13832424</v>
      </c>
      <c r="N2242">
        <v>15160</v>
      </c>
      <c r="O2242" s="26">
        <v>1304294.1299999999</v>
      </c>
      <c r="P2242" s="5" t="s">
        <v>42</v>
      </c>
      <c r="Q2242" s="5" t="s">
        <v>75</v>
      </c>
      <c r="R2242">
        <v>4.5</v>
      </c>
      <c r="S2242">
        <v>2</v>
      </c>
      <c r="T2242">
        <f t="shared" ref="T2242:T2305" si="35">IF(AND(OR($B2242=Sel_Year,Sel_Year="All"),OR($C2242=Sel_Month,Sel_Month="All"),OR($D2242=Sel_Region,Sel_Region="All"),OR($E2242=Sel_State,Sel_State="All"),OR($F2242=Sel_City,Sel_City="All"),OR($G2242=Sel_Dealer,Sel_Dealer="All"),OR($H2242=Sel_Model,Sel_Model="All"),OR($I2242=Sel_Segment,Sel_Segment="All"),OR($J2242=Sel_Fuel,Sel_Fuel="All"),OR($P2242=Sel_CustType,Sel_CustType="All"),OR($Q2242=Sel_Payment,Sel_Payment="All")),1,0)</f>
        <v>1</v>
      </c>
    </row>
    <row r="2243" spans="1:20">
      <c r="A2243" s="4">
        <v>45544</v>
      </c>
      <c r="B2243">
        <v>2024</v>
      </c>
      <c r="C2243">
        <v>9</v>
      </c>
      <c r="D2243" s="5" t="s">
        <v>35</v>
      </c>
      <c r="E2243" s="5" t="s">
        <v>60</v>
      </c>
      <c r="F2243" s="5" t="s">
        <v>61</v>
      </c>
      <c r="G2243" s="5" t="s">
        <v>62</v>
      </c>
      <c r="H2243" s="5" t="s">
        <v>65</v>
      </c>
      <c r="I2243" s="5" t="s">
        <v>53</v>
      </c>
      <c r="J2243" s="5" t="s">
        <v>49</v>
      </c>
      <c r="K2243">
        <v>45</v>
      </c>
      <c r="L2243">
        <v>1245206</v>
      </c>
      <c r="M2243" s="26">
        <v>56034270</v>
      </c>
      <c r="N2243">
        <v>29653</v>
      </c>
      <c r="O2243" s="26">
        <v>7282601.8700000001</v>
      </c>
      <c r="P2243" s="5" t="s">
        <v>42</v>
      </c>
      <c r="Q2243" s="5" t="s">
        <v>75</v>
      </c>
      <c r="R2243">
        <v>4.7</v>
      </c>
      <c r="S2243">
        <v>17</v>
      </c>
      <c r="T2243">
        <f t="shared" si="35"/>
        <v>1</v>
      </c>
    </row>
    <row r="2244" spans="1:20">
      <c r="A2244" s="4">
        <v>45555</v>
      </c>
      <c r="B2244">
        <v>2024</v>
      </c>
      <c r="C2244">
        <v>9</v>
      </c>
      <c r="D2244" s="5" t="s">
        <v>44</v>
      </c>
      <c r="E2244" s="5" t="s">
        <v>45</v>
      </c>
      <c r="F2244" s="5" t="s">
        <v>46</v>
      </c>
      <c r="G2244" s="5" t="s">
        <v>47</v>
      </c>
      <c r="H2244" s="5" t="s">
        <v>73</v>
      </c>
      <c r="I2244" s="5" t="s">
        <v>40</v>
      </c>
      <c r="J2244" s="5" t="s">
        <v>49</v>
      </c>
      <c r="K2244">
        <v>32</v>
      </c>
      <c r="L2244">
        <v>724208</v>
      </c>
      <c r="M2244" s="26">
        <v>23174656</v>
      </c>
      <c r="N2244">
        <v>23859</v>
      </c>
      <c r="O2244" s="26">
        <v>3514589.36</v>
      </c>
      <c r="P2244" s="5" t="s">
        <v>50</v>
      </c>
      <c r="Q2244" s="5" t="s">
        <v>43</v>
      </c>
      <c r="R2244">
        <v>3.9</v>
      </c>
      <c r="S2244">
        <v>2</v>
      </c>
      <c r="T2244">
        <f t="shared" si="35"/>
        <v>0</v>
      </c>
    </row>
    <row r="2245" spans="1:20">
      <c r="A2245" s="4">
        <v>45545</v>
      </c>
      <c r="B2245">
        <v>2024</v>
      </c>
      <c r="C2245">
        <v>9</v>
      </c>
      <c r="D2245" s="5" t="s">
        <v>54</v>
      </c>
      <c r="E2245" s="5" t="s">
        <v>70</v>
      </c>
      <c r="F2245" s="5" t="s">
        <v>71</v>
      </c>
      <c r="G2245" s="5" t="s">
        <v>72</v>
      </c>
      <c r="H2245" s="5" t="s">
        <v>63</v>
      </c>
      <c r="I2245" s="5" t="s">
        <v>64</v>
      </c>
      <c r="J2245" s="5" t="s">
        <v>41</v>
      </c>
      <c r="K2245">
        <v>53</v>
      </c>
      <c r="L2245">
        <v>744305</v>
      </c>
      <c r="M2245" s="26">
        <v>39448165</v>
      </c>
      <c r="N2245">
        <v>17281</v>
      </c>
      <c r="O2245" s="26">
        <v>3584299.52</v>
      </c>
      <c r="P2245" s="5" t="s">
        <v>50</v>
      </c>
      <c r="Q2245" s="5" t="s">
        <v>43</v>
      </c>
      <c r="R2245">
        <v>3.7</v>
      </c>
      <c r="S2245">
        <v>5</v>
      </c>
      <c r="T2245">
        <f t="shared" si="35"/>
        <v>0</v>
      </c>
    </row>
    <row r="2246" spans="1:20">
      <c r="A2246" s="4">
        <v>45549</v>
      </c>
      <c r="B2246">
        <v>2024</v>
      </c>
      <c r="C2246">
        <v>9</v>
      </c>
      <c r="D2246" s="5" t="s">
        <v>35</v>
      </c>
      <c r="E2246" s="5" t="s">
        <v>36</v>
      </c>
      <c r="F2246" s="5" t="s">
        <v>37</v>
      </c>
      <c r="G2246" s="5" t="s">
        <v>38</v>
      </c>
      <c r="H2246" s="5" t="s">
        <v>79</v>
      </c>
      <c r="I2246" s="5" t="s">
        <v>58</v>
      </c>
      <c r="J2246" s="5" t="s">
        <v>49</v>
      </c>
      <c r="K2246">
        <v>18</v>
      </c>
      <c r="L2246">
        <v>893976</v>
      </c>
      <c r="M2246" s="26">
        <v>16091568</v>
      </c>
      <c r="N2246">
        <v>6743</v>
      </c>
      <c r="O2246" s="26">
        <v>2108182.9900000002</v>
      </c>
      <c r="P2246" s="5" t="s">
        <v>50</v>
      </c>
      <c r="Q2246" s="5" t="s">
        <v>43</v>
      </c>
      <c r="R2246">
        <v>4.5</v>
      </c>
      <c r="S2246">
        <v>2</v>
      </c>
      <c r="T2246">
        <f t="shared" si="35"/>
        <v>0</v>
      </c>
    </row>
    <row r="2247" spans="1:20">
      <c r="A2247" s="4">
        <v>45540</v>
      </c>
      <c r="B2247">
        <v>2024</v>
      </c>
      <c r="C2247">
        <v>9</v>
      </c>
      <c r="D2247" s="5" t="s">
        <v>54</v>
      </c>
      <c r="E2247" s="5" t="s">
        <v>55</v>
      </c>
      <c r="F2247" s="5" t="s">
        <v>55</v>
      </c>
      <c r="G2247" s="5" t="s">
        <v>56</v>
      </c>
      <c r="H2247" s="5" t="s">
        <v>52</v>
      </c>
      <c r="I2247" s="5" t="s">
        <v>53</v>
      </c>
      <c r="J2247" s="5" t="s">
        <v>41</v>
      </c>
      <c r="K2247">
        <v>55</v>
      </c>
      <c r="L2247">
        <v>955081</v>
      </c>
      <c r="M2247" s="26">
        <v>52529455</v>
      </c>
      <c r="N2247">
        <v>8579</v>
      </c>
      <c r="O2247" s="26">
        <v>5087450.1900000004</v>
      </c>
      <c r="P2247" s="5" t="s">
        <v>50</v>
      </c>
      <c r="Q2247" s="5" t="s">
        <v>75</v>
      </c>
      <c r="R2247">
        <v>4.4000000000000004</v>
      </c>
      <c r="S2247">
        <v>5</v>
      </c>
      <c r="T2247">
        <f t="shared" si="35"/>
        <v>0</v>
      </c>
    </row>
    <row r="2248" spans="1:20">
      <c r="A2248" s="4">
        <v>45550</v>
      </c>
      <c r="B2248">
        <v>2024</v>
      </c>
      <c r="C2248">
        <v>9</v>
      </c>
      <c r="D2248" s="5" t="s">
        <v>54</v>
      </c>
      <c r="E2248" s="5" t="s">
        <v>70</v>
      </c>
      <c r="F2248" s="5" t="s">
        <v>71</v>
      </c>
      <c r="G2248" s="5" t="s">
        <v>72</v>
      </c>
      <c r="H2248" s="5" t="s">
        <v>86</v>
      </c>
      <c r="I2248" s="5" t="s">
        <v>40</v>
      </c>
      <c r="J2248" s="5" t="s">
        <v>41</v>
      </c>
      <c r="K2248">
        <v>29</v>
      </c>
      <c r="L2248">
        <v>580219</v>
      </c>
      <c r="M2248" s="26">
        <v>16826351</v>
      </c>
      <c r="N2248">
        <v>27336</v>
      </c>
      <c r="O2248" s="26">
        <v>2447947.2400000002</v>
      </c>
      <c r="P2248" s="5" t="s">
        <v>42</v>
      </c>
      <c r="Q2248" s="5" t="s">
        <v>51</v>
      </c>
      <c r="R2248">
        <v>3.7</v>
      </c>
      <c r="S2248">
        <v>10</v>
      </c>
      <c r="T2248">
        <f t="shared" si="35"/>
        <v>1</v>
      </c>
    </row>
    <row r="2249" spans="1:20">
      <c r="A2249" s="4">
        <v>45549</v>
      </c>
      <c r="B2249">
        <v>2024</v>
      </c>
      <c r="C2249">
        <v>9</v>
      </c>
      <c r="D2249" s="5" t="s">
        <v>35</v>
      </c>
      <c r="E2249" s="5" t="s">
        <v>36</v>
      </c>
      <c r="F2249" s="5" t="s">
        <v>37</v>
      </c>
      <c r="G2249" s="5" t="s">
        <v>38</v>
      </c>
      <c r="H2249" s="5" t="s">
        <v>39</v>
      </c>
      <c r="I2249" s="5" t="s">
        <v>40</v>
      </c>
      <c r="J2249" s="5" t="s">
        <v>41</v>
      </c>
      <c r="K2249">
        <v>47</v>
      </c>
      <c r="L2249">
        <v>583324</v>
      </c>
      <c r="M2249" s="26">
        <v>27416228</v>
      </c>
      <c r="N2249">
        <v>32162</v>
      </c>
      <c r="O2249" s="26">
        <v>2956738.69</v>
      </c>
      <c r="P2249" s="5" t="s">
        <v>42</v>
      </c>
      <c r="Q2249" s="5" t="s">
        <v>75</v>
      </c>
      <c r="R2249">
        <v>4.8</v>
      </c>
      <c r="S2249">
        <v>7</v>
      </c>
      <c r="T2249">
        <f t="shared" si="35"/>
        <v>1</v>
      </c>
    </row>
    <row r="2250" spans="1:20">
      <c r="A2250" s="4">
        <v>45561</v>
      </c>
      <c r="B2250">
        <v>2024</v>
      </c>
      <c r="C2250">
        <v>9</v>
      </c>
      <c r="D2250" s="5" t="s">
        <v>54</v>
      </c>
      <c r="E2250" s="5" t="s">
        <v>70</v>
      </c>
      <c r="F2250" s="5" t="s">
        <v>71</v>
      </c>
      <c r="G2250" s="5" t="s">
        <v>72</v>
      </c>
      <c r="H2250" s="5" t="s">
        <v>52</v>
      </c>
      <c r="I2250" s="5" t="s">
        <v>53</v>
      </c>
      <c r="J2250" s="5" t="s">
        <v>41</v>
      </c>
      <c r="K2250">
        <v>41</v>
      </c>
      <c r="L2250">
        <v>975071</v>
      </c>
      <c r="M2250" s="26">
        <v>39977911</v>
      </c>
      <c r="N2250">
        <v>27173</v>
      </c>
      <c r="O2250" s="26">
        <v>3414557.23</v>
      </c>
      <c r="P2250" s="5" t="s">
        <v>42</v>
      </c>
      <c r="Q2250" s="5" t="s">
        <v>75</v>
      </c>
      <c r="R2250">
        <v>3.7</v>
      </c>
      <c r="S2250">
        <v>8</v>
      </c>
      <c r="T2250">
        <f t="shared" si="35"/>
        <v>1</v>
      </c>
    </row>
    <row r="2251" spans="1:20">
      <c r="A2251" s="4">
        <v>45536</v>
      </c>
      <c r="B2251">
        <v>2024</v>
      </c>
      <c r="C2251">
        <v>9</v>
      </c>
      <c r="D2251" s="5" t="s">
        <v>44</v>
      </c>
      <c r="E2251" s="5" t="s">
        <v>45</v>
      </c>
      <c r="F2251" s="5" t="s">
        <v>46</v>
      </c>
      <c r="G2251" s="5" t="s">
        <v>47</v>
      </c>
      <c r="H2251" s="5" t="s">
        <v>63</v>
      </c>
      <c r="I2251" s="5" t="s">
        <v>64</v>
      </c>
      <c r="J2251" s="5" t="s">
        <v>41</v>
      </c>
      <c r="K2251">
        <v>59</v>
      </c>
      <c r="L2251">
        <v>759262</v>
      </c>
      <c r="M2251" s="26">
        <v>44796458</v>
      </c>
      <c r="N2251">
        <v>7106</v>
      </c>
      <c r="O2251" s="26">
        <v>6989420.2599999998</v>
      </c>
      <c r="P2251" s="5" t="s">
        <v>42</v>
      </c>
      <c r="Q2251" s="5" t="s">
        <v>75</v>
      </c>
      <c r="R2251">
        <v>3.6</v>
      </c>
      <c r="S2251">
        <v>11</v>
      </c>
      <c r="T2251">
        <f t="shared" si="35"/>
        <v>1</v>
      </c>
    </row>
    <row r="2252" spans="1:20">
      <c r="A2252" s="4">
        <v>45566</v>
      </c>
      <c r="B2252">
        <v>2024</v>
      </c>
      <c r="C2252">
        <v>10</v>
      </c>
      <c r="D2252" s="5" t="s">
        <v>54</v>
      </c>
      <c r="E2252" s="5" t="s">
        <v>70</v>
      </c>
      <c r="F2252" s="5" t="s">
        <v>71</v>
      </c>
      <c r="G2252" s="5" t="s">
        <v>72</v>
      </c>
      <c r="H2252" s="5" t="s">
        <v>65</v>
      </c>
      <c r="I2252" s="5" t="s">
        <v>53</v>
      </c>
      <c r="J2252" s="5" t="s">
        <v>49</v>
      </c>
      <c r="K2252">
        <v>50</v>
      </c>
      <c r="L2252">
        <v>1253325</v>
      </c>
      <c r="M2252" s="26">
        <v>62666250</v>
      </c>
      <c r="N2252">
        <v>45367</v>
      </c>
      <c r="O2252" s="26">
        <v>7137818.7400000002</v>
      </c>
      <c r="P2252" s="5" t="s">
        <v>50</v>
      </c>
      <c r="Q2252" s="5" t="s">
        <v>43</v>
      </c>
      <c r="R2252">
        <v>4.8</v>
      </c>
      <c r="S2252">
        <v>7</v>
      </c>
      <c r="T2252">
        <f t="shared" si="35"/>
        <v>0</v>
      </c>
    </row>
    <row r="2253" spans="1:20">
      <c r="A2253" s="4">
        <v>45572</v>
      </c>
      <c r="B2253">
        <v>2024</v>
      </c>
      <c r="C2253">
        <v>10</v>
      </c>
      <c r="D2253" s="5" t="s">
        <v>35</v>
      </c>
      <c r="E2253" s="5" t="s">
        <v>60</v>
      </c>
      <c r="F2253" s="5" t="s">
        <v>61</v>
      </c>
      <c r="G2253" s="5" t="s">
        <v>62</v>
      </c>
      <c r="H2253" s="5" t="s">
        <v>79</v>
      </c>
      <c r="I2253" s="5" t="s">
        <v>58</v>
      </c>
      <c r="J2253" s="5" t="s">
        <v>49</v>
      </c>
      <c r="K2253">
        <v>49</v>
      </c>
      <c r="L2253">
        <v>900631</v>
      </c>
      <c r="M2253" s="26">
        <v>44130919</v>
      </c>
      <c r="N2253">
        <v>36839</v>
      </c>
      <c r="O2253" s="26">
        <v>3872381.04</v>
      </c>
      <c r="P2253" s="5" t="s">
        <v>50</v>
      </c>
      <c r="Q2253" s="5" t="s">
        <v>51</v>
      </c>
      <c r="R2253">
        <v>4.5999999999999996</v>
      </c>
      <c r="S2253">
        <v>11</v>
      </c>
      <c r="T2253">
        <f t="shared" si="35"/>
        <v>0</v>
      </c>
    </row>
    <row r="2254" spans="1:20">
      <c r="A2254" s="4">
        <v>45582</v>
      </c>
      <c r="B2254">
        <v>2024</v>
      </c>
      <c r="C2254">
        <v>10</v>
      </c>
      <c r="D2254" s="5" t="s">
        <v>35</v>
      </c>
      <c r="E2254" s="5" t="s">
        <v>36</v>
      </c>
      <c r="F2254" s="5" t="s">
        <v>37</v>
      </c>
      <c r="G2254" s="5" t="s">
        <v>38</v>
      </c>
      <c r="H2254" s="5" t="s">
        <v>39</v>
      </c>
      <c r="I2254" s="5" t="s">
        <v>40</v>
      </c>
      <c r="J2254" s="5" t="s">
        <v>41</v>
      </c>
      <c r="K2254">
        <v>29</v>
      </c>
      <c r="L2254">
        <v>576218</v>
      </c>
      <c r="M2254" s="26">
        <v>16710322</v>
      </c>
      <c r="N2254">
        <v>33073</v>
      </c>
      <c r="O2254" s="26">
        <v>2235404.84</v>
      </c>
      <c r="P2254" s="5" t="s">
        <v>50</v>
      </c>
      <c r="Q2254" s="5" t="s">
        <v>51</v>
      </c>
      <c r="R2254">
        <v>4</v>
      </c>
      <c r="S2254">
        <v>4</v>
      </c>
      <c r="T2254">
        <f t="shared" si="35"/>
        <v>0</v>
      </c>
    </row>
    <row r="2255" spans="1:20">
      <c r="A2255" s="4">
        <v>45591</v>
      </c>
      <c r="B2255">
        <v>2024</v>
      </c>
      <c r="C2255">
        <v>10</v>
      </c>
      <c r="D2255" s="5" t="s">
        <v>35</v>
      </c>
      <c r="E2255" s="5" t="s">
        <v>36</v>
      </c>
      <c r="F2255" s="5" t="s">
        <v>37</v>
      </c>
      <c r="G2255" s="5" t="s">
        <v>38</v>
      </c>
      <c r="H2255" s="5" t="s">
        <v>65</v>
      </c>
      <c r="I2255" s="5" t="s">
        <v>53</v>
      </c>
      <c r="J2255" s="5" t="s">
        <v>49</v>
      </c>
      <c r="K2255">
        <v>17</v>
      </c>
      <c r="L2255">
        <v>1243724</v>
      </c>
      <c r="M2255" s="26">
        <v>21143308</v>
      </c>
      <c r="N2255">
        <v>11379</v>
      </c>
      <c r="O2255" s="26">
        <v>2052960.44</v>
      </c>
      <c r="P2255" s="5" t="s">
        <v>50</v>
      </c>
      <c r="Q2255" s="5" t="s">
        <v>75</v>
      </c>
      <c r="R2255">
        <v>4.0999999999999996</v>
      </c>
      <c r="S2255">
        <v>8</v>
      </c>
      <c r="T2255">
        <f t="shared" si="35"/>
        <v>0</v>
      </c>
    </row>
    <row r="2256" spans="1:20">
      <c r="A2256" s="4">
        <v>45577</v>
      </c>
      <c r="B2256">
        <v>2024</v>
      </c>
      <c r="C2256">
        <v>10</v>
      </c>
      <c r="D2256" s="5" t="s">
        <v>66</v>
      </c>
      <c r="E2256" s="5" t="s">
        <v>67</v>
      </c>
      <c r="F2256" s="5" t="s">
        <v>68</v>
      </c>
      <c r="G2256" s="5" t="s">
        <v>69</v>
      </c>
      <c r="H2256" s="5" t="s">
        <v>79</v>
      </c>
      <c r="I2256" s="5" t="s">
        <v>58</v>
      </c>
      <c r="J2256" s="5" t="s">
        <v>49</v>
      </c>
      <c r="K2256">
        <v>32</v>
      </c>
      <c r="L2256">
        <v>910155</v>
      </c>
      <c r="M2256" s="26">
        <v>29124960</v>
      </c>
      <c r="N2256">
        <v>32878</v>
      </c>
      <c r="O2256" s="26">
        <v>4406233.1399999997</v>
      </c>
      <c r="P2256" s="5" t="s">
        <v>42</v>
      </c>
      <c r="Q2256" s="5" t="s">
        <v>75</v>
      </c>
      <c r="R2256">
        <v>4.3</v>
      </c>
      <c r="S2256">
        <v>15</v>
      </c>
      <c r="T2256">
        <f t="shared" si="35"/>
        <v>1</v>
      </c>
    </row>
    <row r="2257" spans="1:20">
      <c r="A2257" s="4">
        <v>45582</v>
      </c>
      <c r="B2257">
        <v>2024</v>
      </c>
      <c r="C2257">
        <v>10</v>
      </c>
      <c r="D2257" s="5" t="s">
        <v>35</v>
      </c>
      <c r="E2257" s="5" t="s">
        <v>60</v>
      </c>
      <c r="F2257" s="5" t="s">
        <v>61</v>
      </c>
      <c r="G2257" s="5" t="s">
        <v>62</v>
      </c>
      <c r="H2257" s="5" t="s">
        <v>65</v>
      </c>
      <c r="I2257" s="5" t="s">
        <v>53</v>
      </c>
      <c r="J2257" s="5" t="s">
        <v>49</v>
      </c>
      <c r="K2257">
        <v>16</v>
      </c>
      <c r="L2257">
        <v>1261837</v>
      </c>
      <c r="M2257" s="26">
        <v>20189392</v>
      </c>
      <c r="N2257">
        <v>7705</v>
      </c>
      <c r="O2257" s="26">
        <v>2730476.25</v>
      </c>
      <c r="P2257" s="5" t="s">
        <v>50</v>
      </c>
      <c r="Q2257" s="5" t="s">
        <v>75</v>
      </c>
      <c r="R2257">
        <v>4.5</v>
      </c>
      <c r="S2257">
        <v>17</v>
      </c>
      <c r="T2257">
        <f t="shared" si="35"/>
        <v>0</v>
      </c>
    </row>
    <row r="2258" spans="1:20">
      <c r="A2258" s="4">
        <v>45589</v>
      </c>
      <c r="B2258">
        <v>2024</v>
      </c>
      <c r="C2258">
        <v>10</v>
      </c>
      <c r="D2258" s="5" t="s">
        <v>54</v>
      </c>
      <c r="E2258" s="5" t="s">
        <v>70</v>
      </c>
      <c r="F2258" s="5" t="s">
        <v>71</v>
      </c>
      <c r="G2258" s="5" t="s">
        <v>72</v>
      </c>
      <c r="H2258" s="5" t="s">
        <v>73</v>
      </c>
      <c r="I2258" s="5" t="s">
        <v>40</v>
      </c>
      <c r="J2258" s="5" t="s">
        <v>49</v>
      </c>
      <c r="K2258">
        <v>11</v>
      </c>
      <c r="L2258">
        <v>718573</v>
      </c>
      <c r="M2258" s="26">
        <v>7904303</v>
      </c>
      <c r="N2258">
        <v>47030</v>
      </c>
      <c r="O2258" s="26">
        <v>778260.74</v>
      </c>
      <c r="P2258" s="5" t="s">
        <v>50</v>
      </c>
      <c r="Q2258" s="5" t="s">
        <v>75</v>
      </c>
      <c r="R2258">
        <v>4.3</v>
      </c>
      <c r="S2258">
        <v>3</v>
      </c>
      <c r="T2258">
        <f t="shared" si="35"/>
        <v>0</v>
      </c>
    </row>
    <row r="2259" spans="1:20">
      <c r="A2259" s="4">
        <v>45582</v>
      </c>
      <c r="B2259">
        <v>2024</v>
      </c>
      <c r="C2259">
        <v>10</v>
      </c>
      <c r="D2259" s="5" t="s">
        <v>44</v>
      </c>
      <c r="E2259" s="5" t="s">
        <v>45</v>
      </c>
      <c r="F2259" s="5" t="s">
        <v>46</v>
      </c>
      <c r="G2259" s="5" t="s">
        <v>47</v>
      </c>
      <c r="H2259" s="5" t="s">
        <v>74</v>
      </c>
      <c r="I2259" s="5" t="s">
        <v>40</v>
      </c>
      <c r="J2259" s="5" t="s">
        <v>49</v>
      </c>
      <c r="K2259">
        <v>59</v>
      </c>
      <c r="L2259">
        <v>629221</v>
      </c>
      <c r="M2259" s="26">
        <v>37124039</v>
      </c>
      <c r="N2259">
        <v>28981</v>
      </c>
      <c r="O2259" s="26">
        <v>5054819.82</v>
      </c>
      <c r="P2259" s="5" t="s">
        <v>50</v>
      </c>
      <c r="Q2259" s="5" t="s">
        <v>75</v>
      </c>
      <c r="R2259">
        <v>4.5999999999999996</v>
      </c>
      <c r="S2259">
        <v>3</v>
      </c>
      <c r="T2259">
        <f t="shared" si="35"/>
        <v>0</v>
      </c>
    </row>
    <row r="2260" spans="1:20">
      <c r="A2260" s="4">
        <v>45573</v>
      </c>
      <c r="B2260">
        <v>2024</v>
      </c>
      <c r="C2260">
        <v>10</v>
      </c>
      <c r="D2260" s="5" t="s">
        <v>44</v>
      </c>
      <c r="E2260" s="5" t="s">
        <v>82</v>
      </c>
      <c r="F2260" s="5" t="s">
        <v>83</v>
      </c>
      <c r="G2260" s="5" t="s">
        <v>84</v>
      </c>
      <c r="H2260" s="5" t="s">
        <v>48</v>
      </c>
      <c r="I2260" s="5" t="s">
        <v>40</v>
      </c>
      <c r="J2260" s="5" t="s">
        <v>49</v>
      </c>
      <c r="K2260">
        <v>49</v>
      </c>
      <c r="L2260">
        <v>444408</v>
      </c>
      <c r="M2260" s="26">
        <v>21775992</v>
      </c>
      <c r="N2260">
        <v>44154</v>
      </c>
      <c r="O2260" s="26">
        <v>2449278.85</v>
      </c>
      <c r="P2260" s="5" t="s">
        <v>50</v>
      </c>
      <c r="Q2260" s="5" t="s">
        <v>51</v>
      </c>
      <c r="R2260">
        <v>3.6</v>
      </c>
      <c r="S2260">
        <v>7</v>
      </c>
      <c r="T2260">
        <f t="shared" si="35"/>
        <v>0</v>
      </c>
    </row>
    <row r="2261" spans="1:20">
      <c r="A2261" s="4">
        <v>45569</v>
      </c>
      <c r="B2261">
        <v>2024</v>
      </c>
      <c r="C2261">
        <v>10</v>
      </c>
      <c r="D2261" s="5" t="s">
        <v>54</v>
      </c>
      <c r="E2261" s="5" t="s">
        <v>55</v>
      </c>
      <c r="F2261" s="5" t="s">
        <v>55</v>
      </c>
      <c r="G2261" s="5" t="s">
        <v>56</v>
      </c>
      <c r="H2261" s="5" t="s">
        <v>39</v>
      </c>
      <c r="I2261" s="5" t="s">
        <v>40</v>
      </c>
      <c r="J2261" s="5" t="s">
        <v>41</v>
      </c>
      <c r="K2261">
        <v>34</v>
      </c>
      <c r="L2261">
        <v>609813</v>
      </c>
      <c r="M2261" s="26">
        <v>20733642</v>
      </c>
      <c r="N2261">
        <v>16215</v>
      </c>
      <c r="O2261" s="26">
        <v>1774755.36</v>
      </c>
      <c r="P2261" s="5" t="s">
        <v>42</v>
      </c>
      <c r="Q2261" s="5" t="s">
        <v>43</v>
      </c>
      <c r="R2261">
        <v>4.8</v>
      </c>
      <c r="S2261">
        <v>13</v>
      </c>
      <c r="T2261">
        <f t="shared" si="35"/>
        <v>1</v>
      </c>
    </row>
    <row r="2262" spans="1:20">
      <c r="A2262" s="4">
        <v>45584</v>
      </c>
      <c r="B2262">
        <v>2024</v>
      </c>
      <c r="C2262">
        <v>10</v>
      </c>
      <c r="D2262" s="5" t="s">
        <v>35</v>
      </c>
      <c r="E2262" s="5" t="s">
        <v>60</v>
      </c>
      <c r="F2262" s="5" t="s">
        <v>61</v>
      </c>
      <c r="G2262" s="5" t="s">
        <v>62</v>
      </c>
      <c r="H2262" s="5" t="s">
        <v>86</v>
      </c>
      <c r="I2262" s="5" t="s">
        <v>40</v>
      </c>
      <c r="J2262" s="5" t="s">
        <v>41</v>
      </c>
      <c r="K2262">
        <v>47</v>
      </c>
      <c r="L2262">
        <v>591540</v>
      </c>
      <c r="M2262" s="26">
        <v>27802380</v>
      </c>
      <c r="N2262">
        <v>19359</v>
      </c>
      <c r="O2262" s="26">
        <v>4254205.28</v>
      </c>
      <c r="P2262" s="5" t="s">
        <v>42</v>
      </c>
      <c r="Q2262" s="5" t="s">
        <v>43</v>
      </c>
      <c r="R2262">
        <v>4.4000000000000004</v>
      </c>
      <c r="S2262">
        <v>15</v>
      </c>
      <c r="T2262">
        <f t="shared" si="35"/>
        <v>1</v>
      </c>
    </row>
    <row r="2263" spans="1:20">
      <c r="A2263" s="4">
        <v>45591</v>
      </c>
      <c r="B2263">
        <v>2024</v>
      </c>
      <c r="C2263">
        <v>10</v>
      </c>
      <c r="D2263" s="5" t="s">
        <v>54</v>
      </c>
      <c r="E2263" s="5" t="s">
        <v>70</v>
      </c>
      <c r="F2263" s="5" t="s">
        <v>71</v>
      </c>
      <c r="G2263" s="5" t="s">
        <v>72</v>
      </c>
      <c r="H2263" s="5" t="s">
        <v>39</v>
      </c>
      <c r="I2263" s="5" t="s">
        <v>40</v>
      </c>
      <c r="J2263" s="5" t="s">
        <v>41</v>
      </c>
      <c r="K2263">
        <v>16</v>
      </c>
      <c r="L2263">
        <v>568385</v>
      </c>
      <c r="M2263" s="26">
        <v>9094160</v>
      </c>
      <c r="N2263">
        <v>44984</v>
      </c>
      <c r="O2263" s="26">
        <v>1425925.65</v>
      </c>
      <c r="P2263" s="5" t="s">
        <v>50</v>
      </c>
      <c r="Q2263" s="5" t="s">
        <v>51</v>
      </c>
      <c r="R2263">
        <v>4.5</v>
      </c>
      <c r="S2263">
        <v>9</v>
      </c>
      <c r="T2263">
        <f t="shared" si="35"/>
        <v>0</v>
      </c>
    </row>
    <row r="2264" spans="1:20">
      <c r="A2264" s="4">
        <v>45589</v>
      </c>
      <c r="B2264">
        <v>2024</v>
      </c>
      <c r="C2264">
        <v>10</v>
      </c>
      <c r="D2264" s="5" t="s">
        <v>44</v>
      </c>
      <c r="E2264" s="5" t="s">
        <v>45</v>
      </c>
      <c r="F2264" s="5" t="s">
        <v>46</v>
      </c>
      <c r="G2264" s="5" t="s">
        <v>47</v>
      </c>
      <c r="H2264" s="5" t="s">
        <v>73</v>
      </c>
      <c r="I2264" s="5" t="s">
        <v>40</v>
      </c>
      <c r="J2264" s="5" t="s">
        <v>49</v>
      </c>
      <c r="K2264">
        <v>55</v>
      </c>
      <c r="L2264">
        <v>697133</v>
      </c>
      <c r="M2264" s="26">
        <v>38342315</v>
      </c>
      <c r="N2264">
        <v>20209</v>
      </c>
      <c r="O2264" s="26">
        <v>3611926.55</v>
      </c>
      <c r="P2264" s="5" t="s">
        <v>42</v>
      </c>
      <c r="Q2264" s="5" t="s">
        <v>43</v>
      </c>
      <c r="R2264">
        <v>4.7</v>
      </c>
      <c r="S2264">
        <v>16</v>
      </c>
      <c r="T2264">
        <f t="shared" si="35"/>
        <v>1</v>
      </c>
    </row>
    <row r="2265" spans="1:20">
      <c r="A2265" s="4">
        <v>45580</v>
      </c>
      <c r="B2265">
        <v>2024</v>
      </c>
      <c r="C2265">
        <v>10</v>
      </c>
      <c r="D2265" s="5" t="s">
        <v>44</v>
      </c>
      <c r="E2265" s="5" t="s">
        <v>45</v>
      </c>
      <c r="F2265" s="5" t="s">
        <v>46</v>
      </c>
      <c r="G2265" s="5" t="s">
        <v>47</v>
      </c>
      <c r="H2265" s="5" t="s">
        <v>65</v>
      </c>
      <c r="I2265" s="5" t="s">
        <v>53</v>
      </c>
      <c r="J2265" s="5" t="s">
        <v>49</v>
      </c>
      <c r="K2265">
        <v>54</v>
      </c>
      <c r="L2265">
        <v>1250830</v>
      </c>
      <c r="M2265" s="26">
        <v>67544820</v>
      </c>
      <c r="N2265">
        <v>13269</v>
      </c>
      <c r="O2265" s="26">
        <v>6842626.9900000002</v>
      </c>
      <c r="P2265" s="5" t="s">
        <v>42</v>
      </c>
      <c r="Q2265" s="5" t="s">
        <v>51</v>
      </c>
      <c r="R2265">
        <v>4.3</v>
      </c>
      <c r="S2265">
        <v>18</v>
      </c>
      <c r="T2265">
        <f t="shared" si="35"/>
        <v>1</v>
      </c>
    </row>
    <row r="2266" spans="1:20">
      <c r="A2266" s="4">
        <v>45584</v>
      </c>
      <c r="B2266">
        <v>2024</v>
      </c>
      <c r="C2266">
        <v>10</v>
      </c>
      <c r="D2266" s="5" t="s">
        <v>66</v>
      </c>
      <c r="E2266" s="5" t="s">
        <v>67</v>
      </c>
      <c r="F2266" s="5" t="s">
        <v>68</v>
      </c>
      <c r="G2266" s="5" t="s">
        <v>69</v>
      </c>
      <c r="H2266" s="5" t="s">
        <v>79</v>
      </c>
      <c r="I2266" s="5" t="s">
        <v>58</v>
      </c>
      <c r="J2266" s="5" t="s">
        <v>49</v>
      </c>
      <c r="K2266">
        <v>12</v>
      </c>
      <c r="L2266">
        <v>915193</v>
      </c>
      <c r="M2266" s="26">
        <v>10982316</v>
      </c>
      <c r="N2266">
        <v>37622</v>
      </c>
      <c r="O2266" s="26">
        <v>1654699.82</v>
      </c>
      <c r="P2266" s="5" t="s">
        <v>50</v>
      </c>
      <c r="Q2266" s="5" t="s">
        <v>51</v>
      </c>
      <c r="R2266">
        <v>4.7</v>
      </c>
      <c r="S2266">
        <v>15</v>
      </c>
      <c r="T2266">
        <f t="shared" si="35"/>
        <v>0</v>
      </c>
    </row>
    <row r="2267" spans="1:20">
      <c r="A2267" s="4">
        <v>45593</v>
      </c>
      <c r="B2267">
        <v>2024</v>
      </c>
      <c r="C2267">
        <v>10</v>
      </c>
      <c r="D2267" s="5" t="s">
        <v>35</v>
      </c>
      <c r="E2267" s="5" t="s">
        <v>76</v>
      </c>
      <c r="F2267" s="5" t="s">
        <v>77</v>
      </c>
      <c r="G2267" s="5" t="s">
        <v>78</v>
      </c>
      <c r="H2267" s="5" t="s">
        <v>39</v>
      </c>
      <c r="I2267" s="5" t="s">
        <v>40</v>
      </c>
      <c r="J2267" s="5" t="s">
        <v>41</v>
      </c>
      <c r="K2267">
        <v>53</v>
      </c>
      <c r="L2267">
        <v>608548</v>
      </c>
      <c r="M2267" s="26">
        <v>32253044</v>
      </c>
      <c r="N2267">
        <v>28988</v>
      </c>
      <c r="O2267" s="26">
        <v>4081819.73</v>
      </c>
      <c r="P2267" s="5" t="s">
        <v>50</v>
      </c>
      <c r="Q2267" s="5" t="s">
        <v>43</v>
      </c>
      <c r="R2267">
        <v>4.5</v>
      </c>
      <c r="S2267">
        <v>16</v>
      </c>
      <c r="T2267">
        <f t="shared" si="35"/>
        <v>0</v>
      </c>
    </row>
    <row r="2268" spans="1:20">
      <c r="A2268" s="4">
        <v>45591</v>
      </c>
      <c r="B2268">
        <v>2024</v>
      </c>
      <c r="C2268">
        <v>10</v>
      </c>
      <c r="D2268" s="5" t="s">
        <v>35</v>
      </c>
      <c r="E2268" s="5" t="s">
        <v>76</v>
      </c>
      <c r="F2268" s="5" t="s">
        <v>77</v>
      </c>
      <c r="G2268" s="5" t="s">
        <v>78</v>
      </c>
      <c r="H2268" s="5" t="s">
        <v>79</v>
      </c>
      <c r="I2268" s="5" t="s">
        <v>58</v>
      </c>
      <c r="J2268" s="5" t="s">
        <v>49</v>
      </c>
      <c r="K2268">
        <v>28</v>
      </c>
      <c r="L2268">
        <v>908387</v>
      </c>
      <c r="M2268" s="26">
        <v>25434836</v>
      </c>
      <c r="N2268">
        <v>49943</v>
      </c>
      <c r="O2268" s="26">
        <v>3262075.18</v>
      </c>
      <c r="P2268" s="5" t="s">
        <v>42</v>
      </c>
      <c r="Q2268" s="5" t="s">
        <v>43</v>
      </c>
      <c r="R2268">
        <v>3.6</v>
      </c>
      <c r="S2268">
        <v>7</v>
      </c>
      <c r="T2268">
        <f t="shared" si="35"/>
        <v>1</v>
      </c>
    </row>
    <row r="2269" spans="1:20">
      <c r="A2269" s="4">
        <v>45582</v>
      </c>
      <c r="B2269">
        <v>2024</v>
      </c>
      <c r="C2269">
        <v>10</v>
      </c>
      <c r="D2269" s="5" t="s">
        <v>35</v>
      </c>
      <c r="E2269" s="5" t="s">
        <v>36</v>
      </c>
      <c r="F2269" s="5" t="s">
        <v>37</v>
      </c>
      <c r="G2269" s="5" t="s">
        <v>38</v>
      </c>
      <c r="H2269" s="5" t="s">
        <v>39</v>
      </c>
      <c r="I2269" s="5" t="s">
        <v>40</v>
      </c>
      <c r="J2269" s="5" t="s">
        <v>41</v>
      </c>
      <c r="K2269">
        <v>18</v>
      </c>
      <c r="L2269">
        <v>581559</v>
      </c>
      <c r="M2269" s="26">
        <v>10468062</v>
      </c>
      <c r="N2269">
        <v>37276</v>
      </c>
      <c r="O2269" s="26">
        <v>1233263.49</v>
      </c>
      <c r="P2269" s="5" t="s">
        <v>50</v>
      </c>
      <c r="Q2269" s="5" t="s">
        <v>51</v>
      </c>
      <c r="R2269">
        <v>4.0999999999999996</v>
      </c>
      <c r="S2269">
        <v>6</v>
      </c>
      <c r="T2269">
        <f t="shared" si="35"/>
        <v>0</v>
      </c>
    </row>
    <row r="2270" spans="1:20">
      <c r="A2270" s="4">
        <v>45589</v>
      </c>
      <c r="B2270">
        <v>2024</v>
      </c>
      <c r="C2270">
        <v>10</v>
      </c>
      <c r="D2270" s="5" t="s">
        <v>44</v>
      </c>
      <c r="E2270" s="5" t="s">
        <v>82</v>
      </c>
      <c r="F2270" s="5" t="s">
        <v>83</v>
      </c>
      <c r="G2270" s="5" t="s">
        <v>84</v>
      </c>
      <c r="H2270" s="5" t="s">
        <v>74</v>
      </c>
      <c r="I2270" s="5" t="s">
        <v>40</v>
      </c>
      <c r="J2270" s="5" t="s">
        <v>49</v>
      </c>
      <c r="K2270">
        <v>33</v>
      </c>
      <c r="L2270">
        <v>657715</v>
      </c>
      <c r="M2270" s="26">
        <v>21704595</v>
      </c>
      <c r="N2270">
        <v>33387</v>
      </c>
      <c r="O2270" s="26">
        <v>3180177.09</v>
      </c>
      <c r="P2270" s="5" t="s">
        <v>50</v>
      </c>
      <c r="Q2270" s="5" t="s">
        <v>43</v>
      </c>
      <c r="R2270">
        <v>3.5</v>
      </c>
      <c r="S2270">
        <v>7</v>
      </c>
      <c r="T2270">
        <f t="shared" si="35"/>
        <v>0</v>
      </c>
    </row>
    <row r="2271" spans="1:20">
      <c r="A2271" s="4">
        <v>45569</v>
      </c>
      <c r="B2271">
        <v>2024</v>
      </c>
      <c r="C2271">
        <v>10</v>
      </c>
      <c r="D2271" s="5" t="s">
        <v>66</v>
      </c>
      <c r="E2271" s="5" t="s">
        <v>67</v>
      </c>
      <c r="F2271" s="5" t="s">
        <v>68</v>
      </c>
      <c r="G2271" s="5" t="s">
        <v>69</v>
      </c>
      <c r="H2271" s="5" t="s">
        <v>79</v>
      </c>
      <c r="I2271" s="5" t="s">
        <v>58</v>
      </c>
      <c r="J2271" s="5" t="s">
        <v>49</v>
      </c>
      <c r="K2271">
        <v>40</v>
      </c>
      <c r="L2271">
        <v>904962</v>
      </c>
      <c r="M2271" s="26">
        <v>36198480</v>
      </c>
      <c r="N2271">
        <v>37462</v>
      </c>
      <c r="O2271" s="26">
        <v>4603210.63</v>
      </c>
      <c r="P2271" s="5" t="s">
        <v>50</v>
      </c>
      <c r="Q2271" s="5" t="s">
        <v>75</v>
      </c>
      <c r="R2271">
        <v>3.6</v>
      </c>
      <c r="S2271">
        <v>14</v>
      </c>
      <c r="T2271">
        <f t="shared" si="35"/>
        <v>0</v>
      </c>
    </row>
    <row r="2272" spans="1:20">
      <c r="A2272" s="4">
        <v>45583</v>
      </c>
      <c r="B2272">
        <v>2024</v>
      </c>
      <c r="C2272">
        <v>10</v>
      </c>
      <c r="D2272" s="5" t="s">
        <v>44</v>
      </c>
      <c r="E2272" s="5" t="s">
        <v>45</v>
      </c>
      <c r="F2272" s="5" t="s">
        <v>46</v>
      </c>
      <c r="G2272" s="5" t="s">
        <v>47</v>
      </c>
      <c r="H2272" s="5" t="s">
        <v>63</v>
      </c>
      <c r="I2272" s="5" t="s">
        <v>64</v>
      </c>
      <c r="J2272" s="5" t="s">
        <v>41</v>
      </c>
      <c r="K2272">
        <v>58</v>
      </c>
      <c r="L2272">
        <v>755873</v>
      </c>
      <c r="M2272" s="26">
        <v>43840634</v>
      </c>
      <c r="N2272">
        <v>45400</v>
      </c>
      <c r="O2272" s="26">
        <v>5654447.5599999996</v>
      </c>
      <c r="P2272" s="5" t="s">
        <v>42</v>
      </c>
      <c r="Q2272" s="5" t="s">
        <v>75</v>
      </c>
      <c r="R2272">
        <v>4.4000000000000004</v>
      </c>
      <c r="S2272">
        <v>19</v>
      </c>
      <c r="T2272">
        <f t="shared" si="35"/>
        <v>1</v>
      </c>
    </row>
    <row r="2273" spans="1:20">
      <c r="A2273" s="4">
        <v>45570</v>
      </c>
      <c r="B2273">
        <v>2024</v>
      </c>
      <c r="C2273">
        <v>10</v>
      </c>
      <c r="D2273" s="5" t="s">
        <v>44</v>
      </c>
      <c r="E2273" s="5" t="s">
        <v>82</v>
      </c>
      <c r="F2273" s="5" t="s">
        <v>83</v>
      </c>
      <c r="G2273" s="5" t="s">
        <v>84</v>
      </c>
      <c r="H2273" s="5" t="s">
        <v>86</v>
      </c>
      <c r="I2273" s="5" t="s">
        <v>40</v>
      </c>
      <c r="J2273" s="5" t="s">
        <v>41</v>
      </c>
      <c r="K2273">
        <v>37</v>
      </c>
      <c r="L2273">
        <v>587662</v>
      </c>
      <c r="M2273" s="26">
        <v>21743494</v>
      </c>
      <c r="N2273">
        <v>17302</v>
      </c>
      <c r="O2273" s="26">
        <v>2615376.39</v>
      </c>
      <c r="P2273" s="5" t="s">
        <v>42</v>
      </c>
      <c r="Q2273" s="5" t="s">
        <v>75</v>
      </c>
      <c r="R2273">
        <v>4.8</v>
      </c>
      <c r="S2273">
        <v>11</v>
      </c>
      <c r="T2273">
        <f t="shared" si="35"/>
        <v>1</v>
      </c>
    </row>
    <row r="2274" spans="1:20">
      <c r="A2274" s="4">
        <v>45567</v>
      </c>
      <c r="B2274">
        <v>2024</v>
      </c>
      <c r="C2274">
        <v>10</v>
      </c>
      <c r="D2274" s="5" t="s">
        <v>35</v>
      </c>
      <c r="E2274" s="5" t="s">
        <v>36</v>
      </c>
      <c r="F2274" s="5" t="s">
        <v>37</v>
      </c>
      <c r="G2274" s="5" t="s">
        <v>38</v>
      </c>
      <c r="H2274" s="5" t="s">
        <v>73</v>
      </c>
      <c r="I2274" s="5" t="s">
        <v>40</v>
      </c>
      <c r="J2274" s="5" t="s">
        <v>49</v>
      </c>
      <c r="K2274">
        <v>21</v>
      </c>
      <c r="L2274">
        <v>693530</v>
      </c>
      <c r="M2274" s="26">
        <v>14564130</v>
      </c>
      <c r="N2274">
        <v>34072</v>
      </c>
      <c r="O2274" s="26">
        <v>1813033.26</v>
      </c>
      <c r="P2274" s="5" t="s">
        <v>50</v>
      </c>
      <c r="Q2274" s="5" t="s">
        <v>43</v>
      </c>
      <c r="R2274">
        <v>4.5999999999999996</v>
      </c>
      <c r="S2274">
        <v>21</v>
      </c>
      <c r="T2274">
        <f t="shared" si="35"/>
        <v>0</v>
      </c>
    </row>
    <row r="2275" spans="1:20">
      <c r="A2275" s="4">
        <v>45578</v>
      </c>
      <c r="B2275">
        <v>2024</v>
      </c>
      <c r="C2275">
        <v>10</v>
      </c>
      <c r="D2275" s="5" t="s">
        <v>35</v>
      </c>
      <c r="E2275" s="5" t="s">
        <v>36</v>
      </c>
      <c r="F2275" s="5" t="s">
        <v>37</v>
      </c>
      <c r="G2275" s="5" t="s">
        <v>38</v>
      </c>
      <c r="H2275" s="5" t="s">
        <v>39</v>
      </c>
      <c r="I2275" s="5" t="s">
        <v>40</v>
      </c>
      <c r="J2275" s="5" t="s">
        <v>41</v>
      </c>
      <c r="K2275">
        <v>34</v>
      </c>
      <c r="L2275">
        <v>601488</v>
      </c>
      <c r="M2275" s="26">
        <v>20450592</v>
      </c>
      <c r="N2275">
        <v>9771</v>
      </c>
      <c r="O2275" s="26">
        <v>2051970.93</v>
      </c>
      <c r="P2275" s="5" t="s">
        <v>42</v>
      </c>
      <c r="Q2275" s="5" t="s">
        <v>75</v>
      </c>
      <c r="R2275">
        <v>4.0999999999999996</v>
      </c>
      <c r="S2275">
        <v>21</v>
      </c>
      <c r="T2275">
        <f t="shared" si="35"/>
        <v>1</v>
      </c>
    </row>
    <row r="2276" spans="1:20">
      <c r="A2276" s="4">
        <v>45588</v>
      </c>
      <c r="B2276">
        <v>2024</v>
      </c>
      <c r="C2276">
        <v>10</v>
      </c>
      <c r="D2276" s="5" t="s">
        <v>35</v>
      </c>
      <c r="E2276" s="5" t="s">
        <v>36</v>
      </c>
      <c r="F2276" s="5" t="s">
        <v>37</v>
      </c>
      <c r="G2276" s="5" t="s">
        <v>38</v>
      </c>
      <c r="H2276" s="5" t="s">
        <v>79</v>
      </c>
      <c r="I2276" s="5" t="s">
        <v>58</v>
      </c>
      <c r="J2276" s="5" t="s">
        <v>49</v>
      </c>
      <c r="K2276">
        <v>45</v>
      </c>
      <c r="L2276">
        <v>906787</v>
      </c>
      <c r="M2276" s="26">
        <v>40805415</v>
      </c>
      <c r="N2276">
        <v>7818</v>
      </c>
      <c r="O2276" s="26">
        <v>6015574.1600000001</v>
      </c>
      <c r="P2276" s="5" t="s">
        <v>42</v>
      </c>
      <c r="Q2276" s="5" t="s">
        <v>51</v>
      </c>
      <c r="R2276">
        <v>3.7</v>
      </c>
      <c r="S2276">
        <v>17</v>
      </c>
      <c r="T2276">
        <f t="shared" si="35"/>
        <v>1</v>
      </c>
    </row>
    <row r="2277" spans="1:20">
      <c r="A2277" s="4">
        <v>45585</v>
      </c>
      <c r="B2277">
        <v>2024</v>
      </c>
      <c r="C2277">
        <v>10</v>
      </c>
      <c r="D2277" s="5" t="s">
        <v>35</v>
      </c>
      <c r="E2277" s="5" t="s">
        <v>36</v>
      </c>
      <c r="F2277" s="5" t="s">
        <v>37</v>
      </c>
      <c r="G2277" s="5" t="s">
        <v>38</v>
      </c>
      <c r="H2277" s="5" t="s">
        <v>63</v>
      </c>
      <c r="I2277" s="5" t="s">
        <v>64</v>
      </c>
      <c r="J2277" s="5" t="s">
        <v>41</v>
      </c>
      <c r="K2277">
        <v>38</v>
      </c>
      <c r="L2277">
        <v>755967</v>
      </c>
      <c r="M2277" s="26">
        <v>28726746</v>
      </c>
      <c r="N2277">
        <v>35415</v>
      </c>
      <c r="O2277" s="26">
        <v>2540896.88</v>
      </c>
      <c r="P2277" s="5" t="s">
        <v>50</v>
      </c>
      <c r="Q2277" s="5" t="s">
        <v>43</v>
      </c>
      <c r="R2277">
        <v>3.7</v>
      </c>
      <c r="S2277">
        <v>10</v>
      </c>
      <c r="T2277">
        <f t="shared" si="35"/>
        <v>0</v>
      </c>
    </row>
    <row r="2278" spans="1:20">
      <c r="A2278" s="4">
        <v>45589</v>
      </c>
      <c r="B2278">
        <v>2024</v>
      </c>
      <c r="C2278">
        <v>10</v>
      </c>
      <c r="D2278" s="5" t="s">
        <v>54</v>
      </c>
      <c r="E2278" s="5" t="s">
        <v>55</v>
      </c>
      <c r="F2278" s="5" t="s">
        <v>55</v>
      </c>
      <c r="G2278" s="5" t="s">
        <v>56</v>
      </c>
      <c r="H2278" s="5" t="s">
        <v>48</v>
      </c>
      <c r="I2278" s="5" t="s">
        <v>40</v>
      </c>
      <c r="J2278" s="5" t="s">
        <v>49</v>
      </c>
      <c r="K2278">
        <v>42</v>
      </c>
      <c r="L2278">
        <v>465790</v>
      </c>
      <c r="M2278" s="26">
        <v>19563180</v>
      </c>
      <c r="N2278">
        <v>25401</v>
      </c>
      <c r="O2278" s="26">
        <v>1797224.29</v>
      </c>
      <c r="P2278" s="5" t="s">
        <v>50</v>
      </c>
      <c r="Q2278" s="5" t="s">
        <v>75</v>
      </c>
      <c r="R2278">
        <v>4</v>
      </c>
      <c r="S2278">
        <v>4</v>
      </c>
      <c r="T2278">
        <f t="shared" si="35"/>
        <v>0</v>
      </c>
    </row>
    <row r="2279" spans="1:20">
      <c r="A2279" s="4">
        <v>45576</v>
      </c>
      <c r="B2279">
        <v>2024</v>
      </c>
      <c r="C2279">
        <v>10</v>
      </c>
      <c r="D2279" s="5" t="s">
        <v>35</v>
      </c>
      <c r="E2279" s="5" t="s">
        <v>36</v>
      </c>
      <c r="F2279" s="5" t="s">
        <v>37</v>
      </c>
      <c r="G2279" s="5" t="s">
        <v>38</v>
      </c>
      <c r="H2279" s="5" t="s">
        <v>85</v>
      </c>
      <c r="I2279" s="5" t="s">
        <v>58</v>
      </c>
      <c r="J2279" s="5" t="s">
        <v>49</v>
      </c>
      <c r="K2279">
        <v>19</v>
      </c>
      <c r="L2279">
        <v>954579</v>
      </c>
      <c r="M2279" s="26">
        <v>18137001</v>
      </c>
      <c r="N2279">
        <v>15361</v>
      </c>
      <c r="O2279" s="26">
        <v>2605224.7400000002</v>
      </c>
      <c r="P2279" s="5" t="s">
        <v>42</v>
      </c>
      <c r="Q2279" s="5" t="s">
        <v>43</v>
      </c>
      <c r="R2279">
        <v>4.7</v>
      </c>
      <c r="S2279">
        <v>10</v>
      </c>
      <c r="T2279">
        <f t="shared" si="35"/>
        <v>1</v>
      </c>
    </row>
    <row r="2280" spans="1:20">
      <c r="A2280" s="4">
        <v>45571</v>
      </c>
      <c r="B2280">
        <v>2024</v>
      </c>
      <c r="C2280">
        <v>10</v>
      </c>
      <c r="D2280" s="5" t="s">
        <v>35</v>
      </c>
      <c r="E2280" s="5" t="s">
        <v>76</v>
      </c>
      <c r="F2280" s="5" t="s">
        <v>77</v>
      </c>
      <c r="G2280" s="5" t="s">
        <v>78</v>
      </c>
      <c r="H2280" s="5" t="s">
        <v>73</v>
      </c>
      <c r="I2280" s="5" t="s">
        <v>40</v>
      </c>
      <c r="J2280" s="5" t="s">
        <v>49</v>
      </c>
      <c r="K2280">
        <v>19</v>
      </c>
      <c r="L2280">
        <v>710196</v>
      </c>
      <c r="M2280" s="26">
        <v>13493724</v>
      </c>
      <c r="N2280">
        <v>44959</v>
      </c>
      <c r="O2280" s="26">
        <v>1102213.76</v>
      </c>
      <c r="P2280" s="5" t="s">
        <v>50</v>
      </c>
      <c r="Q2280" s="5" t="s">
        <v>51</v>
      </c>
      <c r="R2280">
        <v>3.6</v>
      </c>
      <c r="S2280">
        <v>13</v>
      </c>
      <c r="T2280">
        <f t="shared" si="35"/>
        <v>0</v>
      </c>
    </row>
    <row r="2281" spans="1:20">
      <c r="A2281" s="4">
        <v>45581</v>
      </c>
      <c r="B2281">
        <v>2024</v>
      </c>
      <c r="C2281">
        <v>10</v>
      </c>
      <c r="D2281" s="5" t="s">
        <v>35</v>
      </c>
      <c r="E2281" s="5" t="s">
        <v>36</v>
      </c>
      <c r="F2281" s="5" t="s">
        <v>37</v>
      </c>
      <c r="G2281" s="5" t="s">
        <v>38</v>
      </c>
      <c r="H2281" s="5" t="s">
        <v>79</v>
      </c>
      <c r="I2281" s="5" t="s">
        <v>58</v>
      </c>
      <c r="J2281" s="5" t="s">
        <v>49</v>
      </c>
      <c r="K2281">
        <v>49</v>
      </c>
      <c r="L2281">
        <v>904197</v>
      </c>
      <c r="M2281" s="26">
        <v>44305653</v>
      </c>
      <c r="N2281">
        <v>36808</v>
      </c>
      <c r="O2281" s="26">
        <v>6949941.3799999999</v>
      </c>
      <c r="P2281" s="5" t="s">
        <v>50</v>
      </c>
      <c r="Q2281" s="5" t="s">
        <v>43</v>
      </c>
      <c r="R2281">
        <v>3.6</v>
      </c>
      <c r="S2281">
        <v>15</v>
      </c>
      <c r="T2281">
        <f t="shared" si="35"/>
        <v>0</v>
      </c>
    </row>
    <row r="2282" spans="1:20">
      <c r="A2282" s="4">
        <v>45591</v>
      </c>
      <c r="B2282">
        <v>2024</v>
      </c>
      <c r="C2282">
        <v>10</v>
      </c>
      <c r="D2282" s="5" t="s">
        <v>35</v>
      </c>
      <c r="E2282" s="5" t="s">
        <v>60</v>
      </c>
      <c r="F2282" s="5" t="s">
        <v>61</v>
      </c>
      <c r="G2282" s="5" t="s">
        <v>62</v>
      </c>
      <c r="H2282" s="5" t="s">
        <v>39</v>
      </c>
      <c r="I2282" s="5" t="s">
        <v>40</v>
      </c>
      <c r="J2282" s="5" t="s">
        <v>41</v>
      </c>
      <c r="K2282">
        <v>42</v>
      </c>
      <c r="L2282">
        <v>558879</v>
      </c>
      <c r="M2282" s="26">
        <v>23472918</v>
      </c>
      <c r="N2282">
        <v>27795</v>
      </c>
      <c r="O2282" s="26">
        <v>3374500.75</v>
      </c>
      <c r="P2282" s="5" t="s">
        <v>42</v>
      </c>
      <c r="Q2282" s="5" t="s">
        <v>43</v>
      </c>
      <c r="R2282">
        <v>3.9</v>
      </c>
      <c r="S2282">
        <v>9</v>
      </c>
      <c r="T2282">
        <f t="shared" si="35"/>
        <v>1</v>
      </c>
    </row>
    <row r="2283" spans="1:20">
      <c r="A2283" s="4">
        <v>45586</v>
      </c>
      <c r="B2283">
        <v>2024</v>
      </c>
      <c r="C2283">
        <v>10</v>
      </c>
      <c r="D2283" s="5" t="s">
        <v>35</v>
      </c>
      <c r="E2283" s="5" t="s">
        <v>60</v>
      </c>
      <c r="F2283" s="5" t="s">
        <v>61</v>
      </c>
      <c r="G2283" s="5" t="s">
        <v>62</v>
      </c>
      <c r="H2283" s="5" t="s">
        <v>73</v>
      </c>
      <c r="I2283" s="5" t="s">
        <v>40</v>
      </c>
      <c r="J2283" s="5" t="s">
        <v>49</v>
      </c>
      <c r="K2283">
        <v>39</v>
      </c>
      <c r="L2283">
        <v>733370</v>
      </c>
      <c r="M2283" s="26">
        <v>28601430</v>
      </c>
      <c r="N2283">
        <v>16903</v>
      </c>
      <c r="O2283" s="26">
        <v>2305872.64</v>
      </c>
      <c r="P2283" s="5" t="s">
        <v>42</v>
      </c>
      <c r="Q2283" s="5" t="s">
        <v>75</v>
      </c>
      <c r="R2283">
        <v>3.9</v>
      </c>
      <c r="S2283">
        <v>7</v>
      </c>
      <c r="T2283">
        <f t="shared" si="35"/>
        <v>1</v>
      </c>
    </row>
    <row r="2284" spans="1:20">
      <c r="A2284" s="4">
        <v>45591</v>
      </c>
      <c r="B2284">
        <v>2024</v>
      </c>
      <c r="C2284">
        <v>10</v>
      </c>
      <c r="D2284" s="5" t="s">
        <v>54</v>
      </c>
      <c r="E2284" s="5" t="s">
        <v>70</v>
      </c>
      <c r="F2284" s="5" t="s">
        <v>71</v>
      </c>
      <c r="G2284" s="5" t="s">
        <v>72</v>
      </c>
      <c r="H2284" s="5" t="s">
        <v>57</v>
      </c>
      <c r="I2284" s="5" t="s">
        <v>58</v>
      </c>
      <c r="J2284" s="5" t="s">
        <v>59</v>
      </c>
      <c r="K2284">
        <v>7</v>
      </c>
      <c r="L2284">
        <v>1415443</v>
      </c>
      <c r="M2284" s="26">
        <v>9908101</v>
      </c>
      <c r="N2284">
        <v>40195</v>
      </c>
      <c r="O2284" s="26">
        <v>1562282.21</v>
      </c>
      <c r="P2284" s="5" t="s">
        <v>42</v>
      </c>
      <c r="Q2284" s="5" t="s">
        <v>75</v>
      </c>
      <c r="R2284">
        <v>4</v>
      </c>
      <c r="S2284">
        <v>8</v>
      </c>
      <c r="T2284">
        <f t="shared" si="35"/>
        <v>1</v>
      </c>
    </row>
    <row r="2285" spans="1:20">
      <c r="A2285" s="4">
        <v>45586</v>
      </c>
      <c r="B2285">
        <v>2024</v>
      </c>
      <c r="C2285">
        <v>10</v>
      </c>
      <c r="D2285" s="5" t="s">
        <v>66</v>
      </c>
      <c r="E2285" s="5" t="s">
        <v>67</v>
      </c>
      <c r="F2285" s="5" t="s">
        <v>68</v>
      </c>
      <c r="G2285" s="5" t="s">
        <v>69</v>
      </c>
      <c r="H2285" s="5" t="s">
        <v>85</v>
      </c>
      <c r="I2285" s="5" t="s">
        <v>58</v>
      </c>
      <c r="J2285" s="5" t="s">
        <v>49</v>
      </c>
      <c r="K2285">
        <v>46</v>
      </c>
      <c r="L2285">
        <v>979454</v>
      </c>
      <c r="M2285" s="26">
        <v>45054884</v>
      </c>
      <c r="N2285">
        <v>8219</v>
      </c>
      <c r="O2285" s="26">
        <v>5724547.2599999998</v>
      </c>
      <c r="P2285" s="5" t="s">
        <v>50</v>
      </c>
      <c r="Q2285" s="5" t="s">
        <v>51</v>
      </c>
      <c r="R2285">
        <v>4.5</v>
      </c>
      <c r="S2285">
        <v>21</v>
      </c>
      <c r="T2285">
        <f t="shared" si="35"/>
        <v>0</v>
      </c>
    </row>
    <row r="2286" spans="1:20">
      <c r="A2286" s="4">
        <v>45576</v>
      </c>
      <c r="B2286">
        <v>2024</v>
      </c>
      <c r="C2286">
        <v>10</v>
      </c>
      <c r="D2286" s="5" t="s">
        <v>66</v>
      </c>
      <c r="E2286" s="5" t="s">
        <v>67</v>
      </c>
      <c r="F2286" s="5" t="s">
        <v>68</v>
      </c>
      <c r="G2286" s="5" t="s">
        <v>69</v>
      </c>
      <c r="H2286" s="5" t="s">
        <v>86</v>
      </c>
      <c r="I2286" s="5" t="s">
        <v>40</v>
      </c>
      <c r="J2286" s="5" t="s">
        <v>41</v>
      </c>
      <c r="K2286">
        <v>32</v>
      </c>
      <c r="L2286">
        <v>617649</v>
      </c>
      <c r="M2286" s="26">
        <v>19764768</v>
      </c>
      <c r="N2286">
        <v>41121</v>
      </c>
      <c r="O2286" s="26">
        <v>2318540.2000000002</v>
      </c>
      <c r="P2286" s="5" t="s">
        <v>50</v>
      </c>
      <c r="Q2286" s="5" t="s">
        <v>75</v>
      </c>
      <c r="R2286">
        <v>4.8</v>
      </c>
      <c r="S2286">
        <v>12</v>
      </c>
      <c r="T2286">
        <f t="shared" si="35"/>
        <v>0</v>
      </c>
    </row>
    <row r="2287" spans="1:20">
      <c r="A2287" s="4">
        <v>45586</v>
      </c>
      <c r="B2287">
        <v>2024</v>
      </c>
      <c r="C2287">
        <v>10</v>
      </c>
      <c r="D2287" s="5" t="s">
        <v>54</v>
      </c>
      <c r="E2287" s="5" t="s">
        <v>70</v>
      </c>
      <c r="F2287" s="5" t="s">
        <v>71</v>
      </c>
      <c r="G2287" s="5" t="s">
        <v>72</v>
      </c>
      <c r="H2287" s="5" t="s">
        <v>86</v>
      </c>
      <c r="I2287" s="5" t="s">
        <v>40</v>
      </c>
      <c r="J2287" s="5" t="s">
        <v>41</v>
      </c>
      <c r="K2287">
        <v>60</v>
      </c>
      <c r="L2287">
        <v>605309</v>
      </c>
      <c r="M2287" s="26">
        <v>36318540</v>
      </c>
      <c r="N2287">
        <v>27687</v>
      </c>
      <c r="O2287" s="26">
        <v>3686294.87</v>
      </c>
      <c r="P2287" s="5" t="s">
        <v>50</v>
      </c>
      <c r="Q2287" s="5" t="s">
        <v>51</v>
      </c>
      <c r="R2287">
        <v>4.3</v>
      </c>
      <c r="S2287">
        <v>7</v>
      </c>
      <c r="T2287">
        <f t="shared" si="35"/>
        <v>0</v>
      </c>
    </row>
    <row r="2288" spans="1:20">
      <c r="A2288" s="4">
        <v>45587</v>
      </c>
      <c r="B2288">
        <v>2024</v>
      </c>
      <c r="C2288">
        <v>10</v>
      </c>
      <c r="D2288" s="5" t="s">
        <v>66</v>
      </c>
      <c r="E2288" s="5" t="s">
        <v>67</v>
      </c>
      <c r="F2288" s="5" t="s">
        <v>68</v>
      </c>
      <c r="G2288" s="5" t="s">
        <v>69</v>
      </c>
      <c r="H2288" s="5" t="s">
        <v>73</v>
      </c>
      <c r="I2288" s="5" t="s">
        <v>40</v>
      </c>
      <c r="J2288" s="5" t="s">
        <v>49</v>
      </c>
      <c r="K2288">
        <v>40</v>
      </c>
      <c r="L2288">
        <v>713086</v>
      </c>
      <c r="M2288" s="26">
        <v>28523440</v>
      </c>
      <c r="N2288">
        <v>26685</v>
      </c>
      <c r="O2288" s="26">
        <v>3264221.05</v>
      </c>
      <c r="P2288" s="5" t="s">
        <v>42</v>
      </c>
      <c r="Q2288" s="5" t="s">
        <v>43</v>
      </c>
      <c r="R2288">
        <v>3.6</v>
      </c>
      <c r="S2288">
        <v>16</v>
      </c>
      <c r="T2288">
        <f t="shared" si="35"/>
        <v>1</v>
      </c>
    </row>
    <row r="2289" spans="1:20">
      <c r="A2289" s="4">
        <v>45578</v>
      </c>
      <c r="B2289">
        <v>2024</v>
      </c>
      <c r="C2289">
        <v>10</v>
      </c>
      <c r="D2289" s="5" t="s">
        <v>44</v>
      </c>
      <c r="E2289" s="5" t="s">
        <v>82</v>
      </c>
      <c r="F2289" s="5" t="s">
        <v>83</v>
      </c>
      <c r="G2289" s="5" t="s">
        <v>84</v>
      </c>
      <c r="H2289" s="5" t="s">
        <v>86</v>
      </c>
      <c r="I2289" s="5" t="s">
        <v>40</v>
      </c>
      <c r="J2289" s="5" t="s">
        <v>41</v>
      </c>
      <c r="K2289">
        <v>48</v>
      </c>
      <c r="L2289">
        <v>578495</v>
      </c>
      <c r="M2289" s="26">
        <v>27767760</v>
      </c>
      <c r="N2289">
        <v>43398</v>
      </c>
      <c r="O2289" s="26">
        <v>2541711.5499999998</v>
      </c>
      <c r="P2289" s="5" t="s">
        <v>42</v>
      </c>
      <c r="Q2289" s="5" t="s">
        <v>75</v>
      </c>
      <c r="R2289">
        <v>4.7</v>
      </c>
      <c r="S2289">
        <v>7</v>
      </c>
      <c r="T2289">
        <f t="shared" si="35"/>
        <v>1</v>
      </c>
    </row>
    <row r="2290" spans="1:20">
      <c r="A2290" s="4">
        <v>45576</v>
      </c>
      <c r="B2290">
        <v>2024</v>
      </c>
      <c r="C2290">
        <v>10</v>
      </c>
      <c r="D2290" s="5" t="s">
        <v>54</v>
      </c>
      <c r="E2290" s="5" t="s">
        <v>55</v>
      </c>
      <c r="F2290" s="5" t="s">
        <v>55</v>
      </c>
      <c r="G2290" s="5" t="s">
        <v>56</v>
      </c>
      <c r="H2290" s="5" t="s">
        <v>39</v>
      </c>
      <c r="I2290" s="5" t="s">
        <v>40</v>
      </c>
      <c r="J2290" s="5" t="s">
        <v>41</v>
      </c>
      <c r="K2290">
        <v>19</v>
      </c>
      <c r="L2290">
        <v>559309</v>
      </c>
      <c r="M2290" s="26">
        <v>10626871</v>
      </c>
      <c r="N2290">
        <v>39473</v>
      </c>
      <c r="O2290" s="26">
        <v>1605400.33</v>
      </c>
      <c r="P2290" s="5" t="s">
        <v>42</v>
      </c>
      <c r="Q2290" s="5" t="s">
        <v>51</v>
      </c>
      <c r="R2290">
        <v>4.3</v>
      </c>
      <c r="S2290">
        <v>6</v>
      </c>
      <c r="T2290">
        <f t="shared" si="35"/>
        <v>1</v>
      </c>
    </row>
    <row r="2291" spans="1:20">
      <c r="A2291" s="4">
        <v>45578</v>
      </c>
      <c r="B2291">
        <v>2024</v>
      </c>
      <c r="C2291">
        <v>10</v>
      </c>
      <c r="D2291" s="5" t="s">
        <v>35</v>
      </c>
      <c r="E2291" s="5" t="s">
        <v>76</v>
      </c>
      <c r="F2291" s="5" t="s">
        <v>77</v>
      </c>
      <c r="G2291" s="5" t="s">
        <v>78</v>
      </c>
      <c r="H2291" s="5" t="s">
        <v>80</v>
      </c>
      <c r="I2291" s="5" t="s">
        <v>81</v>
      </c>
      <c r="J2291" s="5" t="s">
        <v>41</v>
      </c>
      <c r="K2291">
        <v>9</v>
      </c>
      <c r="L2291">
        <v>531355</v>
      </c>
      <c r="M2291" s="26">
        <v>4782195</v>
      </c>
      <c r="N2291">
        <v>11473</v>
      </c>
      <c r="O2291" s="26">
        <v>674284.74</v>
      </c>
      <c r="P2291" s="5" t="s">
        <v>50</v>
      </c>
      <c r="Q2291" s="5" t="s">
        <v>51</v>
      </c>
      <c r="R2291">
        <v>4.5999999999999996</v>
      </c>
      <c r="S2291">
        <v>17</v>
      </c>
      <c r="T2291">
        <f t="shared" si="35"/>
        <v>0</v>
      </c>
    </row>
    <row r="2292" spans="1:20">
      <c r="A2292" s="4">
        <v>45572</v>
      </c>
      <c r="B2292">
        <v>2024</v>
      </c>
      <c r="C2292">
        <v>10</v>
      </c>
      <c r="D2292" s="5" t="s">
        <v>35</v>
      </c>
      <c r="E2292" s="5" t="s">
        <v>76</v>
      </c>
      <c r="F2292" s="5" t="s">
        <v>77</v>
      </c>
      <c r="G2292" s="5" t="s">
        <v>78</v>
      </c>
      <c r="H2292" s="5" t="s">
        <v>48</v>
      </c>
      <c r="I2292" s="5" t="s">
        <v>40</v>
      </c>
      <c r="J2292" s="5" t="s">
        <v>49</v>
      </c>
      <c r="K2292">
        <v>36</v>
      </c>
      <c r="L2292">
        <v>420870</v>
      </c>
      <c r="M2292" s="26">
        <v>15151320</v>
      </c>
      <c r="N2292">
        <v>22113</v>
      </c>
      <c r="O2292" s="26">
        <v>1345181.63</v>
      </c>
      <c r="P2292" s="5" t="s">
        <v>42</v>
      </c>
      <c r="Q2292" s="5" t="s">
        <v>51</v>
      </c>
      <c r="R2292">
        <v>4</v>
      </c>
      <c r="S2292">
        <v>21</v>
      </c>
      <c r="T2292">
        <f t="shared" si="35"/>
        <v>1</v>
      </c>
    </row>
    <row r="2293" spans="1:20">
      <c r="A2293" s="4">
        <v>45575</v>
      </c>
      <c r="B2293">
        <v>2024</v>
      </c>
      <c r="C2293">
        <v>10</v>
      </c>
      <c r="D2293" s="5" t="s">
        <v>54</v>
      </c>
      <c r="E2293" s="5" t="s">
        <v>55</v>
      </c>
      <c r="F2293" s="5" t="s">
        <v>55</v>
      </c>
      <c r="G2293" s="5" t="s">
        <v>56</v>
      </c>
      <c r="H2293" s="5" t="s">
        <v>57</v>
      </c>
      <c r="I2293" s="5" t="s">
        <v>58</v>
      </c>
      <c r="J2293" s="5" t="s">
        <v>59</v>
      </c>
      <c r="K2293">
        <v>45</v>
      </c>
      <c r="L2293">
        <v>1401309</v>
      </c>
      <c r="M2293" s="26">
        <v>63058905</v>
      </c>
      <c r="N2293">
        <v>27850</v>
      </c>
      <c r="O2293" s="26">
        <v>5692090.2000000002</v>
      </c>
      <c r="P2293" s="5" t="s">
        <v>42</v>
      </c>
      <c r="Q2293" s="5" t="s">
        <v>75</v>
      </c>
      <c r="R2293">
        <v>4.3</v>
      </c>
      <c r="S2293">
        <v>7</v>
      </c>
      <c r="T2293">
        <f t="shared" si="35"/>
        <v>1</v>
      </c>
    </row>
    <row r="2294" spans="1:20">
      <c r="A2294" s="4">
        <v>45592</v>
      </c>
      <c r="B2294">
        <v>2024</v>
      </c>
      <c r="C2294">
        <v>10</v>
      </c>
      <c r="D2294" s="5" t="s">
        <v>66</v>
      </c>
      <c r="E2294" s="5" t="s">
        <v>67</v>
      </c>
      <c r="F2294" s="5" t="s">
        <v>68</v>
      </c>
      <c r="G2294" s="5" t="s">
        <v>69</v>
      </c>
      <c r="H2294" s="5" t="s">
        <v>74</v>
      </c>
      <c r="I2294" s="5" t="s">
        <v>40</v>
      </c>
      <c r="J2294" s="5" t="s">
        <v>49</v>
      </c>
      <c r="K2294">
        <v>34</v>
      </c>
      <c r="L2294">
        <v>641632</v>
      </c>
      <c r="M2294" s="26">
        <v>21815488</v>
      </c>
      <c r="N2294">
        <v>24674</v>
      </c>
      <c r="O2294" s="26">
        <v>3000685.83</v>
      </c>
      <c r="P2294" s="5" t="s">
        <v>50</v>
      </c>
      <c r="Q2294" s="5" t="s">
        <v>43</v>
      </c>
      <c r="R2294">
        <v>4.4000000000000004</v>
      </c>
      <c r="S2294">
        <v>21</v>
      </c>
      <c r="T2294">
        <f t="shared" si="35"/>
        <v>0</v>
      </c>
    </row>
    <row r="2295" spans="1:20">
      <c r="A2295" s="4">
        <v>45589</v>
      </c>
      <c r="B2295">
        <v>2024</v>
      </c>
      <c r="C2295">
        <v>10</v>
      </c>
      <c r="D2295" s="5" t="s">
        <v>35</v>
      </c>
      <c r="E2295" s="5" t="s">
        <v>76</v>
      </c>
      <c r="F2295" s="5" t="s">
        <v>77</v>
      </c>
      <c r="G2295" s="5" t="s">
        <v>78</v>
      </c>
      <c r="H2295" s="5" t="s">
        <v>63</v>
      </c>
      <c r="I2295" s="5" t="s">
        <v>64</v>
      </c>
      <c r="J2295" s="5" t="s">
        <v>41</v>
      </c>
      <c r="K2295">
        <v>10</v>
      </c>
      <c r="L2295">
        <v>738505</v>
      </c>
      <c r="M2295" s="26">
        <v>7385050</v>
      </c>
      <c r="N2295">
        <v>49800</v>
      </c>
      <c r="O2295" s="26">
        <v>1164942.95</v>
      </c>
      <c r="P2295" s="5" t="s">
        <v>50</v>
      </c>
      <c r="Q2295" s="5" t="s">
        <v>51</v>
      </c>
      <c r="R2295">
        <v>3.6</v>
      </c>
      <c r="S2295">
        <v>19</v>
      </c>
      <c r="T2295">
        <f t="shared" si="35"/>
        <v>0</v>
      </c>
    </row>
    <row r="2296" spans="1:20">
      <c r="A2296" s="4">
        <v>45583</v>
      </c>
      <c r="B2296">
        <v>2024</v>
      </c>
      <c r="C2296">
        <v>10</v>
      </c>
      <c r="D2296" s="5" t="s">
        <v>35</v>
      </c>
      <c r="E2296" s="5" t="s">
        <v>76</v>
      </c>
      <c r="F2296" s="5" t="s">
        <v>77</v>
      </c>
      <c r="G2296" s="5" t="s">
        <v>78</v>
      </c>
      <c r="H2296" s="5" t="s">
        <v>86</v>
      </c>
      <c r="I2296" s="5" t="s">
        <v>40</v>
      </c>
      <c r="J2296" s="5" t="s">
        <v>41</v>
      </c>
      <c r="K2296">
        <v>57</v>
      </c>
      <c r="L2296">
        <v>628627</v>
      </c>
      <c r="M2296" s="26">
        <v>35831739</v>
      </c>
      <c r="N2296">
        <v>31965</v>
      </c>
      <c r="O2296" s="26">
        <v>4826785.22</v>
      </c>
      <c r="P2296" s="5" t="s">
        <v>42</v>
      </c>
      <c r="Q2296" s="5" t="s">
        <v>75</v>
      </c>
      <c r="R2296">
        <v>4.2</v>
      </c>
      <c r="S2296">
        <v>8</v>
      </c>
      <c r="T2296">
        <f t="shared" si="35"/>
        <v>1</v>
      </c>
    </row>
    <row r="2297" spans="1:20">
      <c r="A2297" s="4">
        <v>45570</v>
      </c>
      <c r="B2297">
        <v>2024</v>
      </c>
      <c r="C2297">
        <v>10</v>
      </c>
      <c r="D2297" s="5" t="s">
        <v>35</v>
      </c>
      <c r="E2297" s="5" t="s">
        <v>60</v>
      </c>
      <c r="F2297" s="5" t="s">
        <v>61</v>
      </c>
      <c r="G2297" s="5" t="s">
        <v>62</v>
      </c>
      <c r="H2297" s="5" t="s">
        <v>57</v>
      </c>
      <c r="I2297" s="5" t="s">
        <v>58</v>
      </c>
      <c r="J2297" s="5" t="s">
        <v>59</v>
      </c>
      <c r="K2297">
        <v>16</v>
      </c>
      <c r="L2297">
        <v>1389623</v>
      </c>
      <c r="M2297" s="26">
        <v>22233968</v>
      </c>
      <c r="N2297">
        <v>29293</v>
      </c>
      <c r="O2297" s="26">
        <v>2323381.39</v>
      </c>
      <c r="P2297" s="5" t="s">
        <v>42</v>
      </c>
      <c r="Q2297" s="5" t="s">
        <v>75</v>
      </c>
      <c r="R2297">
        <v>4.2</v>
      </c>
      <c r="S2297">
        <v>18</v>
      </c>
      <c r="T2297">
        <f t="shared" si="35"/>
        <v>1</v>
      </c>
    </row>
    <row r="2298" spans="1:20">
      <c r="A2298" s="4">
        <v>45586</v>
      </c>
      <c r="B2298">
        <v>2024</v>
      </c>
      <c r="C2298">
        <v>10</v>
      </c>
      <c r="D2298" s="5" t="s">
        <v>66</v>
      </c>
      <c r="E2298" s="5" t="s">
        <v>67</v>
      </c>
      <c r="F2298" s="5" t="s">
        <v>68</v>
      </c>
      <c r="G2298" s="5" t="s">
        <v>69</v>
      </c>
      <c r="H2298" s="5" t="s">
        <v>48</v>
      </c>
      <c r="I2298" s="5" t="s">
        <v>40</v>
      </c>
      <c r="J2298" s="5" t="s">
        <v>49</v>
      </c>
      <c r="K2298">
        <v>7</v>
      </c>
      <c r="L2298">
        <v>425754</v>
      </c>
      <c r="M2298" s="26">
        <v>2980278</v>
      </c>
      <c r="N2298">
        <v>42679</v>
      </c>
      <c r="O2298" s="26">
        <v>319979.03999999998</v>
      </c>
      <c r="P2298" s="5" t="s">
        <v>50</v>
      </c>
      <c r="Q2298" s="5" t="s">
        <v>51</v>
      </c>
      <c r="R2298">
        <v>3.7</v>
      </c>
      <c r="S2298">
        <v>18</v>
      </c>
      <c r="T2298">
        <f t="shared" si="35"/>
        <v>0</v>
      </c>
    </row>
    <row r="2299" spans="1:20">
      <c r="A2299" s="4">
        <v>45580</v>
      </c>
      <c r="B2299">
        <v>2024</v>
      </c>
      <c r="C2299">
        <v>10</v>
      </c>
      <c r="D2299" s="5" t="s">
        <v>44</v>
      </c>
      <c r="E2299" s="5" t="s">
        <v>82</v>
      </c>
      <c r="F2299" s="5" t="s">
        <v>83</v>
      </c>
      <c r="G2299" s="5" t="s">
        <v>84</v>
      </c>
      <c r="H2299" s="5" t="s">
        <v>52</v>
      </c>
      <c r="I2299" s="5" t="s">
        <v>53</v>
      </c>
      <c r="J2299" s="5" t="s">
        <v>41</v>
      </c>
      <c r="K2299">
        <v>40</v>
      </c>
      <c r="L2299">
        <v>933050</v>
      </c>
      <c r="M2299" s="26">
        <v>37322000</v>
      </c>
      <c r="N2299">
        <v>28503</v>
      </c>
      <c r="O2299" s="26">
        <v>3090903.77</v>
      </c>
      <c r="P2299" s="5" t="s">
        <v>42</v>
      </c>
      <c r="Q2299" s="5" t="s">
        <v>51</v>
      </c>
      <c r="R2299">
        <v>4.9000000000000004</v>
      </c>
      <c r="S2299">
        <v>18</v>
      </c>
      <c r="T2299">
        <f t="shared" si="35"/>
        <v>1</v>
      </c>
    </row>
    <row r="2300" spans="1:20">
      <c r="A2300" s="4">
        <v>45593</v>
      </c>
      <c r="B2300">
        <v>2024</v>
      </c>
      <c r="C2300">
        <v>10</v>
      </c>
      <c r="D2300" s="5" t="s">
        <v>35</v>
      </c>
      <c r="E2300" s="5" t="s">
        <v>60</v>
      </c>
      <c r="F2300" s="5" t="s">
        <v>61</v>
      </c>
      <c r="G2300" s="5" t="s">
        <v>62</v>
      </c>
      <c r="H2300" s="5" t="s">
        <v>79</v>
      </c>
      <c r="I2300" s="5" t="s">
        <v>58</v>
      </c>
      <c r="J2300" s="5" t="s">
        <v>49</v>
      </c>
      <c r="K2300">
        <v>7</v>
      </c>
      <c r="L2300">
        <v>880421</v>
      </c>
      <c r="M2300" s="26">
        <v>6162947</v>
      </c>
      <c r="N2300">
        <v>37275</v>
      </c>
      <c r="O2300" s="26">
        <v>772329.16</v>
      </c>
      <c r="P2300" s="5" t="s">
        <v>50</v>
      </c>
      <c r="Q2300" s="5" t="s">
        <v>43</v>
      </c>
      <c r="R2300">
        <v>4.3</v>
      </c>
      <c r="S2300">
        <v>7</v>
      </c>
      <c r="T2300">
        <f t="shared" si="35"/>
        <v>0</v>
      </c>
    </row>
    <row r="2301" spans="1:20">
      <c r="A2301" s="4">
        <v>45582</v>
      </c>
      <c r="B2301">
        <v>2024</v>
      </c>
      <c r="C2301">
        <v>10</v>
      </c>
      <c r="D2301" s="5" t="s">
        <v>35</v>
      </c>
      <c r="E2301" s="5" t="s">
        <v>36</v>
      </c>
      <c r="F2301" s="5" t="s">
        <v>37</v>
      </c>
      <c r="G2301" s="5" t="s">
        <v>38</v>
      </c>
      <c r="H2301" s="5" t="s">
        <v>80</v>
      </c>
      <c r="I2301" s="5" t="s">
        <v>81</v>
      </c>
      <c r="J2301" s="5" t="s">
        <v>41</v>
      </c>
      <c r="K2301">
        <v>20</v>
      </c>
      <c r="L2301">
        <v>550497</v>
      </c>
      <c r="M2301" s="26">
        <v>11009940</v>
      </c>
      <c r="N2301">
        <v>36861</v>
      </c>
      <c r="O2301" s="26">
        <v>1331593.71</v>
      </c>
      <c r="P2301" s="5" t="s">
        <v>42</v>
      </c>
      <c r="Q2301" s="5" t="s">
        <v>75</v>
      </c>
      <c r="R2301">
        <v>4.7</v>
      </c>
      <c r="S2301">
        <v>13</v>
      </c>
      <c r="T2301">
        <f t="shared" si="35"/>
        <v>1</v>
      </c>
    </row>
    <row r="2302" spans="1:20">
      <c r="A2302" s="4">
        <v>45605</v>
      </c>
      <c r="B2302">
        <v>2024</v>
      </c>
      <c r="C2302">
        <v>11</v>
      </c>
      <c r="D2302" s="5" t="s">
        <v>44</v>
      </c>
      <c r="E2302" s="5" t="s">
        <v>82</v>
      </c>
      <c r="F2302" s="5" t="s">
        <v>83</v>
      </c>
      <c r="G2302" s="5" t="s">
        <v>84</v>
      </c>
      <c r="H2302" s="5" t="s">
        <v>74</v>
      </c>
      <c r="I2302" s="5" t="s">
        <v>40</v>
      </c>
      <c r="J2302" s="5" t="s">
        <v>49</v>
      </c>
      <c r="K2302">
        <v>22</v>
      </c>
      <c r="L2302">
        <v>655812</v>
      </c>
      <c r="M2302" s="26">
        <v>14427864</v>
      </c>
      <c r="N2302">
        <v>27118</v>
      </c>
      <c r="O2302" s="26">
        <v>1452677.3</v>
      </c>
      <c r="P2302" s="5" t="s">
        <v>42</v>
      </c>
      <c r="Q2302" s="5" t="s">
        <v>75</v>
      </c>
      <c r="R2302">
        <v>4.4000000000000004</v>
      </c>
      <c r="S2302">
        <v>15</v>
      </c>
      <c r="T2302">
        <f t="shared" si="35"/>
        <v>1</v>
      </c>
    </row>
    <row r="2303" spans="1:20">
      <c r="A2303" s="4">
        <v>45597</v>
      </c>
      <c r="B2303">
        <v>2024</v>
      </c>
      <c r="C2303">
        <v>11</v>
      </c>
      <c r="D2303" s="5" t="s">
        <v>44</v>
      </c>
      <c r="E2303" s="5" t="s">
        <v>45</v>
      </c>
      <c r="F2303" s="5" t="s">
        <v>46</v>
      </c>
      <c r="G2303" s="5" t="s">
        <v>47</v>
      </c>
      <c r="H2303" s="5" t="s">
        <v>85</v>
      </c>
      <c r="I2303" s="5" t="s">
        <v>58</v>
      </c>
      <c r="J2303" s="5" t="s">
        <v>49</v>
      </c>
      <c r="K2303">
        <v>12</v>
      </c>
      <c r="L2303">
        <v>962964</v>
      </c>
      <c r="M2303" s="26">
        <v>11555568</v>
      </c>
      <c r="N2303">
        <v>40076</v>
      </c>
      <c r="O2303" s="26">
        <v>1718597.94</v>
      </c>
      <c r="P2303" s="5" t="s">
        <v>50</v>
      </c>
      <c r="Q2303" s="5" t="s">
        <v>75</v>
      </c>
      <c r="R2303">
        <v>4.5</v>
      </c>
      <c r="S2303">
        <v>18</v>
      </c>
      <c r="T2303">
        <f t="shared" si="35"/>
        <v>0</v>
      </c>
    </row>
    <row r="2304" spans="1:20">
      <c r="A2304" s="4">
        <v>45601</v>
      </c>
      <c r="B2304">
        <v>2024</v>
      </c>
      <c r="C2304">
        <v>11</v>
      </c>
      <c r="D2304" s="5" t="s">
        <v>44</v>
      </c>
      <c r="E2304" s="5" t="s">
        <v>82</v>
      </c>
      <c r="F2304" s="5" t="s">
        <v>83</v>
      </c>
      <c r="G2304" s="5" t="s">
        <v>84</v>
      </c>
      <c r="H2304" s="5" t="s">
        <v>48</v>
      </c>
      <c r="I2304" s="5" t="s">
        <v>40</v>
      </c>
      <c r="J2304" s="5" t="s">
        <v>49</v>
      </c>
      <c r="K2304">
        <v>21</v>
      </c>
      <c r="L2304">
        <v>477512</v>
      </c>
      <c r="M2304" s="26">
        <v>10027752</v>
      </c>
      <c r="N2304">
        <v>25557</v>
      </c>
      <c r="O2304" s="26">
        <v>1603108.56</v>
      </c>
      <c r="P2304" s="5" t="s">
        <v>50</v>
      </c>
      <c r="Q2304" s="5" t="s">
        <v>75</v>
      </c>
      <c r="R2304">
        <v>4.8</v>
      </c>
      <c r="S2304">
        <v>11</v>
      </c>
      <c r="T2304">
        <f t="shared" si="35"/>
        <v>0</v>
      </c>
    </row>
    <row r="2305" spans="1:20">
      <c r="A2305" s="4">
        <v>45609</v>
      </c>
      <c r="B2305">
        <v>2024</v>
      </c>
      <c r="C2305">
        <v>11</v>
      </c>
      <c r="D2305" s="5" t="s">
        <v>35</v>
      </c>
      <c r="E2305" s="5" t="s">
        <v>36</v>
      </c>
      <c r="F2305" s="5" t="s">
        <v>37</v>
      </c>
      <c r="G2305" s="5" t="s">
        <v>38</v>
      </c>
      <c r="H2305" s="5" t="s">
        <v>73</v>
      </c>
      <c r="I2305" s="5" t="s">
        <v>40</v>
      </c>
      <c r="J2305" s="5" t="s">
        <v>49</v>
      </c>
      <c r="K2305">
        <v>21</v>
      </c>
      <c r="L2305">
        <v>705076</v>
      </c>
      <c r="M2305" s="26">
        <v>14806596</v>
      </c>
      <c r="N2305">
        <v>14955</v>
      </c>
      <c r="O2305" s="26">
        <v>1196299.22</v>
      </c>
      <c r="P2305" s="5" t="s">
        <v>42</v>
      </c>
      <c r="Q2305" s="5" t="s">
        <v>75</v>
      </c>
      <c r="R2305">
        <v>3.7</v>
      </c>
      <c r="S2305">
        <v>9</v>
      </c>
      <c r="T2305">
        <f t="shared" si="35"/>
        <v>1</v>
      </c>
    </row>
    <row r="2306" spans="1:20">
      <c r="A2306" s="4">
        <v>45623</v>
      </c>
      <c r="B2306">
        <v>2024</v>
      </c>
      <c r="C2306">
        <v>11</v>
      </c>
      <c r="D2306" s="5" t="s">
        <v>44</v>
      </c>
      <c r="E2306" s="5" t="s">
        <v>45</v>
      </c>
      <c r="F2306" s="5" t="s">
        <v>46</v>
      </c>
      <c r="G2306" s="5" t="s">
        <v>47</v>
      </c>
      <c r="H2306" s="5" t="s">
        <v>74</v>
      </c>
      <c r="I2306" s="5" t="s">
        <v>40</v>
      </c>
      <c r="J2306" s="5" t="s">
        <v>49</v>
      </c>
      <c r="K2306">
        <v>48</v>
      </c>
      <c r="L2306">
        <v>629635</v>
      </c>
      <c r="M2306" s="26">
        <v>30222480</v>
      </c>
      <c r="N2306">
        <v>26315</v>
      </c>
      <c r="O2306" s="26">
        <v>4306884.47</v>
      </c>
      <c r="P2306" s="5" t="s">
        <v>42</v>
      </c>
      <c r="Q2306" s="5" t="s">
        <v>51</v>
      </c>
      <c r="R2306">
        <v>4.8</v>
      </c>
      <c r="S2306">
        <v>14</v>
      </c>
      <c r="T2306">
        <f t="shared" ref="T2306:T2369" si="36">IF(AND(OR($B2306=Sel_Year,Sel_Year="All"),OR($C2306=Sel_Month,Sel_Month="All"),OR($D2306=Sel_Region,Sel_Region="All"),OR($E2306=Sel_State,Sel_State="All"),OR($F2306=Sel_City,Sel_City="All"),OR($G2306=Sel_Dealer,Sel_Dealer="All"),OR($H2306=Sel_Model,Sel_Model="All"),OR($I2306=Sel_Segment,Sel_Segment="All"),OR($J2306=Sel_Fuel,Sel_Fuel="All"),OR($P2306=Sel_CustType,Sel_CustType="All"),OR($Q2306=Sel_Payment,Sel_Payment="All")),1,0)</f>
        <v>1</v>
      </c>
    </row>
    <row r="2307" spans="1:20">
      <c r="A2307" s="4">
        <v>45603</v>
      </c>
      <c r="B2307">
        <v>2024</v>
      </c>
      <c r="C2307">
        <v>11</v>
      </c>
      <c r="D2307" s="5" t="s">
        <v>44</v>
      </c>
      <c r="E2307" s="5" t="s">
        <v>45</v>
      </c>
      <c r="F2307" s="5" t="s">
        <v>46</v>
      </c>
      <c r="G2307" s="5" t="s">
        <v>47</v>
      </c>
      <c r="H2307" s="5" t="s">
        <v>79</v>
      </c>
      <c r="I2307" s="5" t="s">
        <v>58</v>
      </c>
      <c r="J2307" s="5" t="s">
        <v>49</v>
      </c>
      <c r="K2307">
        <v>53</v>
      </c>
      <c r="L2307">
        <v>874944</v>
      </c>
      <c r="M2307" s="26">
        <v>46372032</v>
      </c>
      <c r="N2307">
        <v>41831</v>
      </c>
      <c r="O2307" s="26">
        <v>3739944.73</v>
      </c>
      <c r="P2307" s="5" t="s">
        <v>42</v>
      </c>
      <c r="Q2307" s="5" t="s">
        <v>75</v>
      </c>
      <c r="R2307">
        <v>4.3</v>
      </c>
      <c r="S2307">
        <v>11</v>
      </c>
      <c r="T2307">
        <f t="shared" si="36"/>
        <v>1</v>
      </c>
    </row>
    <row r="2308" spans="1:20">
      <c r="A2308" s="4">
        <v>45611</v>
      </c>
      <c r="B2308">
        <v>2024</v>
      </c>
      <c r="C2308">
        <v>11</v>
      </c>
      <c r="D2308" s="5" t="s">
        <v>35</v>
      </c>
      <c r="E2308" s="5" t="s">
        <v>76</v>
      </c>
      <c r="F2308" s="5" t="s">
        <v>77</v>
      </c>
      <c r="G2308" s="5" t="s">
        <v>78</v>
      </c>
      <c r="H2308" s="5" t="s">
        <v>57</v>
      </c>
      <c r="I2308" s="5" t="s">
        <v>58</v>
      </c>
      <c r="J2308" s="5" t="s">
        <v>59</v>
      </c>
      <c r="K2308">
        <v>46</v>
      </c>
      <c r="L2308">
        <v>1387861</v>
      </c>
      <c r="M2308" s="26">
        <v>63841606</v>
      </c>
      <c r="N2308">
        <v>9821</v>
      </c>
      <c r="O2308" s="26">
        <v>7953768.0599999996</v>
      </c>
      <c r="P2308" s="5" t="s">
        <v>50</v>
      </c>
      <c r="Q2308" s="5" t="s">
        <v>75</v>
      </c>
      <c r="R2308">
        <v>3.8</v>
      </c>
      <c r="S2308">
        <v>13</v>
      </c>
      <c r="T2308">
        <f t="shared" si="36"/>
        <v>0</v>
      </c>
    </row>
    <row r="2309" spans="1:20">
      <c r="A2309" s="4">
        <v>45598</v>
      </c>
      <c r="B2309">
        <v>2024</v>
      </c>
      <c r="C2309">
        <v>11</v>
      </c>
      <c r="D2309" s="5" t="s">
        <v>66</v>
      </c>
      <c r="E2309" s="5" t="s">
        <v>67</v>
      </c>
      <c r="F2309" s="5" t="s">
        <v>68</v>
      </c>
      <c r="G2309" s="5" t="s">
        <v>69</v>
      </c>
      <c r="H2309" s="5" t="s">
        <v>80</v>
      </c>
      <c r="I2309" s="5" t="s">
        <v>81</v>
      </c>
      <c r="J2309" s="5" t="s">
        <v>41</v>
      </c>
      <c r="K2309">
        <v>37</v>
      </c>
      <c r="L2309">
        <v>539883</v>
      </c>
      <c r="M2309" s="26">
        <v>19975671</v>
      </c>
      <c r="N2309">
        <v>41737</v>
      </c>
      <c r="O2309" s="26">
        <v>1786273.23</v>
      </c>
      <c r="P2309" s="5" t="s">
        <v>42</v>
      </c>
      <c r="Q2309" s="5" t="s">
        <v>75</v>
      </c>
      <c r="R2309">
        <v>3.9</v>
      </c>
      <c r="S2309">
        <v>8</v>
      </c>
      <c r="T2309">
        <f t="shared" si="36"/>
        <v>1</v>
      </c>
    </row>
    <row r="2310" spans="1:20">
      <c r="A2310" s="4">
        <v>45597</v>
      </c>
      <c r="B2310">
        <v>2024</v>
      </c>
      <c r="C2310">
        <v>11</v>
      </c>
      <c r="D2310" s="5" t="s">
        <v>35</v>
      </c>
      <c r="E2310" s="5" t="s">
        <v>60</v>
      </c>
      <c r="F2310" s="5" t="s">
        <v>61</v>
      </c>
      <c r="G2310" s="5" t="s">
        <v>62</v>
      </c>
      <c r="H2310" s="5" t="s">
        <v>79</v>
      </c>
      <c r="I2310" s="5" t="s">
        <v>58</v>
      </c>
      <c r="J2310" s="5" t="s">
        <v>49</v>
      </c>
      <c r="K2310">
        <v>54</v>
      </c>
      <c r="L2310">
        <v>922870</v>
      </c>
      <c r="M2310" s="26">
        <v>49834980</v>
      </c>
      <c r="N2310">
        <v>14038</v>
      </c>
      <c r="O2310" s="26">
        <v>5340138.9000000004</v>
      </c>
      <c r="P2310" s="5" t="s">
        <v>42</v>
      </c>
      <c r="Q2310" s="5" t="s">
        <v>75</v>
      </c>
      <c r="R2310">
        <v>4.9000000000000004</v>
      </c>
      <c r="S2310">
        <v>17</v>
      </c>
      <c r="T2310">
        <f t="shared" si="36"/>
        <v>1</v>
      </c>
    </row>
    <row r="2311" spans="1:20">
      <c r="A2311" s="4">
        <v>45618</v>
      </c>
      <c r="B2311">
        <v>2024</v>
      </c>
      <c r="C2311">
        <v>11</v>
      </c>
      <c r="D2311" s="5" t="s">
        <v>66</v>
      </c>
      <c r="E2311" s="5" t="s">
        <v>67</v>
      </c>
      <c r="F2311" s="5" t="s">
        <v>68</v>
      </c>
      <c r="G2311" s="5" t="s">
        <v>69</v>
      </c>
      <c r="H2311" s="5" t="s">
        <v>73</v>
      </c>
      <c r="I2311" s="5" t="s">
        <v>40</v>
      </c>
      <c r="J2311" s="5" t="s">
        <v>49</v>
      </c>
      <c r="K2311">
        <v>25</v>
      </c>
      <c r="L2311">
        <v>705178</v>
      </c>
      <c r="M2311" s="26">
        <v>17629450</v>
      </c>
      <c r="N2311">
        <v>5512</v>
      </c>
      <c r="O2311" s="26">
        <v>2081509.77</v>
      </c>
      <c r="P2311" s="5" t="s">
        <v>42</v>
      </c>
      <c r="Q2311" s="5" t="s">
        <v>75</v>
      </c>
      <c r="R2311">
        <v>3.9</v>
      </c>
      <c r="S2311">
        <v>5</v>
      </c>
      <c r="T2311">
        <f t="shared" si="36"/>
        <v>1</v>
      </c>
    </row>
    <row r="2312" spans="1:20">
      <c r="A2312" s="4">
        <v>45619</v>
      </c>
      <c r="B2312">
        <v>2024</v>
      </c>
      <c r="C2312">
        <v>11</v>
      </c>
      <c r="D2312" s="5" t="s">
        <v>35</v>
      </c>
      <c r="E2312" s="5" t="s">
        <v>60</v>
      </c>
      <c r="F2312" s="5" t="s">
        <v>61</v>
      </c>
      <c r="G2312" s="5" t="s">
        <v>62</v>
      </c>
      <c r="H2312" s="5" t="s">
        <v>74</v>
      </c>
      <c r="I2312" s="5" t="s">
        <v>40</v>
      </c>
      <c r="J2312" s="5" t="s">
        <v>49</v>
      </c>
      <c r="K2312">
        <v>47</v>
      </c>
      <c r="L2312">
        <v>655990</v>
      </c>
      <c r="M2312" s="26">
        <v>30831530</v>
      </c>
      <c r="N2312">
        <v>44580</v>
      </c>
      <c r="O2312" s="26">
        <v>2689672.37</v>
      </c>
      <c r="P2312" s="5" t="s">
        <v>50</v>
      </c>
      <c r="Q2312" s="5" t="s">
        <v>51</v>
      </c>
      <c r="R2312">
        <v>4.8</v>
      </c>
      <c r="S2312">
        <v>6</v>
      </c>
      <c r="T2312">
        <f t="shared" si="36"/>
        <v>0</v>
      </c>
    </row>
    <row r="2313" spans="1:20">
      <c r="A2313" s="4">
        <v>45607</v>
      </c>
      <c r="B2313">
        <v>2024</v>
      </c>
      <c r="C2313">
        <v>11</v>
      </c>
      <c r="D2313" s="5" t="s">
        <v>35</v>
      </c>
      <c r="E2313" s="5" t="s">
        <v>76</v>
      </c>
      <c r="F2313" s="5" t="s">
        <v>77</v>
      </c>
      <c r="G2313" s="5" t="s">
        <v>78</v>
      </c>
      <c r="H2313" s="5" t="s">
        <v>57</v>
      </c>
      <c r="I2313" s="5" t="s">
        <v>58</v>
      </c>
      <c r="J2313" s="5" t="s">
        <v>59</v>
      </c>
      <c r="K2313">
        <v>32</v>
      </c>
      <c r="L2313">
        <v>1413845</v>
      </c>
      <c r="M2313" s="26">
        <v>45243040</v>
      </c>
      <c r="N2313">
        <v>12022</v>
      </c>
      <c r="O2313" s="26">
        <v>5629026.29</v>
      </c>
      <c r="P2313" s="5" t="s">
        <v>50</v>
      </c>
      <c r="Q2313" s="5" t="s">
        <v>43</v>
      </c>
      <c r="R2313">
        <v>4</v>
      </c>
      <c r="S2313">
        <v>5</v>
      </c>
      <c r="T2313">
        <f t="shared" si="36"/>
        <v>0</v>
      </c>
    </row>
    <row r="2314" spans="1:20">
      <c r="A2314" s="4">
        <v>45605</v>
      </c>
      <c r="B2314">
        <v>2024</v>
      </c>
      <c r="C2314">
        <v>11</v>
      </c>
      <c r="D2314" s="5" t="s">
        <v>54</v>
      </c>
      <c r="E2314" s="5" t="s">
        <v>55</v>
      </c>
      <c r="F2314" s="5" t="s">
        <v>55</v>
      </c>
      <c r="G2314" s="5" t="s">
        <v>56</v>
      </c>
      <c r="H2314" s="5" t="s">
        <v>85</v>
      </c>
      <c r="I2314" s="5" t="s">
        <v>58</v>
      </c>
      <c r="J2314" s="5" t="s">
        <v>49</v>
      </c>
      <c r="K2314">
        <v>50</v>
      </c>
      <c r="L2314">
        <v>994203</v>
      </c>
      <c r="M2314" s="26">
        <v>49710150</v>
      </c>
      <c r="N2314">
        <v>16025</v>
      </c>
      <c r="O2314" s="26">
        <v>4124426.01</v>
      </c>
      <c r="P2314" s="5" t="s">
        <v>42</v>
      </c>
      <c r="Q2314" s="5" t="s">
        <v>43</v>
      </c>
      <c r="R2314">
        <v>4.0999999999999996</v>
      </c>
      <c r="S2314">
        <v>15</v>
      </c>
      <c r="T2314">
        <f t="shared" si="36"/>
        <v>1</v>
      </c>
    </row>
    <row r="2315" spans="1:20">
      <c r="A2315" s="4">
        <v>45619</v>
      </c>
      <c r="B2315">
        <v>2024</v>
      </c>
      <c r="C2315">
        <v>11</v>
      </c>
      <c r="D2315" s="5" t="s">
        <v>44</v>
      </c>
      <c r="E2315" s="5" t="s">
        <v>82</v>
      </c>
      <c r="F2315" s="5" t="s">
        <v>83</v>
      </c>
      <c r="G2315" s="5" t="s">
        <v>84</v>
      </c>
      <c r="H2315" s="5" t="s">
        <v>74</v>
      </c>
      <c r="I2315" s="5" t="s">
        <v>40</v>
      </c>
      <c r="J2315" s="5" t="s">
        <v>49</v>
      </c>
      <c r="K2315">
        <v>56</v>
      </c>
      <c r="L2315">
        <v>656837</v>
      </c>
      <c r="M2315" s="26">
        <v>36782872</v>
      </c>
      <c r="N2315">
        <v>14999</v>
      </c>
      <c r="O2315" s="26">
        <v>5034502.1399999997</v>
      </c>
      <c r="P2315" s="5" t="s">
        <v>50</v>
      </c>
      <c r="Q2315" s="5" t="s">
        <v>51</v>
      </c>
      <c r="R2315">
        <v>4.0999999999999996</v>
      </c>
      <c r="S2315">
        <v>18</v>
      </c>
      <c r="T2315">
        <f t="shared" si="36"/>
        <v>0</v>
      </c>
    </row>
    <row r="2316" spans="1:20">
      <c r="A2316" s="4">
        <v>45607</v>
      </c>
      <c r="B2316">
        <v>2024</v>
      </c>
      <c r="C2316">
        <v>11</v>
      </c>
      <c r="D2316" s="5" t="s">
        <v>54</v>
      </c>
      <c r="E2316" s="5" t="s">
        <v>55</v>
      </c>
      <c r="F2316" s="5" t="s">
        <v>55</v>
      </c>
      <c r="G2316" s="5" t="s">
        <v>56</v>
      </c>
      <c r="H2316" s="5" t="s">
        <v>73</v>
      </c>
      <c r="I2316" s="5" t="s">
        <v>40</v>
      </c>
      <c r="J2316" s="5" t="s">
        <v>49</v>
      </c>
      <c r="K2316">
        <v>10</v>
      </c>
      <c r="L2316">
        <v>700090</v>
      </c>
      <c r="M2316" s="26">
        <v>7000900</v>
      </c>
      <c r="N2316">
        <v>46682</v>
      </c>
      <c r="O2316" s="26">
        <v>626555.81999999995</v>
      </c>
      <c r="P2316" s="5" t="s">
        <v>50</v>
      </c>
      <c r="Q2316" s="5" t="s">
        <v>75</v>
      </c>
      <c r="R2316">
        <v>4.7</v>
      </c>
      <c r="S2316">
        <v>6</v>
      </c>
      <c r="T2316">
        <f t="shared" si="36"/>
        <v>0</v>
      </c>
    </row>
    <row r="2317" spans="1:20">
      <c r="A2317" s="4">
        <v>45604</v>
      </c>
      <c r="B2317">
        <v>2024</v>
      </c>
      <c r="C2317">
        <v>11</v>
      </c>
      <c r="D2317" s="5" t="s">
        <v>35</v>
      </c>
      <c r="E2317" s="5" t="s">
        <v>36</v>
      </c>
      <c r="F2317" s="5" t="s">
        <v>37</v>
      </c>
      <c r="G2317" s="5" t="s">
        <v>38</v>
      </c>
      <c r="H2317" s="5" t="s">
        <v>65</v>
      </c>
      <c r="I2317" s="5" t="s">
        <v>53</v>
      </c>
      <c r="J2317" s="5" t="s">
        <v>49</v>
      </c>
      <c r="K2317">
        <v>15</v>
      </c>
      <c r="L2317">
        <v>1251212</v>
      </c>
      <c r="M2317" s="26">
        <v>18768180</v>
      </c>
      <c r="N2317">
        <v>16237</v>
      </c>
      <c r="O2317" s="26">
        <v>2318257.3199999998</v>
      </c>
      <c r="P2317" s="5" t="s">
        <v>42</v>
      </c>
      <c r="Q2317" s="5" t="s">
        <v>43</v>
      </c>
      <c r="R2317">
        <v>4.9000000000000004</v>
      </c>
      <c r="S2317">
        <v>17</v>
      </c>
      <c r="T2317">
        <f t="shared" si="36"/>
        <v>1</v>
      </c>
    </row>
    <row r="2318" spans="1:20">
      <c r="A2318" s="4">
        <v>45608</v>
      </c>
      <c r="B2318">
        <v>2024</v>
      </c>
      <c r="C2318">
        <v>11</v>
      </c>
      <c r="D2318" s="5" t="s">
        <v>54</v>
      </c>
      <c r="E2318" s="5" t="s">
        <v>70</v>
      </c>
      <c r="F2318" s="5" t="s">
        <v>71</v>
      </c>
      <c r="G2318" s="5" t="s">
        <v>72</v>
      </c>
      <c r="H2318" s="5" t="s">
        <v>86</v>
      </c>
      <c r="I2318" s="5" t="s">
        <v>40</v>
      </c>
      <c r="J2318" s="5" t="s">
        <v>41</v>
      </c>
      <c r="K2318">
        <v>54</v>
      </c>
      <c r="L2318">
        <v>599548</v>
      </c>
      <c r="M2318" s="26">
        <v>32375592</v>
      </c>
      <c r="N2318">
        <v>22457</v>
      </c>
      <c r="O2318" s="26">
        <v>2614281.48</v>
      </c>
      <c r="P2318" s="5" t="s">
        <v>50</v>
      </c>
      <c r="Q2318" s="5" t="s">
        <v>75</v>
      </c>
      <c r="R2318">
        <v>4.4000000000000004</v>
      </c>
      <c r="S2318">
        <v>6</v>
      </c>
      <c r="T2318">
        <f t="shared" si="36"/>
        <v>0</v>
      </c>
    </row>
    <row r="2319" spans="1:20">
      <c r="A2319" s="4">
        <v>45623</v>
      </c>
      <c r="B2319">
        <v>2024</v>
      </c>
      <c r="C2319">
        <v>11</v>
      </c>
      <c r="D2319" s="5" t="s">
        <v>35</v>
      </c>
      <c r="E2319" s="5" t="s">
        <v>60</v>
      </c>
      <c r="F2319" s="5" t="s">
        <v>61</v>
      </c>
      <c r="G2319" s="5" t="s">
        <v>62</v>
      </c>
      <c r="H2319" s="5" t="s">
        <v>86</v>
      </c>
      <c r="I2319" s="5" t="s">
        <v>40</v>
      </c>
      <c r="J2319" s="5" t="s">
        <v>41</v>
      </c>
      <c r="K2319">
        <v>37</v>
      </c>
      <c r="L2319">
        <v>612697</v>
      </c>
      <c r="M2319" s="26">
        <v>22669789</v>
      </c>
      <c r="N2319">
        <v>25781</v>
      </c>
      <c r="O2319" s="26">
        <v>2227729.4900000002</v>
      </c>
      <c r="P2319" s="5" t="s">
        <v>42</v>
      </c>
      <c r="Q2319" s="5" t="s">
        <v>75</v>
      </c>
      <c r="R2319">
        <v>4.0999999999999996</v>
      </c>
      <c r="S2319">
        <v>19</v>
      </c>
      <c r="T2319">
        <f t="shared" si="36"/>
        <v>1</v>
      </c>
    </row>
    <row r="2320" spans="1:20">
      <c r="A2320" s="4">
        <v>45613</v>
      </c>
      <c r="B2320">
        <v>2024</v>
      </c>
      <c r="C2320">
        <v>11</v>
      </c>
      <c r="D2320" s="5" t="s">
        <v>54</v>
      </c>
      <c r="E2320" s="5" t="s">
        <v>70</v>
      </c>
      <c r="F2320" s="5" t="s">
        <v>71</v>
      </c>
      <c r="G2320" s="5" t="s">
        <v>72</v>
      </c>
      <c r="H2320" s="5" t="s">
        <v>52</v>
      </c>
      <c r="I2320" s="5" t="s">
        <v>53</v>
      </c>
      <c r="J2320" s="5" t="s">
        <v>41</v>
      </c>
      <c r="K2320">
        <v>51</v>
      </c>
      <c r="L2320">
        <v>927944</v>
      </c>
      <c r="M2320" s="26">
        <v>47325144</v>
      </c>
      <c r="N2320">
        <v>12479</v>
      </c>
      <c r="O2320" s="26">
        <v>4069800.92</v>
      </c>
      <c r="P2320" s="5" t="s">
        <v>50</v>
      </c>
      <c r="Q2320" s="5" t="s">
        <v>43</v>
      </c>
      <c r="R2320">
        <v>3.6</v>
      </c>
      <c r="S2320">
        <v>4</v>
      </c>
      <c r="T2320">
        <f t="shared" si="36"/>
        <v>0</v>
      </c>
    </row>
    <row r="2321" spans="1:20">
      <c r="A2321" s="4">
        <v>45622</v>
      </c>
      <c r="B2321">
        <v>2024</v>
      </c>
      <c r="C2321">
        <v>11</v>
      </c>
      <c r="D2321" s="5" t="s">
        <v>35</v>
      </c>
      <c r="E2321" s="5" t="s">
        <v>36</v>
      </c>
      <c r="F2321" s="5" t="s">
        <v>37</v>
      </c>
      <c r="G2321" s="5" t="s">
        <v>38</v>
      </c>
      <c r="H2321" s="5" t="s">
        <v>85</v>
      </c>
      <c r="I2321" s="5" t="s">
        <v>58</v>
      </c>
      <c r="J2321" s="5" t="s">
        <v>49</v>
      </c>
      <c r="K2321">
        <v>32</v>
      </c>
      <c r="L2321">
        <v>958531</v>
      </c>
      <c r="M2321" s="26">
        <v>30672992</v>
      </c>
      <c r="N2321">
        <v>39077</v>
      </c>
      <c r="O2321" s="26">
        <v>2814174.49</v>
      </c>
      <c r="P2321" s="5" t="s">
        <v>42</v>
      </c>
      <c r="Q2321" s="5" t="s">
        <v>75</v>
      </c>
      <c r="R2321">
        <v>4.5</v>
      </c>
      <c r="S2321">
        <v>9</v>
      </c>
      <c r="T2321">
        <f t="shared" si="36"/>
        <v>1</v>
      </c>
    </row>
    <row r="2322" spans="1:20">
      <c r="A2322" s="4">
        <v>45611</v>
      </c>
      <c r="B2322">
        <v>2024</v>
      </c>
      <c r="C2322">
        <v>11</v>
      </c>
      <c r="D2322" s="5" t="s">
        <v>35</v>
      </c>
      <c r="E2322" s="5" t="s">
        <v>36</v>
      </c>
      <c r="F2322" s="5" t="s">
        <v>37</v>
      </c>
      <c r="G2322" s="5" t="s">
        <v>38</v>
      </c>
      <c r="H2322" s="5" t="s">
        <v>79</v>
      </c>
      <c r="I2322" s="5" t="s">
        <v>58</v>
      </c>
      <c r="J2322" s="5" t="s">
        <v>49</v>
      </c>
      <c r="K2322">
        <v>20</v>
      </c>
      <c r="L2322">
        <v>907024</v>
      </c>
      <c r="M2322" s="26">
        <v>18140480</v>
      </c>
      <c r="N2322">
        <v>41666</v>
      </c>
      <c r="O2322" s="26">
        <v>1727006.76</v>
      </c>
      <c r="P2322" s="5" t="s">
        <v>42</v>
      </c>
      <c r="Q2322" s="5" t="s">
        <v>75</v>
      </c>
      <c r="R2322">
        <v>4.9000000000000004</v>
      </c>
      <c r="S2322">
        <v>3</v>
      </c>
      <c r="T2322">
        <f t="shared" si="36"/>
        <v>1</v>
      </c>
    </row>
    <row r="2323" spans="1:20">
      <c r="A2323" s="4">
        <v>45613</v>
      </c>
      <c r="B2323">
        <v>2024</v>
      </c>
      <c r="C2323">
        <v>11</v>
      </c>
      <c r="D2323" s="5" t="s">
        <v>44</v>
      </c>
      <c r="E2323" s="5" t="s">
        <v>45</v>
      </c>
      <c r="F2323" s="5" t="s">
        <v>46</v>
      </c>
      <c r="G2323" s="5" t="s">
        <v>47</v>
      </c>
      <c r="H2323" s="5" t="s">
        <v>74</v>
      </c>
      <c r="I2323" s="5" t="s">
        <v>40</v>
      </c>
      <c r="J2323" s="5" t="s">
        <v>49</v>
      </c>
      <c r="K2323">
        <v>34</v>
      </c>
      <c r="L2323">
        <v>634279</v>
      </c>
      <c r="M2323" s="26">
        <v>21565486</v>
      </c>
      <c r="N2323">
        <v>25469</v>
      </c>
      <c r="O2323" s="26">
        <v>1787472.58</v>
      </c>
      <c r="P2323" s="5" t="s">
        <v>50</v>
      </c>
      <c r="Q2323" s="5" t="s">
        <v>51</v>
      </c>
      <c r="R2323">
        <v>3.7</v>
      </c>
      <c r="S2323">
        <v>13</v>
      </c>
      <c r="T2323">
        <f t="shared" si="36"/>
        <v>0</v>
      </c>
    </row>
    <row r="2324" spans="1:20">
      <c r="A2324" s="4">
        <v>45600</v>
      </c>
      <c r="B2324">
        <v>2024</v>
      </c>
      <c r="C2324">
        <v>11</v>
      </c>
      <c r="D2324" s="5" t="s">
        <v>35</v>
      </c>
      <c r="E2324" s="5" t="s">
        <v>36</v>
      </c>
      <c r="F2324" s="5" t="s">
        <v>37</v>
      </c>
      <c r="G2324" s="5" t="s">
        <v>38</v>
      </c>
      <c r="H2324" s="5" t="s">
        <v>48</v>
      </c>
      <c r="I2324" s="5" t="s">
        <v>40</v>
      </c>
      <c r="J2324" s="5" t="s">
        <v>49</v>
      </c>
      <c r="K2324">
        <v>45</v>
      </c>
      <c r="L2324">
        <v>478781</v>
      </c>
      <c r="M2324" s="26">
        <v>21545145</v>
      </c>
      <c r="N2324">
        <v>15230</v>
      </c>
      <c r="O2324" s="26">
        <v>2792327.04</v>
      </c>
      <c r="P2324" s="5" t="s">
        <v>50</v>
      </c>
      <c r="Q2324" s="5" t="s">
        <v>75</v>
      </c>
      <c r="R2324">
        <v>4.3</v>
      </c>
      <c r="S2324">
        <v>12</v>
      </c>
      <c r="T2324">
        <f t="shared" si="36"/>
        <v>0</v>
      </c>
    </row>
    <row r="2325" spans="1:20">
      <c r="A2325" s="4">
        <v>45598</v>
      </c>
      <c r="B2325">
        <v>2024</v>
      </c>
      <c r="C2325">
        <v>11</v>
      </c>
      <c r="D2325" s="5" t="s">
        <v>35</v>
      </c>
      <c r="E2325" s="5" t="s">
        <v>76</v>
      </c>
      <c r="F2325" s="5" t="s">
        <v>77</v>
      </c>
      <c r="G2325" s="5" t="s">
        <v>78</v>
      </c>
      <c r="H2325" s="5" t="s">
        <v>39</v>
      </c>
      <c r="I2325" s="5" t="s">
        <v>40</v>
      </c>
      <c r="J2325" s="5" t="s">
        <v>41</v>
      </c>
      <c r="K2325">
        <v>60</v>
      </c>
      <c r="L2325">
        <v>553752</v>
      </c>
      <c r="M2325" s="26">
        <v>33225120</v>
      </c>
      <c r="N2325">
        <v>44911</v>
      </c>
      <c r="O2325" s="26">
        <v>2664194.9500000002</v>
      </c>
      <c r="P2325" s="5" t="s">
        <v>42</v>
      </c>
      <c r="Q2325" s="5" t="s">
        <v>43</v>
      </c>
      <c r="R2325">
        <v>4.7</v>
      </c>
      <c r="S2325">
        <v>5</v>
      </c>
      <c r="T2325">
        <f t="shared" si="36"/>
        <v>1</v>
      </c>
    </row>
    <row r="2326" spans="1:20">
      <c r="A2326" s="4">
        <v>45597</v>
      </c>
      <c r="B2326">
        <v>2024</v>
      </c>
      <c r="C2326">
        <v>11</v>
      </c>
      <c r="D2326" s="5" t="s">
        <v>35</v>
      </c>
      <c r="E2326" s="5" t="s">
        <v>76</v>
      </c>
      <c r="F2326" s="5" t="s">
        <v>77</v>
      </c>
      <c r="G2326" s="5" t="s">
        <v>78</v>
      </c>
      <c r="H2326" s="5" t="s">
        <v>48</v>
      </c>
      <c r="I2326" s="5" t="s">
        <v>40</v>
      </c>
      <c r="J2326" s="5" t="s">
        <v>49</v>
      </c>
      <c r="K2326">
        <v>24</v>
      </c>
      <c r="L2326">
        <v>450554</v>
      </c>
      <c r="M2326" s="26">
        <v>10813296</v>
      </c>
      <c r="N2326">
        <v>36141</v>
      </c>
      <c r="O2326" s="26">
        <v>1471747.53</v>
      </c>
      <c r="P2326" s="5" t="s">
        <v>42</v>
      </c>
      <c r="Q2326" s="5" t="s">
        <v>43</v>
      </c>
      <c r="R2326">
        <v>3.9</v>
      </c>
      <c r="S2326">
        <v>5</v>
      </c>
      <c r="T2326">
        <f t="shared" si="36"/>
        <v>1</v>
      </c>
    </row>
    <row r="2327" spans="1:20">
      <c r="A2327" s="4">
        <v>45616</v>
      </c>
      <c r="B2327">
        <v>2024</v>
      </c>
      <c r="C2327">
        <v>11</v>
      </c>
      <c r="D2327" s="5" t="s">
        <v>35</v>
      </c>
      <c r="E2327" s="5" t="s">
        <v>76</v>
      </c>
      <c r="F2327" s="5" t="s">
        <v>77</v>
      </c>
      <c r="G2327" s="5" t="s">
        <v>78</v>
      </c>
      <c r="H2327" s="5" t="s">
        <v>85</v>
      </c>
      <c r="I2327" s="5" t="s">
        <v>58</v>
      </c>
      <c r="J2327" s="5" t="s">
        <v>49</v>
      </c>
      <c r="K2327">
        <v>44</v>
      </c>
      <c r="L2327">
        <v>962284</v>
      </c>
      <c r="M2327" s="26">
        <v>42340496</v>
      </c>
      <c r="N2327">
        <v>17238</v>
      </c>
      <c r="O2327" s="26">
        <v>5394508.4199999999</v>
      </c>
      <c r="P2327" s="5" t="s">
        <v>50</v>
      </c>
      <c r="Q2327" s="5" t="s">
        <v>51</v>
      </c>
      <c r="R2327">
        <v>4.3</v>
      </c>
      <c r="S2327">
        <v>15</v>
      </c>
      <c r="T2327">
        <f t="shared" si="36"/>
        <v>0</v>
      </c>
    </row>
    <row r="2328" spans="1:20">
      <c r="A2328" s="4">
        <v>45601</v>
      </c>
      <c r="B2328">
        <v>2024</v>
      </c>
      <c r="C2328">
        <v>11</v>
      </c>
      <c r="D2328" s="5" t="s">
        <v>35</v>
      </c>
      <c r="E2328" s="5" t="s">
        <v>60</v>
      </c>
      <c r="F2328" s="5" t="s">
        <v>61</v>
      </c>
      <c r="G2328" s="5" t="s">
        <v>62</v>
      </c>
      <c r="H2328" s="5" t="s">
        <v>63</v>
      </c>
      <c r="I2328" s="5" t="s">
        <v>64</v>
      </c>
      <c r="J2328" s="5" t="s">
        <v>41</v>
      </c>
      <c r="K2328">
        <v>30</v>
      </c>
      <c r="L2328">
        <v>768255</v>
      </c>
      <c r="M2328" s="26">
        <v>23047650</v>
      </c>
      <c r="N2328">
        <v>24071</v>
      </c>
      <c r="O2328" s="26">
        <v>2433252.75</v>
      </c>
      <c r="P2328" s="5" t="s">
        <v>50</v>
      </c>
      <c r="Q2328" s="5" t="s">
        <v>75</v>
      </c>
      <c r="R2328">
        <v>4.2</v>
      </c>
      <c r="S2328">
        <v>8</v>
      </c>
      <c r="T2328">
        <f t="shared" si="36"/>
        <v>0</v>
      </c>
    </row>
    <row r="2329" spans="1:20">
      <c r="A2329" s="4">
        <v>45609</v>
      </c>
      <c r="B2329">
        <v>2024</v>
      </c>
      <c r="C2329">
        <v>11</v>
      </c>
      <c r="D2329" s="5" t="s">
        <v>35</v>
      </c>
      <c r="E2329" s="5" t="s">
        <v>36</v>
      </c>
      <c r="F2329" s="5" t="s">
        <v>37</v>
      </c>
      <c r="G2329" s="5" t="s">
        <v>38</v>
      </c>
      <c r="H2329" s="5" t="s">
        <v>52</v>
      </c>
      <c r="I2329" s="5" t="s">
        <v>53</v>
      </c>
      <c r="J2329" s="5" t="s">
        <v>41</v>
      </c>
      <c r="K2329">
        <v>46</v>
      </c>
      <c r="L2329">
        <v>965444</v>
      </c>
      <c r="M2329" s="26">
        <v>44410424</v>
      </c>
      <c r="N2329">
        <v>15782</v>
      </c>
      <c r="O2329" s="26">
        <v>4517305.42</v>
      </c>
      <c r="P2329" s="5" t="s">
        <v>42</v>
      </c>
      <c r="Q2329" s="5" t="s">
        <v>43</v>
      </c>
      <c r="R2329">
        <v>4.9000000000000004</v>
      </c>
      <c r="S2329">
        <v>17</v>
      </c>
      <c r="T2329">
        <f t="shared" si="36"/>
        <v>1</v>
      </c>
    </row>
    <row r="2330" spans="1:20">
      <c r="A2330" s="4">
        <v>45602</v>
      </c>
      <c r="B2330">
        <v>2024</v>
      </c>
      <c r="C2330">
        <v>11</v>
      </c>
      <c r="D2330" s="5" t="s">
        <v>35</v>
      </c>
      <c r="E2330" s="5" t="s">
        <v>76</v>
      </c>
      <c r="F2330" s="5" t="s">
        <v>77</v>
      </c>
      <c r="G2330" s="5" t="s">
        <v>78</v>
      </c>
      <c r="H2330" s="5" t="s">
        <v>65</v>
      </c>
      <c r="I2330" s="5" t="s">
        <v>53</v>
      </c>
      <c r="J2330" s="5" t="s">
        <v>49</v>
      </c>
      <c r="K2330">
        <v>34</v>
      </c>
      <c r="L2330">
        <v>1242789</v>
      </c>
      <c r="M2330" s="26">
        <v>42254826</v>
      </c>
      <c r="N2330">
        <v>43202</v>
      </c>
      <c r="O2330" s="26">
        <v>5055228.6399999997</v>
      </c>
      <c r="P2330" s="5" t="s">
        <v>50</v>
      </c>
      <c r="Q2330" s="5" t="s">
        <v>43</v>
      </c>
      <c r="R2330">
        <v>4.9000000000000004</v>
      </c>
      <c r="S2330">
        <v>4</v>
      </c>
      <c r="T2330">
        <f t="shared" si="36"/>
        <v>0</v>
      </c>
    </row>
    <row r="2331" spans="1:20">
      <c r="A2331" s="4">
        <v>45615</v>
      </c>
      <c r="B2331">
        <v>2024</v>
      </c>
      <c r="C2331">
        <v>11</v>
      </c>
      <c r="D2331" s="5" t="s">
        <v>54</v>
      </c>
      <c r="E2331" s="5" t="s">
        <v>55</v>
      </c>
      <c r="F2331" s="5" t="s">
        <v>55</v>
      </c>
      <c r="G2331" s="5" t="s">
        <v>56</v>
      </c>
      <c r="H2331" s="5" t="s">
        <v>65</v>
      </c>
      <c r="I2331" s="5" t="s">
        <v>53</v>
      </c>
      <c r="J2331" s="5" t="s">
        <v>49</v>
      </c>
      <c r="K2331">
        <v>48</v>
      </c>
      <c r="L2331">
        <v>1248944</v>
      </c>
      <c r="M2331" s="26">
        <v>59949312</v>
      </c>
      <c r="N2331">
        <v>29596</v>
      </c>
      <c r="O2331" s="26">
        <v>7344411.4699999997</v>
      </c>
      <c r="P2331" s="5" t="s">
        <v>42</v>
      </c>
      <c r="Q2331" s="5" t="s">
        <v>43</v>
      </c>
      <c r="R2331">
        <v>4.4000000000000004</v>
      </c>
      <c r="S2331">
        <v>19</v>
      </c>
      <c r="T2331">
        <f t="shared" si="36"/>
        <v>1</v>
      </c>
    </row>
    <row r="2332" spans="1:20">
      <c r="A2332" s="4">
        <v>45603</v>
      </c>
      <c r="B2332">
        <v>2024</v>
      </c>
      <c r="C2332">
        <v>11</v>
      </c>
      <c r="D2332" s="5" t="s">
        <v>54</v>
      </c>
      <c r="E2332" s="5" t="s">
        <v>70</v>
      </c>
      <c r="F2332" s="5" t="s">
        <v>71</v>
      </c>
      <c r="G2332" s="5" t="s">
        <v>72</v>
      </c>
      <c r="H2332" s="5" t="s">
        <v>80</v>
      </c>
      <c r="I2332" s="5" t="s">
        <v>81</v>
      </c>
      <c r="J2332" s="5" t="s">
        <v>41</v>
      </c>
      <c r="K2332">
        <v>51</v>
      </c>
      <c r="L2332">
        <v>561754</v>
      </c>
      <c r="M2332" s="26">
        <v>28649454</v>
      </c>
      <c r="N2332">
        <v>14155</v>
      </c>
      <c r="O2332" s="26">
        <v>3751577.24</v>
      </c>
      <c r="P2332" s="5" t="s">
        <v>42</v>
      </c>
      <c r="Q2332" s="5" t="s">
        <v>51</v>
      </c>
      <c r="R2332">
        <v>4.9000000000000004</v>
      </c>
      <c r="S2332">
        <v>16</v>
      </c>
      <c r="T2332">
        <f t="shared" si="36"/>
        <v>1</v>
      </c>
    </row>
    <row r="2333" spans="1:20">
      <c r="A2333" s="4">
        <v>45616</v>
      </c>
      <c r="B2333">
        <v>2024</v>
      </c>
      <c r="C2333">
        <v>11</v>
      </c>
      <c r="D2333" s="5" t="s">
        <v>35</v>
      </c>
      <c r="E2333" s="5" t="s">
        <v>60</v>
      </c>
      <c r="F2333" s="5" t="s">
        <v>61</v>
      </c>
      <c r="G2333" s="5" t="s">
        <v>62</v>
      </c>
      <c r="H2333" s="5" t="s">
        <v>86</v>
      </c>
      <c r="I2333" s="5" t="s">
        <v>40</v>
      </c>
      <c r="J2333" s="5" t="s">
        <v>41</v>
      </c>
      <c r="K2333">
        <v>30</v>
      </c>
      <c r="L2333">
        <v>603348</v>
      </c>
      <c r="M2333" s="26">
        <v>18100440</v>
      </c>
      <c r="N2333">
        <v>38456</v>
      </c>
      <c r="O2333" s="26">
        <v>2449014.14</v>
      </c>
      <c r="P2333" s="5" t="s">
        <v>50</v>
      </c>
      <c r="Q2333" s="5" t="s">
        <v>43</v>
      </c>
      <c r="R2333">
        <v>4</v>
      </c>
      <c r="S2333">
        <v>18</v>
      </c>
      <c r="T2333">
        <f t="shared" si="36"/>
        <v>0</v>
      </c>
    </row>
    <row r="2334" spans="1:20">
      <c r="A2334" s="4">
        <v>45606</v>
      </c>
      <c r="B2334">
        <v>2024</v>
      </c>
      <c r="C2334">
        <v>11</v>
      </c>
      <c r="D2334" s="5" t="s">
        <v>35</v>
      </c>
      <c r="E2334" s="5" t="s">
        <v>76</v>
      </c>
      <c r="F2334" s="5" t="s">
        <v>77</v>
      </c>
      <c r="G2334" s="5" t="s">
        <v>78</v>
      </c>
      <c r="H2334" s="5" t="s">
        <v>65</v>
      </c>
      <c r="I2334" s="5" t="s">
        <v>53</v>
      </c>
      <c r="J2334" s="5" t="s">
        <v>49</v>
      </c>
      <c r="K2334">
        <v>54</v>
      </c>
      <c r="L2334">
        <v>1242727</v>
      </c>
      <c r="M2334" s="26">
        <v>67107258</v>
      </c>
      <c r="N2334">
        <v>23368</v>
      </c>
      <c r="O2334" s="26">
        <v>7212222.2699999996</v>
      </c>
      <c r="P2334" s="5" t="s">
        <v>50</v>
      </c>
      <c r="Q2334" s="5" t="s">
        <v>75</v>
      </c>
      <c r="R2334">
        <v>3.6</v>
      </c>
      <c r="S2334">
        <v>7</v>
      </c>
      <c r="T2334">
        <f t="shared" si="36"/>
        <v>0</v>
      </c>
    </row>
    <row r="2335" spans="1:20">
      <c r="A2335" s="4">
        <v>45604</v>
      </c>
      <c r="B2335">
        <v>2024</v>
      </c>
      <c r="C2335">
        <v>11</v>
      </c>
      <c r="D2335" s="5" t="s">
        <v>35</v>
      </c>
      <c r="E2335" s="5" t="s">
        <v>76</v>
      </c>
      <c r="F2335" s="5" t="s">
        <v>77</v>
      </c>
      <c r="G2335" s="5" t="s">
        <v>78</v>
      </c>
      <c r="H2335" s="5" t="s">
        <v>79</v>
      </c>
      <c r="I2335" s="5" t="s">
        <v>58</v>
      </c>
      <c r="J2335" s="5" t="s">
        <v>49</v>
      </c>
      <c r="K2335">
        <v>42</v>
      </c>
      <c r="L2335">
        <v>880322</v>
      </c>
      <c r="M2335" s="26">
        <v>36973524</v>
      </c>
      <c r="N2335">
        <v>6414</v>
      </c>
      <c r="O2335" s="26">
        <v>5143619</v>
      </c>
      <c r="P2335" s="5" t="s">
        <v>42</v>
      </c>
      <c r="Q2335" s="5" t="s">
        <v>51</v>
      </c>
      <c r="R2335">
        <v>4.5</v>
      </c>
      <c r="S2335">
        <v>9</v>
      </c>
      <c r="T2335">
        <f t="shared" si="36"/>
        <v>1</v>
      </c>
    </row>
    <row r="2336" spans="1:20">
      <c r="A2336" s="4">
        <v>45620</v>
      </c>
      <c r="B2336">
        <v>2024</v>
      </c>
      <c r="C2336">
        <v>11</v>
      </c>
      <c r="D2336" s="5" t="s">
        <v>44</v>
      </c>
      <c r="E2336" s="5" t="s">
        <v>45</v>
      </c>
      <c r="F2336" s="5" t="s">
        <v>46</v>
      </c>
      <c r="G2336" s="5" t="s">
        <v>47</v>
      </c>
      <c r="H2336" s="5" t="s">
        <v>48</v>
      </c>
      <c r="I2336" s="5" t="s">
        <v>40</v>
      </c>
      <c r="J2336" s="5" t="s">
        <v>49</v>
      </c>
      <c r="K2336">
        <v>46</v>
      </c>
      <c r="L2336">
        <v>423080</v>
      </c>
      <c r="M2336" s="26">
        <v>19461680</v>
      </c>
      <c r="N2336">
        <v>12570</v>
      </c>
      <c r="O2336" s="26">
        <v>2740873.56</v>
      </c>
      <c r="P2336" s="5" t="s">
        <v>50</v>
      </c>
      <c r="Q2336" s="5" t="s">
        <v>43</v>
      </c>
      <c r="R2336">
        <v>4.2</v>
      </c>
      <c r="S2336">
        <v>19</v>
      </c>
      <c r="T2336">
        <f t="shared" si="36"/>
        <v>0</v>
      </c>
    </row>
    <row r="2337" spans="1:20">
      <c r="A2337" s="4">
        <v>45619</v>
      </c>
      <c r="B2337">
        <v>2024</v>
      </c>
      <c r="C2337">
        <v>11</v>
      </c>
      <c r="D2337" s="5" t="s">
        <v>54</v>
      </c>
      <c r="E2337" s="5" t="s">
        <v>70</v>
      </c>
      <c r="F2337" s="5" t="s">
        <v>71</v>
      </c>
      <c r="G2337" s="5" t="s">
        <v>72</v>
      </c>
      <c r="H2337" s="5" t="s">
        <v>63</v>
      </c>
      <c r="I2337" s="5" t="s">
        <v>64</v>
      </c>
      <c r="J2337" s="5" t="s">
        <v>41</v>
      </c>
      <c r="K2337">
        <v>43</v>
      </c>
      <c r="L2337">
        <v>734062</v>
      </c>
      <c r="M2337" s="26">
        <v>31564666</v>
      </c>
      <c r="N2337">
        <v>5508</v>
      </c>
      <c r="O2337" s="26">
        <v>3935669.64</v>
      </c>
      <c r="P2337" s="5" t="s">
        <v>50</v>
      </c>
      <c r="Q2337" s="5" t="s">
        <v>51</v>
      </c>
      <c r="R2337">
        <v>4.2</v>
      </c>
      <c r="S2337">
        <v>3</v>
      </c>
      <c r="T2337">
        <f t="shared" si="36"/>
        <v>0</v>
      </c>
    </row>
    <row r="2338" spans="1:20">
      <c r="A2338" s="4">
        <v>45613</v>
      </c>
      <c r="B2338">
        <v>2024</v>
      </c>
      <c r="C2338">
        <v>11</v>
      </c>
      <c r="D2338" s="5" t="s">
        <v>35</v>
      </c>
      <c r="E2338" s="5" t="s">
        <v>76</v>
      </c>
      <c r="F2338" s="5" t="s">
        <v>77</v>
      </c>
      <c r="G2338" s="5" t="s">
        <v>78</v>
      </c>
      <c r="H2338" s="5" t="s">
        <v>52</v>
      </c>
      <c r="I2338" s="5" t="s">
        <v>53</v>
      </c>
      <c r="J2338" s="5" t="s">
        <v>41</v>
      </c>
      <c r="K2338">
        <v>56</v>
      </c>
      <c r="L2338">
        <v>939197</v>
      </c>
      <c r="M2338" s="26">
        <v>52595032</v>
      </c>
      <c r="N2338">
        <v>42846</v>
      </c>
      <c r="O2338" s="26">
        <v>4800143.46</v>
      </c>
      <c r="P2338" s="5" t="s">
        <v>42</v>
      </c>
      <c r="Q2338" s="5" t="s">
        <v>75</v>
      </c>
      <c r="R2338">
        <v>3.6</v>
      </c>
      <c r="S2338">
        <v>17</v>
      </c>
      <c r="T2338">
        <f t="shared" si="36"/>
        <v>1</v>
      </c>
    </row>
    <row r="2339" spans="1:20">
      <c r="A2339" s="4">
        <v>45605</v>
      </c>
      <c r="B2339">
        <v>2024</v>
      </c>
      <c r="C2339">
        <v>11</v>
      </c>
      <c r="D2339" s="5" t="s">
        <v>66</v>
      </c>
      <c r="E2339" s="5" t="s">
        <v>67</v>
      </c>
      <c r="F2339" s="5" t="s">
        <v>68</v>
      </c>
      <c r="G2339" s="5" t="s">
        <v>69</v>
      </c>
      <c r="H2339" s="5" t="s">
        <v>52</v>
      </c>
      <c r="I2339" s="5" t="s">
        <v>53</v>
      </c>
      <c r="J2339" s="5" t="s">
        <v>41</v>
      </c>
      <c r="K2339">
        <v>54</v>
      </c>
      <c r="L2339">
        <v>931769</v>
      </c>
      <c r="M2339" s="26">
        <v>50315526</v>
      </c>
      <c r="N2339">
        <v>38639</v>
      </c>
      <c r="O2339" s="26">
        <v>6643160.9800000004</v>
      </c>
      <c r="P2339" s="5" t="s">
        <v>50</v>
      </c>
      <c r="Q2339" s="5" t="s">
        <v>43</v>
      </c>
      <c r="R2339">
        <v>4.4000000000000004</v>
      </c>
      <c r="S2339">
        <v>10</v>
      </c>
      <c r="T2339">
        <f t="shared" si="36"/>
        <v>0</v>
      </c>
    </row>
    <row r="2340" spans="1:20">
      <c r="A2340" s="4">
        <v>45603</v>
      </c>
      <c r="B2340">
        <v>2024</v>
      </c>
      <c r="C2340">
        <v>11</v>
      </c>
      <c r="D2340" s="5" t="s">
        <v>35</v>
      </c>
      <c r="E2340" s="5" t="s">
        <v>60</v>
      </c>
      <c r="F2340" s="5" t="s">
        <v>61</v>
      </c>
      <c r="G2340" s="5" t="s">
        <v>62</v>
      </c>
      <c r="H2340" s="5" t="s">
        <v>80</v>
      </c>
      <c r="I2340" s="5" t="s">
        <v>81</v>
      </c>
      <c r="J2340" s="5" t="s">
        <v>41</v>
      </c>
      <c r="K2340">
        <v>9</v>
      </c>
      <c r="L2340">
        <v>570109</v>
      </c>
      <c r="M2340" s="26">
        <v>5130981</v>
      </c>
      <c r="N2340">
        <v>43916</v>
      </c>
      <c r="O2340" s="26">
        <v>676049.77</v>
      </c>
      <c r="P2340" s="5" t="s">
        <v>42</v>
      </c>
      <c r="Q2340" s="5" t="s">
        <v>51</v>
      </c>
      <c r="R2340">
        <v>4.4000000000000004</v>
      </c>
      <c r="S2340">
        <v>3</v>
      </c>
      <c r="T2340">
        <f t="shared" si="36"/>
        <v>1</v>
      </c>
    </row>
    <row r="2341" spans="1:20">
      <c r="A2341" s="4">
        <v>45606</v>
      </c>
      <c r="B2341">
        <v>2024</v>
      </c>
      <c r="C2341">
        <v>11</v>
      </c>
      <c r="D2341" s="5" t="s">
        <v>35</v>
      </c>
      <c r="E2341" s="5" t="s">
        <v>60</v>
      </c>
      <c r="F2341" s="5" t="s">
        <v>61</v>
      </c>
      <c r="G2341" s="5" t="s">
        <v>62</v>
      </c>
      <c r="H2341" s="5" t="s">
        <v>65</v>
      </c>
      <c r="I2341" s="5" t="s">
        <v>53</v>
      </c>
      <c r="J2341" s="5" t="s">
        <v>49</v>
      </c>
      <c r="K2341">
        <v>27</v>
      </c>
      <c r="L2341">
        <v>1238421</v>
      </c>
      <c r="M2341" s="26">
        <v>33437367</v>
      </c>
      <c r="N2341">
        <v>10103</v>
      </c>
      <c r="O2341" s="26">
        <v>3483768.28</v>
      </c>
      <c r="P2341" s="5" t="s">
        <v>50</v>
      </c>
      <c r="Q2341" s="5" t="s">
        <v>43</v>
      </c>
      <c r="R2341">
        <v>4</v>
      </c>
      <c r="S2341">
        <v>14</v>
      </c>
      <c r="T2341">
        <f t="shared" si="36"/>
        <v>0</v>
      </c>
    </row>
    <row r="2342" spans="1:20">
      <c r="A2342" s="4">
        <v>45617</v>
      </c>
      <c r="B2342">
        <v>2024</v>
      </c>
      <c r="C2342">
        <v>11</v>
      </c>
      <c r="D2342" s="5" t="s">
        <v>54</v>
      </c>
      <c r="E2342" s="5" t="s">
        <v>70</v>
      </c>
      <c r="F2342" s="5" t="s">
        <v>71</v>
      </c>
      <c r="G2342" s="5" t="s">
        <v>72</v>
      </c>
      <c r="H2342" s="5" t="s">
        <v>57</v>
      </c>
      <c r="I2342" s="5" t="s">
        <v>58</v>
      </c>
      <c r="J2342" s="5" t="s">
        <v>59</v>
      </c>
      <c r="K2342">
        <v>26</v>
      </c>
      <c r="L2342">
        <v>1401123</v>
      </c>
      <c r="M2342" s="26">
        <v>36429198</v>
      </c>
      <c r="N2342">
        <v>28015</v>
      </c>
      <c r="O2342" s="26">
        <v>4982077.2</v>
      </c>
      <c r="P2342" s="5" t="s">
        <v>42</v>
      </c>
      <c r="Q2342" s="5" t="s">
        <v>43</v>
      </c>
      <c r="R2342">
        <v>4.9000000000000004</v>
      </c>
      <c r="S2342">
        <v>18</v>
      </c>
      <c r="T2342">
        <f t="shared" si="36"/>
        <v>1</v>
      </c>
    </row>
    <row r="2343" spans="1:20">
      <c r="A2343" s="4">
        <v>45622</v>
      </c>
      <c r="B2343">
        <v>2024</v>
      </c>
      <c r="C2343">
        <v>11</v>
      </c>
      <c r="D2343" s="5" t="s">
        <v>35</v>
      </c>
      <c r="E2343" s="5" t="s">
        <v>36</v>
      </c>
      <c r="F2343" s="5" t="s">
        <v>37</v>
      </c>
      <c r="G2343" s="5" t="s">
        <v>38</v>
      </c>
      <c r="H2343" s="5" t="s">
        <v>39</v>
      </c>
      <c r="I2343" s="5" t="s">
        <v>40</v>
      </c>
      <c r="J2343" s="5" t="s">
        <v>41</v>
      </c>
      <c r="K2343">
        <v>17</v>
      </c>
      <c r="L2343">
        <v>565409</v>
      </c>
      <c r="M2343" s="26">
        <v>9611953</v>
      </c>
      <c r="N2343">
        <v>23190</v>
      </c>
      <c r="O2343" s="26">
        <v>1535470.93</v>
      </c>
      <c r="P2343" s="5" t="s">
        <v>42</v>
      </c>
      <c r="Q2343" s="5" t="s">
        <v>75</v>
      </c>
      <c r="R2343">
        <v>3.9</v>
      </c>
      <c r="S2343">
        <v>12</v>
      </c>
      <c r="T2343">
        <f t="shared" si="36"/>
        <v>1</v>
      </c>
    </row>
    <row r="2344" spans="1:20">
      <c r="A2344" s="4">
        <v>45609</v>
      </c>
      <c r="B2344">
        <v>2024</v>
      </c>
      <c r="C2344">
        <v>11</v>
      </c>
      <c r="D2344" s="5" t="s">
        <v>44</v>
      </c>
      <c r="E2344" s="5" t="s">
        <v>45</v>
      </c>
      <c r="F2344" s="5" t="s">
        <v>46</v>
      </c>
      <c r="G2344" s="5" t="s">
        <v>47</v>
      </c>
      <c r="H2344" s="5" t="s">
        <v>86</v>
      </c>
      <c r="I2344" s="5" t="s">
        <v>40</v>
      </c>
      <c r="J2344" s="5" t="s">
        <v>41</v>
      </c>
      <c r="K2344">
        <v>49</v>
      </c>
      <c r="L2344">
        <v>579518</v>
      </c>
      <c r="M2344" s="26">
        <v>28396382</v>
      </c>
      <c r="N2344">
        <v>18051</v>
      </c>
      <c r="O2344" s="26">
        <v>4470837.3</v>
      </c>
      <c r="P2344" s="5" t="s">
        <v>42</v>
      </c>
      <c r="Q2344" s="5" t="s">
        <v>75</v>
      </c>
      <c r="R2344">
        <v>4.2</v>
      </c>
      <c r="S2344">
        <v>16</v>
      </c>
      <c r="T2344">
        <f t="shared" si="36"/>
        <v>1</v>
      </c>
    </row>
    <row r="2345" spans="1:20">
      <c r="A2345" s="4">
        <v>45600</v>
      </c>
      <c r="B2345">
        <v>2024</v>
      </c>
      <c r="C2345">
        <v>11</v>
      </c>
      <c r="D2345" s="5" t="s">
        <v>44</v>
      </c>
      <c r="E2345" s="5" t="s">
        <v>82</v>
      </c>
      <c r="F2345" s="5" t="s">
        <v>83</v>
      </c>
      <c r="G2345" s="5" t="s">
        <v>84</v>
      </c>
      <c r="H2345" s="5" t="s">
        <v>65</v>
      </c>
      <c r="I2345" s="5" t="s">
        <v>53</v>
      </c>
      <c r="J2345" s="5" t="s">
        <v>49</v>
      </c>
      <c r="K2345">
        <v>58</v>
      </c>
      <c r="L2345">
        <v>1251327</v>
      </c>
      <c r="M2345" s="26">
        <v>72576966</v>
      </c>
      <c r="N2345">
        <v>25745</v>
      </c>
      <c r="O2345" s="26">
        <v>10235514.029999999</v>
      </c>
      <c r="P2345" s="5" t="s">
        <v>42</v>
      </c>
      <c r="Q2345" s="5" t="s">
        <v>43</v>
      </c>
      <c r="R2345">
        <v>4</v>
      </c>
      <c r="S2345">
        <v>13</v>
      </c>
      <c r="T2345">
        <f t="shared" si="36"/>
        <v>1</v>
      </c>
    </row>
    <row r="2346" spans="1:20">
      <c r="A2346" s="4">
        <v>45611</v>
      </c>
      <c r="B2346">
        <v>2024</v>
      </c>
      <c r="C2346">
        <v>11</v>
      </c>
      <c r="D2346" s="5" t="s">
        <v>54</v>
      </c>
      <c r="E2346" s="5" t="s">
        <v>55</v>
      </c>
      <c r="F2346" s="5" t="s">
        <v>55</v>
      </c>
      <c r="G2346" s="5" t="s">
        <v>56</v>
      </c>
      <c r="H2346" s="5" t="s">
        <v>80</v>
      </c>
      <c r="I2346" s="5" t="s">
        <v>81</v>
      </c>
      <c r="J2346" s="5" t="s">
        <v>41</v>
      </c>
      <c r="K2346">
        <v>9</v>
      </c>
      <c r="L2346">
        <v>560434</v>
      </c>
      <c r="M2346" s="26">
        <v>5043906</v>
      </c>
      <c r="N2346">
        <v>39832</v>
      </c>
      <c r="O2346" s="26">
        <v>536750.86</v>
      </c>
      <c r="P2346" s="5" t="s">
        <v>42</v>
      </c>
      <c r="Q2346" s="5" t="s">
        <v>43</v>
      </c>
      <c r="R2346">
        <v>3.5</v>
      </c>
      <c r="S2346">
        <v>19</v>
      </c>
      <c r="T2346">
        <f t="shared" si="36"/>
        <v>1</v>
      </c>
    </row>
    <row r="2347" spans="1:20">
      <c r="A2347" s="4">
        <v>45608</v>
      </c>
      <c r="B2347">
        <v>2024</v>
      </c>
      <c r="C2347">
        <v>11</v>
      </c>
      <c r="D2347" s="5" t="s">
        <v>54</v>
      </c>
      <c r="E2347" s="5" t="s">
        <v>70</v>
      </c>
      <c r="F2347" s="5" t="s">
        <v>71</v>
      </c>
      <c r="G2347" s="5" t="s">
        <v>72</v>
      </c>
      <c r="H2347" s="5" t="s">
        <v>79</v>
      </c>
      <c r="I2347" s="5" t="s">
        <v>58</v>
      </c>
      <c r="J2347" s="5" t="s">
        <v>49</v>
      </c>
      <c r="K2347">
        <v>17</v>
      </c>
      <c r="L2347">
        <v>914168</v>
      </c>
      <c r="M2347" s="26">
        <v>15540856</v>
      </c>
      <c r="N2347">
        <v>30573</v>
      </c>
      <c r="O2347" s="26">
        <v>2137693.77</v>
      </c>
      <c r="P2347" s="5" t="s">
        <v>50</v>
      </c>
      <c r="Q2347" s="5" t="s">
        <v>43</v>
      </c>
      <c r="R2347">
        <v>4.7</v>
      </c>
      <c r="S2347">
        <v>10</v>
      </c>
      <c r="T2347">
        <f t="shared" si="36"/>
        <v>0</v>
      </c>
    </row>
    <row r="2348" spans="1:20">
      <c r="A2348" s="4">
        <v>45623</v>
      </c>
      <c r="B2348">
        <v>2024</v>
      </c>
      <c r="C2348">
        <v>11</v>
      </c>
      <c r="D2348" s="5" t="s">
        <v>54</v>
      </c>
      <c r="E2348" s="5" t="s">
        <v>70</v>
      </c>
      <c r="F2348" s="5" t="s">
        <v>71</v>
      </c>
      <c r="G2348" s="5" t="s">
        <v>72</v>
      </c>
      <c r="H2348" s="5" t="s">
        <v>86</v>
      </c>
      <c r="I2348" s="5" t="s">
        <v>40</v>
      </c>
      <c r="J2348" s="5" t="s">
        <v>41</v>
      </c>
      <c r="K2348">
        <v>5</v>
      </c>
      <c r="L2348">
        <v>608652</v>
      </c>
      <c r="M2348" s="26">
        <v>3043260</v>
      </c>
      <c r="N2348">
        <v>21884</v>
      </c>
      <c r="O2348" s="26">
        <v>368465.08</v>
      </c>
      <c r="P2348" s="5" t="s">
        <v>42</v>
      </c>
      <c r="Q2348" s="5" t="s">
        <v>51</v>
      </c>
      <c r="R2348">
        <v>4.7</v>
      </c>
      <c r="S2348">
        <v>20</v>
      </c>
      <c r="T2348">
        <f t="shared" si="36"/>
        <v>1</v>
      </c>
    </row>
    <row r="2349" spans="1:20">
      <c r="A2349" s="4">
        <v>45609</v>
      </c>
      <c r="B2349">
        <v>2024</v>
      </c>
      <c r="C2349">
        <v>11</v>
      </c>
      <c r="D2349" s="5" t="s">
        <v>35</v>
      </c>
      <c r="E2349" s="5" t="s">
        <v>36</v>
      </c>
      <c r="F2349" s="5" t="s">
        <v>37</v>
      </c>
      <c r="G2349" s="5" t="s">
        <v>38</v>
      </c>
      <c r="H2349" s="5" t="s">
        <v>79</v>
      </c>
      <c r="I2349" s="5" t="s">
        <v>58</v>
      </c>
      <c r="J2349" s="5" t="s">
        <v>49</v>
      </c>
      <c r="K2349">
        <v>7</v>
      </c>
      <c r="L2349">
        <v>889911</v>
      </c>
      <c r="M2349" s="26">
        <v>6229377</v>
      </c>
      <c r="N2349">
        <v>13891</v>
      </c>
      <c r="O2349" s="26">
        <v>966627.61</v>
      </c>
      <c r="P2349" s="5" t="s">
        <v>42</v>
      </c>
      <c r="Q2349" s="5" t="s">
        <v>75</v>
      </c>
      <c r="R2349">
        <v>4</v>
      </c>
      <c r="S2349">
        <v>15</v>
      </c>
      <c r="T2349">
        <f t="shared" si="36"/>
        <v>1</v>
      </c>
    </row>
    <row r="2350" spans="1:20">
      <c r="A2350" s="4">
        <v>45605</v>
      </c>
      <c r="B2350">
        <v>2024</v>
      </c>
      <c r="C2350">
        <v>11</v>
      </c>
      <c r="D2350" s="5" t="s">
        <v>44</v>
      </c>
      <c r="E2350" s="5" t="s">
        <v>82</v>
      </c>
      <c r="F2350" s="5" t="s">
        <v>83</v>
      </c>
      <c r="G2350" s="5" t="s">
        <v>84</v>
      </c>
      <c r="H2350" s="5" t="s">
        <v>79</v>
      </c>
      <c r="I2350" s="5" t="s">
        <v>58</v>
      </c>
      <c r="J2350" s="5" t="s">
        <v>49</v>
      </c>
      <c r="K2350">
        <v>9</v>
      </c>
      <c r="L2350">
        <v>913405</v>
      </c>
      <c r="M2350" s="26">
        <v>8220645</v>
      </c>
      <c r="N2350">
        <v>41279</v>
      </c>
      <c r="O2350" s="26">
        <v>1307280.45</v>
      </c>
      <c r="P2350" s="5" t="s">
        <v>42</v>
      </c>
      <c r="Q2350" s="5" t="s">
        <v>43</v>
      </c>
      <c r="R2350">
        <v>3.5</v>
      </c>
      <c r="S2350">
        <v>4</v>
      </c>
      <c r="T2350">
        <f t="shared" si="36"/>
        <v>1</v>
      </c>
    </row>
    <row r="2351" spans="1:20">
      <c r="A2351" s="4">
        <v>45602</v>
      </c>
      <c r="B2351">
        <v>2024</v>
      </c>
      <c r="C2351">
        <v>11</v>
      </c>
      <c r="D2351" s="5" t="s">
        <v>35</v>
      </c>
      <c r="E2351" s="5" t="s">
        <v>60</v>
      </c>
      <c r="F2351" s="5" t="s">
        <v>61</v>
      </c>
      <c r="G2351" s="5" t="s">
        <v>62</v>
      </c>
      <c r="H2351" s="5" t="s">
        <v>86</v>
      </c>
      <c r="I2351" s="5" t="s">
        <v>40</v>
      </c>
      <c r="J2351" s="5" t="s">
        <v>41</v>
      </c>
      <c r="K2351">
        <v>11</v>
      </c>
      <c r="L2351">
        <v>619777</v>
      </c>
      <c r="M2351" s="26">
        <v>6817547</v>
      </c>
      <c r="N2351">
        <v>43210</v>
      </c>
      <c r="O2351" s="26">
        <v>642973.93999999994</v>
      </c>
      <c r="P2351" s="5" t="s">
        <v>50</v>
      </c>
      <c r="Q2351" s="5" t="s">
        <v>51</v>
      </c>
      <c r="R2351">
        <v>3.9</v>
      </c>
      <c r="S2351">
        <v>3</v>
      </c>
      <c r="T2351">
        <f t="shared" si="36"/>
        <v>0</v>
      </c>
    </row>
    <row r="2352" spans="1:20">
      <c r="A2352" s="4">
        <v>45653</v>
      </c>
      <c r="B2352">
        <v>2024</v>
      </c>
      <c r="C2352">
        <v>12</v>
      </c>
      <c r="D2352" s="5" t="s">
        <v>54</v>
      </c>
      <c r="E2352" s="5" t="s">
        <v>70</v>
      </c>
      <c r="F2352" s="5" t="s">
        <v>71</v>
      </c>
      <c r="G2352" s="5" t="s">
        <v>72</v>
      </c>
      <c r="H2352" s="5" t="s">
        <v>63</v>
      </c>
      <c r="I2352" s="5" t="s">
        <v>64</v>
      </c>
      <c r="J2352" s="5" t="s">
        <v>41</v>
      </c>
      <c r="K2352">
        <v>41</v>
      </c>
      <c r="L2352">
        <v>772788</v>
      </c>
      <c r="M2352" s="26">
        <v>31684308</v>
      </c>
      <c r="N2352">
        <v>44028</v>
      </c>
      <c r="O2352" s="26">
        <v>3243251.24</v>
      </c>
      <c r="P2352" s="5" t="s">
        <v>50</v>
      </c>
      <c r="Q2352" s="5" t="s">
        <v>43</v>
      </c>
      <c r="R2352">
        <v>3.9</v>
      </c>
      <c r="S2352">
        <v>4</v>
      </c>
      <c r="T2352">
        <f t="shared" si="36"/>
        <v>0</v>
      </c>
    </row>
    <row r="2353" spans="1:20">
      <c r="A2353" s="4">
        <v>45634</v>
      </c>
      <c r="B2353">
        <v>2024</v>
      </c>
      <c r="C2353">
        <v>12</v>
      </c>
      <c r="D2353" s="5" t="s">
        <v>35</v>
      </c>
      <c r="E2353" s="5" t="s">
        <v>36</v>
      </c>
      <c r="F2353" s="5" t="s">
        <v>37</v>
      </c>
      <c r="G2353" s="5" t="s">
        <v>38</v>
      </c>
      <c r="H2353" s="5" t="s">
        <v>52</v>
      </c>
      <c r="I2353" s="5" t="s">
        <v>53</v>
      </c>
      <c r="J2353" s="5" t="s">
        <v>41</v>
      </c>
      <c r="K2353">
        <v>33</v>
      </c>
      <c r="L2353">
        <v>958078</v>
      </c>
      <c r="M2353" s="26">
        <v>31616574</v>
      </c>
      <c r="N2353">
        <v>44298</v>
      </c>
      <c r="O2353" s="26">
        <v>2865421.04</v>
      </c>
      <c r="P2353" s="5" t="s">
        <v>50</v>
      </c>
      <c r="Q2353" s="5" t="s">
        <v>43</v>
      </c>
      <c r="R2353">
        <v>4.9000000000000004</v>
      </c>
      <c r="S2353">
        <v>21</v>
      </c>
      <c r="T2353">
        <f t="shared" si="36"/>
        <v>0</v>
      </c>
    </row>
    <row r="2354" spans="1:20">
      <c r="A2354" s="4">
        <v>45628</v>
      </c>
      <c r="B2354">
        <v>2024</v>
      </c>
      <c r="C2354">
        <v>12</v>
      </c>
      <c r="D2354" s="5" t="s">
        <v>54</v>
      </c>
      <c r="E2354" s="5" t="s">
        <v>55</v>
      </c>
      <c r="F2354" s="5" t="s">
        <v>55</v>
      </c>
      <c r="G2354" s="5" t="s">
        <v>56</v>
      </c>
      <c r="H2354" s="5" t="s">
        <v>63</v>
      </c>
      <c r="I2354" s="5" t="s">
        <v>64</v>
      </c>
      <c r="J2354" s="5" t="s">
        <v>41</v>
      </c>
      <c r="K2354">
        <v>38</v>
      </c>
      <c r="L2354">
        <v>761042</v>
      </c>
      <c r="M2354" s="26">
        <v>28919596</v>
      </c>
      <c r="N2354">
        <v>13842</v>
      </c>
      <c r="O2354" s="26">
        <v>3780888.63</v>
      </c>
      <c r="P2354" s="5" t="s">
        <v>42</v>
      </c>
      <c r="Q2354" s="5" t="s">
        <v>43</v>
      </c>
      <c r="R2354">
        <v>4.7</v>
      </c>
      <c r="S2354">
        <v>2</v>
      </c>
      <c r="T2354">
        <f t="shared" si="36"/>
        <v>1</v>
      </c>
    </row>
    <row r="2355" spans="1:20">
      <c r="A2355" s="4">
        <v>45644</v>
      </c>
      <c r="B2355">
        <v>2024</v>
      </c>
      <c r="C2355">
        <v>12</v>
      </c>
      <c r="D2355" s="5" t="s">
        <v>35</v>
      </c>
      <c r="E2355" s="5" t="s">
        <v>60</v>
      </c>
      <c r="F2355" s="5" t="s">
        <v>61</v>
      </c>
      <c r="G2355" s="5" t="s">
        <v>62</v>
      </c>
      <c r="H2355" s="5" t="s">
        <v>80</v>
      </c>
      <c r="I2355" s="5" t="s">
        <v>81</v>
      </c>
      <c r="J2355" s="5" t="s">
        <v>41</v>
      </c>
      <c r="K2355">
        <v>59</v>
      </c>
      <c r="L2355">
        <v>562631</v>
      </c>
      <c r="M2355" s="26">
        <v>33195229</v>
      </c>
      <c r="N2355">
        <v>34845</v>
      </c>
      <c r="O2355" s="26">
        <v>5236300.46</v>
      </c>
      <c r="P2355" s="5" t="s">
        <v>42</v>
      </c>
      <c r="Q2355" s="5" t="s">
        <v>51</v>
      </c>
      <c r="R2355">
        <v>4.5999999999999996</v>
      </c>
      <c r="S2355">
        <v>21</v>
      </c>
      <c r="T2355">
        <f t="shared" si="36"/>
        <v>1</v>
      </c>
    </row>
    <row r="2356" spans="1:20">
      <c r="A2356" s="4">
        <v>45643</v>
      </c>
      <c r="B2356">
        <v>2024</v>
      </c>
      <c r="C2356">
        <v>12</v>
      </c>
      <c r="D2356" s="5" t="s">
        <v>54</v>
      </c>
      <c r="E2356" s="5" t="s">
        <v>70</v>
      </c>
      <c r="F2356" s="5" t="s">
        <v>71</v>
      </c>
      <c r="G2356" s="5" t="s">
        <v>72</v>
      </c>
      <c r="H2356" s="5" t="s">
        <v>80</v>
      </c>
      <c r="I2356" s="5" t="s">
        <v>81</v>
      </c>
      <c r="J2356" s="5" t="s">
        <v>41</v>
      </c>
      <c r="K2356">
        <v>60</v>
      </c>
      <c r="L2356">
        <v>530343</v>
      </c>
      <c r="M2356" s="26">
        <v>31820580</v>
      </c>
      <c r="N2356">
        <v>43462</v>
      </c>
      <c r="O2356" s="26">
        <v>5037736.63</v>
      </c>
      <c r="P2356" s="5" t="s">
        <v>42</v>
      </c>
      <c r="Q2356" s="5" t="s">
        <v>43</v>
      </c>
      <c r="R2356">
        <v>4.5</v>
      </c>
      <c r="S2356">
        <v>19</v>
      </c>
      <c r="T2356">
        <f t="shared" si="36"/>
        <v>1</v>
      </c>
    </row>
    <row r="2357" spans="1:20">
      <c r="A2357" s="4">
        <v>45654</v>
      </c>
      <c r="B2357">
        <v>2024</v>
      </c>
      <c r="C2357">
        <v>12</v>
      </c>
      <c r="D2357" s="5" t="s">
        <v>66</v>
      </c>
      <c r="E2357" s="5" t="s">
        <v>67</v>
      </c>
      <c r="F2357" s="5" t="s">
        <v>68</v>
      </c>
      <c r="G2357" s="5" t="s">
        <v>69</v>
      </c>
      <c r="H2357" s="5" t="s">
        <v>48</v>
      </c>
      <c r="I2357" s="5" t="s">
        <v>40</v>
      </c>
      <c r="J2357" s="5" t="s">
        <v>49</v>
      </c>
      <c r="K2357">
        <v>58</v>
      </c>
      <c r="L2357">
        <v>466852</v>
      </c>
      <c r="M2357" s="26">
        <v>27077416</v>
      </c>
      <c r="N2357">
        <v>39754</v>
      </c>
      <c r="O2357" s="26">
        <v>2803006.43</v>
      </c>
      <c r="P2357" s="5" t="s">
        <v>50</v>
      </c>
      <c r="Q2357" s="5" t="s">
        <v>75</v>
      </c>
      <c r="R2357">
        <v>4.2</v>
      </c>
      <c r="S2357">
        <v>11</v>
      </c>
      <c r="T2357">
        <f t="shared" si="36"/>
        <v>0</v>
      </c>
    </row>
    <row r="2358" spans="1:20">
      <c r="A2358" s="4">
        <v>45641</v>
      </c>
      <c r="B2358">
        <v>2024</v>
      </c>
      <c r="C2358">
        <v>12</v>
      </c>
      <c r="D2358" s="5" t="s">
        <v>35</v>
      </c>
      <c r="E2358" s="5" t="s">
        <v>36</v>
      </c>
      <c r="F2358" s="5" t="s">
        <v>37</v>
      </c>
      <c r="G2358" s="5" t="s">
        <v>38</v>
      </c>
      <c r="H2358" s="5" t="s">
        <v>65</v>
      </c>
      <c r="I2358" s="5" t="s">
        <v>53</v>
      </c>
      <c r="J2358" s="5" t="s">
        <v>49</v>
      </c>
      <c r="K2358">
        <v>8</v>
      </c>
      <c r="L2358">
        <v>1224450</v>
      </c>
      <c r="M2358" s="26">
        <v>9795600</v>
      </c>
      <c r="N2358">
        <v>8041</v>
      </c>
      <c r="O2358" s="26">
        <v>1088819.24</v>
      </c>
      <c r="P2358" s="5" t="s">
        <v>42</v>
      </c>
      <c r="Q2358" s="5" t="s">
        <v>43</v>
      </c>
      <c r="R2358">
        <v>4.8</v>
      </c>
      <c r="S2358">
        <v>21</v>
      </c>
      <c r="T2358">
        <f t="shared" si="36"/>
        <v>1</v>
      </c>
    </row>
    <row r="2359" spans="1:20">
      <c r="A2359" s="4">
        <v>45628</v>
      </c>
      <c r="B2359">
        <v>2024</v>
      </c>
      <c r="C2359">
        <v>12</v>
      </c>
      <c r="D2359" s="5" t="s">
        <v>44</v>
      </c>
      <c r="E2359" s="5" t="s">
        <v>45</v>
      </c>
      <c r="F2359" s="5" t="s">
        <v>46</v>
      </c>
      <c r="G2359" s="5" t="s">
        <v>47</v>
      </c>
      <c r="H2359" s="5" t="s">
        <v>39</v>
      </c>
      <c r="I2359" s="5" t="s">
        <v>40</v>
      </c>
      <c r="J2359" s="5" t="s">
        <v>41</v>
      </c>
      <c r="K2359">
        <v>25</v>
      </c>
      <c r="L2359">
        <v>574338</v>
      </c>
      <c r="M2359" s="26">
        <v>14358450</v>
      </c>
      <c r="N2359">
        <v>30370</v>
      </c>
      <c r="O2359" s="26">
        <v>1188423.74</v>
      </c>
      <c r="P2359" s="5" t="s">
        <v>50</v>
      </c>
      <c r="Q2359" s="5" t="s">
        <v>75</v>
      </c>
      <c r="R2359">
        <v>4.3</v>
      </c>
      <c r="S2359">
        <v>6</v>
      </c>
      <c r="T2359">
        <f t="shared" si="36"/>
        <v>0</v>
      </c>
    </row>
    <row r="2360" spans="1:20">
      <c r="A2360" s="4">
        <v>45628</v>
      </c>
      <c r="B2360">
        <v>2024</v>
      </c>
      <c r="C2360">
        <v>12</v>
      </c>
      <c r="D2360" s="5" t="s">
        <v>35</v>
      </c>
      <c r="E2360" s="5" t="s">
        <v>36</v>
      </c>
      <c r="F2360" s="5" t="s">
        <v>37</v>
      </c>
      <c r="G2360" s="5" t="s">
        <v>38</v>
      </c>
      <c r="H2360" s="5" t="s">
        <v>74</v>
      </c>
      <c r="I2360" s="5" t="s">
        <v>40</v>
      </c>
      <c r="J2360" s="5" t="s">
        <v>49</v>
      </c>
      <c r="K2360">
        <v>6</v>
      </c>
      <c r="L2360">
        <v>638511</v>
      </c>
      <c r="M2360" s="26">
        <v>3831066</v>
      </c>
      <c r="N2360">
        <v>18952</v>
      </c>
      <c r="O2360" s="26">
        <v>358768.58</v>
      </c>
      <c r="P2360" s="5" t="s">
        <v>50</v>
      </c>
      <c r="Q2360" s="5" t="s">
        <v>51</v>
      </c>
      <c r="R2360">
        <v>3.8</v>
      </c>
      <c r="S2360">
        <v>12</v>
      </c>
      <c r="T2360">
        <f t="shared" si="36"/>
        <v>0</v>
      </c>
    </row>
    <row r="2361" spans="1:20">
      <c r="A2361" s="4">
        <v>45628</v>
      </c>
      <c r="B2361">
        <v>2024</v>
      </c>
      <c r="C2361">
        <v>12</v>
      </c>
      <c r="D2361" s="5" t="s">
        <v>54</v>
      </c>
      <c r="E2361" s="5" t="s">
        <v>70</v>
      </c>
      <c r="F2361" s="5" t="s">
        <v>71</v>
      </c>
      <c r="G2361" s="5" t="s">
        <v>72</v>
      </c>
      <c r="H2361" s="5" t="s">
        <v>80</v>
      </c>
      <c r="I2361" s="5" t="s">
        <v>81</v>
      </c>
      <c r="J2361" s="5" t="s">
        <v>41</v>
      </c>
      <c r="K2361">
        <v>33</v>
      </c>
      <c r="L2361">
        <v>528936</v>
      </c>
      <c r="M2361" s="26">
        <v>17454888</v>
      </c>
      <c r="N2361">
        <v>45223</v>
      </c>
      <c r="O2361" s="26">
        <v>2111044.42</v>
      </c>
      <c r="P2361" s="5" t="s">
        <v>50</v>
      </c>
      <c r="Q2361" s="5" t="s">
        <v>51</v>
      </c>
      <c r="R2361">
        <v>4.4000000000000004</v>
      </c>
      <c r="S2361">
        <v>9</v>
      </c>
      <c r="T2361">
        <f t="shared" si="36"/>
        <v>0</v>
      </c>
    </row>
    <row r="2362" spans="1:20">
      <c r="A2362" s="4">
        <v>45634</v>
      </c>
      <c r="B2362">
        <v>2024</v>
      </c>
      <c r="C2362">
        <v>12</v>
      </c>
      <c r="D2362" s="5" t="s">
        <v>44</v>
      </c>
      <c r="E2362" s="5" t="s">
        <v>45</v>
      </c>
      <c r="F2362" s="5" t="s">
        <v>46</v>
      </c>
      <c r="G2362" s="5" t="s">
        <v>47</v>
      </c>
      <c r="H2362" s="5" t="s">
        <v>57</v>
      </c>
      <c r="I2362" s="5" t="s">
        <v>58</v>
      </c>
      <c r="J2362" s="5" t="s">
        <v>59</v>
      </c>
      <c r="K2362">
        <v>23</v>
      </c>
      <c r="L2362">
        <v>1401406</v>
      </c>
      <c r="M2362" s="26">
        <v>32232338</v>
      </c>
      <c r="N2362">
        <v>6492</v>
      </c>
      <c r="O2362" s="26">
        <v>3918424.35</v>
      </c>
      <c r="P2362" s="5" t="s">
        <v>50</v>
      </c>
      <c r="Q2362" s="5" t="s">
        <v>51</v>
      </c>
      <c r="R2362">
        <v>4.7</v>
      </c>
      <c r="S2362">
        <v>21</v>
      </c>
      <c r="T2362">
        <f t="shared" si="36"/>
        <v>0</v>
      </c>
    </row>
    <row r="2363" spans="1:20">
      <c r="A2363" s="4">
        <v>45647</v>
      </c>
      <c r="B2363">
        <v>2024</v>
      </c>
      <c r="C2363">
        <v>12</v>
      </c>
      <c r="D2363" s="5" t="s">
        <v>35</v>
      </c>
      <c r="E2363" s="5" t="s">
        <v>60</v>
      </c>
      <c r="F2363" s="5" t="s">
        <v>61</v>
      </c>
      <c r="G2363" s="5" t="s">
        <v>62</v>
      </c>
      <c r="H2363" s="5" t="s">
        <v>57</v>
      </c>
      <c r="I2363" s="5" t="s">
        <v>58</v>
      </c>
      <c r="J2363" s="5" t="s">
        <v>59</v>
      </c>
      <c r="K2363">
        <v>43</v>
      </c>
      <c r="L2363">
        <v>1429244</v>
      </c>
      <c r="M2363" s="26">
        <v>61457492</v>
      </c>
      <c r="N2363">
        <v>8747</v>
      </c>
      <c r="O2363" s="26">
        <v>5612889.0800000001</v>
      </c>
      <c r="P2363" s="5" t="s">
        <v>50</v>
      </c>
      <c r="Q2363" s="5" t="s">
        <v>75</v>
      </c>
      <c r="R2363">
        <v>4</v>
      </c>
      <c r="S2363">
        <v>20</v>
      </c>
      <c r="T2363">
        <f t="shared" si="36"/>
        <v>0</v>
      </c>
    </row>
    <row r="2364" spans="1:20">
      <c r="A2364" s="4">
        <v>45631</v>
      </c>
      <c r="B2364">
        <v>2024</v>
      </c>
      <c r="C2364">
        <v>12</v>
      </c>
      <c r="D2364" s="5" t="s">
        <v>54</v>
      </c>
      <c r="E2364" s="5" t="s">
        <v>70</v>
      </c>
      <c r="F2364" s="5" t="s">
        <v>71</v>
      </c>
      <c r="G2364" s="5" t="s">
        <v>72</v>
      </c>
      <c r="H2364" s="5" t="s">
        <v>86</v>
      </c>
      <c r="I2364" s="5" t="s">
        <v>40</v>
      </c>
      <c r="J2364" s="5" t="s">
        <v>41</v>
      </c>
      <c r="K2364">
        <v>6</v>
      </c>
      <c r="L2364">
        <v>572230</v>
      </c>
      <c r="M2364" s="26">
        <v>3433380</v>
      </c>
      <c r="N2364">
        <v>40427</v>
      </c>
      <c r="O2364" s="26">
        <v>476072.99</v>
      </c>
      <c r="P2364" s="5" t="s">
        <v>50</v>
      </c>
      <c r="Q2364" s="5" t="s">
        <v>75</v>
      </c>
      <c r="R2364">
        <v>3.7</v>
      </c>
      <c r="S2364">
        <v>19</v>
      </c>
      <c r="T2364">
        <f t="shared" si="36"/>
        <v>0</v>
      </c>
    </row>
    <row r="2365" spans="1:20">
      <c r="A2365" s="4">
        <v>45642</v>
      </c>
      <c r="B2365">
        <v>2024</v>
      </c>
      <c r="C2365">
        <v>12</v>
      </c>
      <c r="D2365" s="5" t="s">
        <v>66</v>
      </c>
      <c r="E2365" s="5" t="s">
        <v>67</v>
      </c>
      <c r="F2365" s="5" t="s">
        <v>68</v>
      </c>
      <c r="G2365" s="5" t="s">
        <v>69</v>
      </c>
      <c r="H2365" s="5" t="s">
        <v>52</v>
      </c>
      <c r="I2365" s="5" t="s">
        <v>53</v>
      </c>
      <c r="J2365" s="5" t="s">
        <v>41</v>
      </c>
      <c r="K2365">
        <v>26</v>
      </c>
      <c r="L2365">
        <v>929720</v>
      </c>
      <c r="M2365" s="26">
        <v>24172720</v>
      </c>
      <c r="N2365">
        <v>6927</v>
      </c>
      <c r="O2365" s="26">
        <v>3477368.46</v>
      </c>
      <c r="P2365" s="5" t="s">
        <v>42</v>
      </c>
      <c r="Q2365" s="5" t="s">
        <v>75</v>
      </c>
      <c r="R2365">
        <v>3.8</v>
      </c>
      <c r="S2365">
        <v>21</v>
      </c>
      <c r="T2365">
        <f t="shared" si="36"/>
        <v>1</v>
      </c>
    </row>
    <row r="2366" spans="1:20">
      <c r="A2366" s="4">
        <v>45644</v>
      </c>
      <c r="B2366">
        <v>2024</v>
      </c>
      <c r="C2366">
        <v>12</v>
      </c>
      <c r="D2366" s="5" t="s">
        <v>44</v>
      </c>
      <c r="E2366" s="5" t="s">
        <v>45</v>
      </c>
      <c r="F2366" s="5" t="s">
        <v>46</v>
      </c>
      <c r="G2366" s="5" t="s">
        <v>47</v>
      </c>
      <c r="H2366" s="5" t="s">
        <v>65</v>
      </c>
      <c r="I2366" s="5" t="s">
        <v>53</v>
      </c>
      <c r="J2366" s="5" t="s">
        <v>49</v>
      </c>
      <c r="K2366">
        <v>9</v>
      </c>
      <c r="L2366">
        <v>1233460</v>
      </c>
      <c r="M2366" s="26">
        <v>11101140</v>
      </c>
      <c r="N2366">
        <v>23983</v>
      </c>
      <c r="O2366" s="26">
        <v>1721246.98</v>
      </c>
      <c r="P2366" s="5" t="s">
        <v>50</v>
      </c>
      <c r="Q2366" s="5" t="s">
        <v>43</v>
      </c>
      <c r="R2366">
        <v>3.6</v>
      </c>
      <c r="S2366">
        <v>17</v>
      </c>
      <c r="T2366">
        <f t="shared" si="36"/>
        <v>0</v>
      </c>
    </row>
    <row r="2367" spans="1:20">
      <c r="A2367" s="4">
        <v>45651</v>
      </c>
      <c r="B2367">
        <v>2024</v>
      </c>
      <c r="C2367">
        <v>12</v>
      </c>
      <c r="D2367" s="5" t="s">
        <v>35</v>
      </c>
      <c r="E2367" s="5" t="s">
        <v>60</v>
      </c>
      <c r="F2367" s="5" t="s">
        <v>61</v>
      </c>
      <c r="G2367" s="5" t="s">
        <v>62</v>
      </c>
      <c r="H2367" s="5" t="s">
        <v>39</v>
      </c>
      <c r="I2367" s="5" t="s">
        <v>40</v>
      </c>
      <c r="J2367" s="5" t="s">
        <v>41</v>
      </c>
      <c r="K2367">
        <v>9</v>
      </c>
      <c r="L2367">
        <v>562232</v>
      </c>
      <c r="M2367" s="26">
        <v>5060088</v>
      </c>
      <c r="N2367">
        <v>13363</v>
      </c>
      <c r="O2367" s="26">
        <v>679439.8</v>
      </c>
      <c r="P2367" s="5" t="s">
        <v>42</v>
      </c>
      <c r="Q2367" s="5" t="s">
        <v>43</v>
      </c>
      <c r="R2367">
        <v>3.9</v>
      </c>
      <c r="S2367">
        <v>14</v>
      </c>
      <c r="T2367">
        <f t="shared" si="36"/>
        <v>1</v>
      </c>
    </row>
    <row r="2368" spans="1:20">
      <c r="A2368" s="4">
        <v>45627</v>
      </c>
      <c r="B2368">
        <v>2024</v>
      </c>
      <c r="C2368">
        <v>12</v>
      </c>
      <c r="D2368" s="5" t="s">
        <v>35</v>
      </c>
      <c r="E2368" s="5" t="s">
        <v>76</v>
      </c>
      <c r="F2368" s="5" t="s">
        <v>77</v>
      </c>
      <c r="G2368" s="5" t="s">
        <v>78</v>
      </c>
      <c r="H2368" s="5" t="s">
        <v>65</v>
      </c>
      <c r="I2368" s="5" t="s">
        <v>53</v>
      </c>
      <c r="J2368" s="5" t="s">
        <v>49</v>
      </c>
      <c r="K2368">
        <v>36</v>
      </c>
      <c r="L2368">
        <v>1272684</v>
      </c>
      <c r="M2368" s="26">
        <v>45816624</v>
      </c>
      <c r="N2368">
        <v>44243</v>
      </c>
      <c r="O2368" s="26">
        <v>6933269.3300000001</v>
      </c>
      <c r="P2368" s="5" t="s">
        <v>42</v>
      </c>
      <c r="Q2368" s="5" t="s">
        <v>75</v>
      </c>
      <c r="R2368">
        <v>3.9</v>
      </c>
      <c r="S2368">
        <v>20</v>
      </c>
      <c r="T2368">
        <f t="shared" si="36"/>
        <v>1</v>
      </c>
    </row>
    <row r="2369" spans="1:20">
      <c r="A2369" s="4">
        <v>45630</v>
      </c>
      <c r="B2369">
        <v>2024</v>
      </c>
      <c r="C2369">
        <v>12</v>
      </c>
      <c r="D2369" s="5" t="s">
        <v>66</v>
      </c>
      <c r="E2369" s="5" t="s">
        <v>67</v>
      </c>
      <c r="F2369" s="5" t="s">
        <v>68</v>
      </c>
      <c r="G2369" s="5" t="s">
        <v>69</v>
      </c>
      <c r="H2369" s="5" t="s">
        <v>73</v>
      </c>
      <c r="I2369" s="5" t="s">
        <v>40</v>
      </c>
      <c r="J2369" s="5" t="s">
        <v>49</v>
      </c>
      <c r="K2369">
        <v>25</v>
      </c>
      <c r="L2369">
        <v>728039</v>
      </c>
      <c r="M2369" s="26">
        <v>18200975</v>
      </c>
      <c r="N2369">
        <v>18730</v>
      </c>
      <c r="O2369" s="26">
        <v>2889061.63</v>
      </c>
      <c r="P2369" s="5" t="s">
        <v>50</v>
      </c>
      <c r="Q2369" s="5" t="s">
        <v>75</v>
      </c>
      <c r="R2369">
        <v>5</v>
      </c>
      <c r="S2369">
        <v>9</v>
      </c>
      <c r="T2369">
        <f t="shared" si="36"/>
        <v>0</v>
      </c>
    </row>
    <row r="2370" spans="1:20">
      <c r="A2370" s="4">
        <v>45646</v>
      </c>
      <c r="B2370">
        <v>2024</v>
      </c>
      <c r="C2370">
        <v>12</v>
      </c>
      <c r="D2370" s="5" t="s">
        <v>44</v>
      </c>
      <c r="E2370" s="5" t="s">
        <v>45</v>
      </c>
      <c r="F2370" s="5" t="s">
        <v>46</v>
      </c>
      <c r="G2370" s="5" t="s">
        <v>47</v>
      </c>
      <c r="H2370" s="5" t="s">
        <v>39</v>
      </c>
      <c r="I2370" s="5" t="s">
        <v>40</v>
      </c>
      <c r="J2370" s="5" t="s">
        <v>41</v>
      </c>
      <c r="K2370">
        <v>34</v>
      </c>
      <c r="L2370">
        <v>587478</v>
      </c>
      <c r="M2370" s="26">
        <v>19974252</v>
      </c>
      <c r="N2370">
        <v>17114</v>
      </c>
      <c r="O2370" s="26">
        <v>2705084.35</v>
      </c>
      <c r="P2370" s="5" t="s">
        <v>42</v>
      </c>
      <c r="Q2370" s="5" t="s">
        <v>51</v>
      </c>
      <c r="R2370">
        <v>3.7</v>
      </c>
      <c r="S2370">
        <v>9</v>
      </c>
      <c r="T2370">
        <f t="shared" ref="T2370:T2433" si="37">IF(AND(OR($B2370=Sel_Year,Sel_Year="All"),OR($C2370=Sel_Month,Sel_Month="All"),OR($D2370=Sel_Region,Sel_Region="All"),OR($E2370=Sel_State,Sel_State="All"),OR($F2370=Sel_City,Sel_City="All"),OR($G2370=Sel_Dealer,Sel_Dealer="All"),OR($H2370=Sel_Model,Sel_Model="All"),OR($I2370=Sel_Segment,Sel_Segment="All"),OR($J2370=Sel_Fuel,Sel_Fuel="All"),OR($P2370=Sel_CustType,Sel_CustType="All"),OR($Q2370=Sel_Payment,Sel_Payment="All")),1,0)</f>
        <v>1</v>
      </c>
    </row>
    <row r="2371" spans="1:20">
      <c r="A2371" s="4">
        <v>45638</v>
      </c>
      <c r="B2371">
        <v>2024</v>
      </c>
      <c r="C2371">
        <v>12</v>
      </c>
      <c r="D2371" s="5" t="s">
        <v>35</v>
      </c>
      <c r="E2371" s="5" t="s">
        <v>60</v>
      </c>
      <c r="F2371" s="5" t="s">
        <v>61</v>
      </c>
      <c r="G2371" s="5" t="s">
        <v>62</v>
      </c>
      <c r="H2371" s="5" t="s">
        <v>65</v>
      </c>
      <c r="I2371" s="5" t="s">
        <v>53</v>
      </c>
      <c r="J2371" s="5" t="s">
        <v>49</v>
      </c>
      <c r="K2371">
        <v>57</v>
      </c>
      <c r="L2371">
        <v>1244453</v>
      </c>
      <c r="M2371" s="26">
        <v>70933821</v>
      </c>
      <c r="N2371">
        <v>36769</v>
      </c>
      <c r="O2371" s="26">
        <v>8244136.9500000002</v>
      </c>
      <c r="P2371" s="5" t="s">
        <v>42</v>
      </c>
      <c r="Q2371" s="5" t="s">
        <v>51</v>
      </c>
      <c r="R2371">
        <v>3.7</v>
      </c>
      <c r="S2371">
        <v>14</v>
      </c>
      <c r="T2371">
        <f t="shared" si="37"/>
        <v>1</v>
      </c>
    </row>
    <row r="2372" spans="1:20">
      <c r="A2372" s="4">
        <v>45649</v>
      </c>
      <c r="B2372">
        <v>2024</v>
      </c>
      <c r="C2372">
        <v>12</v>
      </c>
      <c r="D2372" s="5" t="s">
        <v>35</v>
      </c>
      <c r="E2372" s="5" t="s">
        <v>36</v>
      </c>
      <c r="F2372" s="5" t="s">
        <v>37</v>
      </c>
      <c r="G2372" s="5" t="s">
        <v>38</v>
      </c>
      <c r="H2372" s="5" t="s">
        <v>86</v>
      </c>
      <c r="I2372" s="5" t="s">
        <v>40</v>
      </c>
      <c r="J2372" s="5" t="s">
        <v>41</v>
      </c>
      <c r="K2372">
        <v>29</v>
      </c>
      <c r="L2372">
        <v>594219</v>
      </c>
      <c r="M2372" s="26">
        <v>17232351</v>
      </c>
      <c r="N2372">
        <v>43891</v>
      </c>
      <c r="O2372" s="26">
        <v>1916619.92</v>
      </c>
      <c r="P2372" s="5" t="s">
        <v>42</v>
      </c>
      <c r="Q2372" s="5" t="s">
        <v>51</v>
      </c>
      <c r="R2372">
        <v>3.8</v>
      </c>
      <c r="S2372">
        <v>11</v>
      </c>
      <c r="T2372">
        <f t="shared" si="37"/>
        <v>1</v>
      </c>
    </row>
    <row r="2373" spans="1:20">
      <c r="A2373" s="4">
        <v>45639</v>
      </c>
      <c r="B2373">
        <v>2024</v>
      </c>
      <c r="C2373">
        <v>12</v>
      </c>
      <c r="D2373" s="5" t="s">
        <v>54</v>
      </c>
      <c r="E2373" s="5" t="s">
        <v>55</v>
      </c>
      <c r="F2373" s="5" t="s">
        <v>55</v>
      </c>
      <c r="G2373" s="5" t="s">
        <v>56</v>
      </c>
      <c r="H2373" s="5" t="s">
        <v>63</v>
      </c>
      <c r="I2373" s="5" t="s">
        <v>64</v>
      </c>
      <c r="J2373" s="5" t="s">
        <v>41</v>
      </c>
      <c r="K2373">
        <v>18</v>
      </c>
      <c r="L2373">
        <v>779808</v>
      </c>
      <c r="M2373" s="26">
        <v>14036544</v>
      </c>
      <c r="N2373">
        <v>24356</v>
      </c>
      <c r="O2373" s="26">
        <v>2062536.34</v>
      </c>
      <c r="P2373" s="5" t="s">
        <v>50</v>
      </c>
      <c r="Q2373" s="5" t="s">
        <v>43</v>
      </c>
      <c r="R2373">
        <v>3.7</v>
      </c>
      <c r="S2373">
        <v>10</v>
      </c>
      <c r="T2373">
        <f t="shared" si="37"/>
        <v>0</v>
      </c>
    </row>
    <row r="2374" spans="1:20">
      <c r="A2374" s="4">
        <v>45636</v>
      </c>
      <c r="B2374">
        <v>2024</v>
      </c>
      <c r="C2374">
        <v>12</v>
      </c>
      <c r="D2374" s="5" t="s">
        <v>35</v>
      </c>
      <c r="E2374" s="5" t="s">
        <v>36</v>
      </c>
      <c r="F2374" s="5" t="s">
        <v>37</v>
      </c>
      <c r="G2374" s="5" t="s">
        <v>38</v>
      </c>
      <c r="H2374" s="5" t="s">
        <v>57</v>
      </c>
      <c r="I2374" s="5" t="s">
        <v>58</v>
      </c>
      <c r="J2374" s="5" t="s">
        <v>59</v>
      </c>
      <c r="K2374">
        <v>23</v>
      </c>
      <c r="L2374">
        <v>1395708</v>
      </c>
      <c r="M2374" s="26">
        <v>32101284</v>
      </c>
      <c r="N2374">
        <v>6451</v>
      </c>
      <c r="O2374" s="26">
        <v>2977639.85</v>
      </c>
      <c r="P2374" s="5" t="s">
        <v>50</v>
      </c>
      <c r="Q2374" s="5" t="s">
        <v>43</v>
      </c>
      <c r="R2374">
        <v>4.7</v>
      </c>
      <c r="S2374">
        <v>13</v>
      </c>
      <c r="T2374">
        <f t="shared" si="37"/>
        <v>0</v>
      </c>
    </row>
    <row r="2375" spans="1:20">
      <c r="A2375" s="4">
        <v>45627</v>
      </c>
      <c r="B2375">
        <v>2024</v>
      </c>
      <c r="C2375">
        <v>12</v>
      </c>
      <c r="D2375" s="5" t="s">
        <v>35</v>
      </c>
      <c r="E2375" s="5" t="s">
        <v>76</v>
      </c>
      <c r="F2375" s="5" t="s">
        <v>77</v>
      </c>
      <c r="G2375" s="5" t="s">
        <v>78</v>
      </c>
      <c r="H2375" s="5" t="s">
        <v>65</v>
      </c>
      <c r="I2375" s="5" t="s">
        <v>53</v>
      </c>
      <c r="J2375" s="5" t="s">
        <v>49</v>
      </c>
      <c r="K2375">
        <v>9</v>
      </c>
      <c r="L2375">
        <v>1269292</v>
      </c>
      <c r="M2375" s="26">
        <v>11423628</v>
      </c>
      <c r="N2375">
        <v>34039</v>
      </c>
      <c r="O2375" s="26">
        <v>1396037.6</v>
      </c>
      <c r="P2375" s="5" t="s">
        <v>50</v>
      </c>
      <c r="Q2375" s="5" t="s">
        <v>75</v>
      </c>
      <c r="R2375">
        <v>4.3</v>
      </c>
      <c r="S2375">
        <v>10</v>
      </c>
      <c r="T2375">
        <f t="shared" si="37"/>
        <v>0</v>
      </c>
    </row>
    <row r="2376" spans="1:20">
      <c r="A2376" s="4">
        <v>45645</v>
      </c>
      <c r="B2376">
        <v>2024</v>
      </c>
      <c r="C2376">
        <v>12</v>
      </c>
      <c r="D2376" s="5" t="s">
        <v>66</v>
      </c>
      <c r="E2376" s="5" t="s">
        <v>67</v>
      </c>
      <c r="F2376" s="5" t="s">
        <v>68</v>
      </c>
      <c r="G2376" s="5" t="s">
        <v>69</v>
      </c>
      <c r="H2376" s="5" t="s">
        <v>80</v>
      </c>
      <c r="I2376" s="5" t="s">
        <v>81</v>
      </c>
      <c r="J2376" s="5" t="s">
        <v>41</v>
      </c>
      <c r="K2376">
        <v>30</v>
      </c>
      <c r="L2376">
        <v>529817</v>
      </c>
      <c r="M2376" s="26">
        <v>15894510</v>
      </c>
      <c r="N2376">
        <v>9353</v>
      </c>
      <c r="O2376" s="26">
        <v>1402706.94</v>
      </c>
      <c r="P2376" s="5" t="s">
        <v>42</v>
      </c>
      <c r="Q2376" s="5" t="s">
        <v>51</v>
      </c>
      <c r="R2376">
        <v>3.6</v>
      </c>
      <c r="S2376">
        <v>21</v>
      </c>
      <c r="T2376">
        <f t="shared" si="37"/>
        <v>1</v>
      </c>
    </row>
    <row r="2377" spans="1:20">
      <c r="A2377" s="4">
        <v>45637</v>
      </c>
      <c r="B2377">
        <v>2024</v>
      </c>
      <c r="C2377">
        <v>12</v>
      </c>
      <c r="D2377" s="5" t="s">
        <v>54</v>
      </c>
      <c r="E2377" s="5" t="s">
        <v>70</v>
      </c>
      <c r="F2377" s="5" t="s">
        <v>71</v>
      </c>
      <c r="G2377" s="5" t="s">
        <v>72</v>
      </c>
      <c r="H2377" s="5" t="s">
        <v>85</v>
      </c>
      <c r="I2377" s="5" t="s">
        <v>58</v>
      </c>
      <c r="J2377" s="5" t="s">
        <v>49</v>
      </c>
      <c r="K2377">
        <v>9</v>
      </c>
      <c r="L2377">
        <v>996660</v>
      </c>
      <c r="M2377" s="26">
        <v>8969940</v>
      </c>
      <c r="N2377">
        <v>9480</v>
      </c>
      <c r="O2377" s="26">
        <v>926972.7</v>
      </c>
      <c r="P2377" s="5" t="s">
        <v>50</v>
      </c>
      <c r="Q2377" s="5" t="s">
        <v>51</v>
      </c>
      <c r="R2377">
        <v>4.8</v>
      </c>
      <c r="S2377">
        <v>10</v>
      </c>
      <c r="T2377">
        <f t="shared" si="37"/>
        <v>0</v>
      </c>
    </row>
    <row r="2378" spans="1:20">
      <c r="A2378" s="4">
        <v>45635</v>
      </c>
      <c r="B2378">
        <v>2024</v>
      </c>
      <c r="C2378">
        <v>12</v>
      </c>
      <c r="D2378" s="5" t="s">
        <v>35</v>
      </c>
      <c r="E2378" s="5" t="s">
        <v>36</v>
      </c>
      <c r="F2378" s="5" t="s">
        <v>37</v>
      </c>
      <c r="G2378" s="5" t="s">
        <v>38</v>
      </c>
      <c r="H2378" s="5" t="s">
        <v>79</v>
      </c>
      <c r="I2378" s="5" t="s">
        <v>58</v>
      </c>
      <c r="J2378" s="5" t="s">
        <v>49</v>
      </c>
      <c r="K2378">
        <v>51</v>
      </c>
      <c r="L2378">
        <v>884093</v>
      </c>
      <c r="M2378" s="26">
        <v>45088743</v>
      </c>
      <c r="N2378">
        <v>46733</v>
      </c>
      <c r="O2378" s="26">
        <v>4087992.99</v>
      </c>
      <c r="P2378" s="5" t="s">
        <v>50</v>
      </c>
      <c r="Q2378" s="5" t="s">
        <v>43</v>
      </c>
      <c r="R2378">
        <v>4.9000000000000004</v>
      </c>
      <c r="S2378">
        <v>8</v>
      </c>
      <c r="T2378">
        <f t="shared" si="37"/>
        <v>0</v>
      </c>
    </row>
    <row r="2379" spans="1:20">
      <c r="A2379" s="4">
        <v>45633</v>
      </c>
      <c r="B2379">
        <v>2024</v>
      </c>
      <c r="C2379">
        <v>12</v>
      </c>
      <c r="D2379" s="5" t="s">
        <v>35</v>
      </c>
      <c r="E2379" s="5" t="s">
        <v>36</v>
      </c>
      <c r="F2379" s="5" t="s">
        <v>37</v>
      </c>
      <c r="G2379" s="5" t="s">
        <v>38</v>
      </c>
      <c r="H2379" s="5" t="s">
        <v>79</v>
      </c>
      <c r="I2379" s="5" t="s">
        <v>58</v>
      </c>
      <c r="J2379" s="5" t="s">
        <v>49</v>
      </c>
      <c r="K2379">
        <v>45</v>
      </c>
      <c r="L2379">
        <v>905027</v>
      </c>
      <c r="M2379" s="26">
        <v>40726215</v>
      </c>
      <c r="N2379">
        <v>19383</v>
      </c>
      <c r="O2379" s="26">
        <v>3642557.18</v>
      </c>
      <c r="P2379" s="5" t="s">
        <v>50</v>
      </c>
      <c r="Q2379" s="5" t="s">
        <v>75</v>
      </c>
      <c r="R2379">
        <v>4.5</v>
      </c>
      <c r="S2379">
        <v>9</v>
      </c>
      <c r="T2379">
        <f t="shared" si="37"/>
        <v>0</v>
      </c>
    </row>
    <row r="2380" spans="1:20">
      <c r="A2380" s="4">
        <v>45634</v>
      </c>
      <c r="B2380">
        <v>2024</v>
      </c>
      <c r="C2380">
        <v>12</v>
      </c>
      <c r="D2380" s="5" t="s">
        <v>44</v>
      </c>
      <c r="E2380" s="5" t="s">
        <v>45</v>
      </c>
      <c r="F2380" s="5" t="s">
        <v>46</v>
      </c>
      <c r="G2380" s="5" t="s">
        <v>47</v>
      </c>
      <c r="H2380" s="5" t="s">
        <v>63</v>
      </c>
      <c r="I2380" s="5" t="s">
        <v>64</v>
      </c>
      <c r="J2380" s="5" t="s">
        <v>41</v>
      </c>
      <c r="K2380">
        <v>51</v>
      </c>
      <c r="L2380">
        <v>744736</v>
      </c>
      <c r="M2380" s="26">
        <v>37981536</v>
      </c>
      <c r="N2380">
        <v>47247</v>
      </c>
      <c r="O2380" s="26">
        <v>5678215.5700000003</v>
      </c>
      <c r="P2380" s="5" t="s">
        <v>50</v>
      </c>
      <c r="Q2380" s="5" t="s">
        <v>43</v>
      </c>
      <c r="R2380">
        <v>3.6</v>
      </c>
      <c r="S2380">
        <v>7</v>
      </c>
      <c r="T2380">
        <f t="shared" si="37"/>
        <v>0</v>
      </c>
    </row>
    <row r="2381" spans="1:20">
      <c r="A2381" s="4">
        <v>45650</v>
      </c>
      <c r="B2381">
        <v>2024</v>
      </c>
      <c r="C2381">
        <v>12</v>
      </c>
      <c r="D2381" s="5" t="s">
        <v>44</v>
      </c>
      <c r="E2381" s="5" t="s">
        <v>82</v>
      </c>
      <c r="F2381" s="5" t="s">
        <v>83</v>
      </c>
      <c r="G2381" s="5" t="s">
        <v>84</v>
      </c>
      <c r="H2381" s="5" t="s">
        <v>74</v>
      </c>
      <c r="I2381" s="5" t="s">
        <v>40</v>
      </c>
      <c r="J2381" s="5" t="s">
        <v>49</v>
      </c>
      <c r="K2381">
        <v>19</v>
      </c>
      <c r="L2381">
        <v>635349</v>
      </c>
      <c r="M2381" s="26">
        <v>12071631</v>
      </c>
      <c r="N2381">
        <v>22225</v>
      </c>
      <c r="O2381" s="26">
        <v>1483561.03</v>
      </c>
      <c r="P2381" s="5" t="s">
        <v>42</v>
      </c>
      <c r="Q2381" s="5" t="s">
        <v>75</v>
      </c>
      <c r="R2381">
        <v>4.3</v>
      </c>
      <c r="S2381">
        <v>6</v>
      </c>
      <c r="T2381">
        <f t="shared" si="37"/>
        <v>1</v>
      </c>
    </row>
    <row r="2382" spans="1:20">
      <c r="A2382" s="4">
        <v>45629</v>
      </c>
      <c r="B2382">
        <v>2024</v>
      </c>
      <c r="C2382">
        <v>12</v>
      </c>
      <c r="D2382" s="5" t="s">
        <v>66</v>
      </c>
      <c r="E2382" s="5" t="s">
        <v>67</v>
      </c>
      <c r="F2382" s="5" t="s">
        <v>68</v>
      </c>
      <c r="G2382" s="5" t="s">
        <v>69</v>
      </c>
      <c r="H2382" s="5" t="s">
        <v>86</v>
      </c>
      <c r="I2382" s="5" t="s">
        <v>40</v>
      </c>
      <c r="J2382" s="5" t="s">
        <v>41</v>
      </c>
      <c r="K2382">
        <v>10</v>
      </c>
      <c r="L2382">
        <v>600578</v>
      </c>
      <c r="M2382" s="26">
        <v>6005780</v>
      </c>
      <c r="N2382">
        <v>23370</v>
      </c>
      <c r="O2382" s="26">
        <v>562941.29</v>
      </c>
      <c r="P2382" s="5" t="s">
        <v>50</v>
      </c>
      <c r="Q2382" s="5" t="s">
        <v>75</v>
      </c>
      <c r="R2382">
        <v>4.7</v>
      </c>
      <c r="S2382">
        <v>10</v>
      </c>
      <c r="T2382">
        <f t="shared" si="37"/>
        <v>0</v>
      </c>
    </row>
    <row r="2383" spans="1:20">
      <c r="A2383" s="4">
        <v>45638</v>
      </c>
      <c r="B2383">
        <v>2024</v>
      </c>
      <c r="C2383">
        <v>12</v>
      </c>
      <c r="D2383" s="5" t="s">
        <v>35</v>
      </c>
      <c r="E2383" s="5" t="s">
        <v>36</v>
      </c>
      <c r="F2383" s="5" t="s">
        <v>37</v>
      </c>
      <c r="G2383" s="5" t="s">
        <v>38</v>
      </c>
      <c r="H2383" s="5" t="s">
        <v>65</v>
      </c>
      <c r="I2383" s="5" t="s">
        <v>53</v>
      </c>
      <c r="J2383" s="5" t="s">
        <v>49</v>
      </c>
      <c r="K2383">
        <v>18</v>
      </c>
      <c r="L2383">
        <v>1268036</v>
      </c>
      <c r="M2383" s="26">
        <v>22824648</v>
      </c>
      <c r="N2383">
        <v>42655</v>
      </c>
      <c r="O2383" s="26">
        <v>3154476.76</v>
      </c>
      <c r="P2383" s="5" t="s">
        <v>50</v>
      </c>
      <c r="Q2383" s="5" t="s">
        <v>43</v>
      </c>
      <c r="R2383">
        <v>4.5999999999999996</v>
      </c>
      <c r="S2383">
        <v>19</v>
      </c>
      <c r="T2383">
        <f t="shared" si="37"/>
        <v>0</v>
      </c>
    </row>
    <row r="2384" spans="1:20">
      <c r="A2384" s="4">
        <v>45651</v>
      </c>
      <c r="B2384">
        <v>2024</v>
      </c>
      <c r="C2384">
        <v>12</v>
      </c>
      <c r="D2384" s="5" t="s">
        <v>35</v>
      </c>
      <c r="E2384" s="5" t="s">
        <v>60</v>
      </c>
      <c r="F2384" s="5" t="s">
        <v>61</v>
      </c>
      <c r="G2384" s="5" t="s">
        <v>62</v>
      </c>
      <c r="H2384" s="5" t="s">
        <v>39</v>
      </c>
      <c r="I2384" s="5" t="s">
        <v>40</v>
      </c>
      <c r="J2384" s="5" t="s">
        <v>41</v>
      </c>
      <c r="K2384">
        <v>40</v>
      </c>
      <c r="L2384">
        <v>604675</v>
      </c>
      <c r="M2384" s="26">
        <v>24187000</v>
      </c>
      <c r="N2384">
        <v>24563</v>
      </c>
      <c r="O2384" s="26">
        <v>2754499.94</v>
      </c>
      <c r="P2384" s="5" t="s">
        <v>42</v>
      </c>
      <c r="Q2384" s="5" t="s">
        <v>43</v>
      </c>
      <c r="R2384">
        <v>4.5999999999999996</v>
      </c>
      <c r="S2384">
        <v>17</v>
      </c>
      <c r="T2384">
        <f t="shared" si="37"/>
        <v>1</v>
      </c>
    </row>
    <row r="2385" spans="1:20">
      <c r="A2385" s="4">
        <v>45635</v>
      </c>
      <c r="B2385">
        <v>2024</v>
      </c>
      <c r="C2385">
        <v>12</v>
      </c>
      <c r="D2385" s="5" t="s">
        <v>44</v>
      </c>
      <c r="E2385" s="5" t="s">
        <v>82</v>
      </c>
      <c r="F2385" s="5" t="s">
        <v>83</v>
      </c>
      <c r="G2385" s="5" t="s">
        <v>84</v>
      </c>
      <c r="H2385" s="5" t="s">
        <v>39</v>
      </c>
      <c r="I2385" s="5" t="s">
        <v>40</v>
      </c>
      <c r="J2385" s="5" t="s">
        <v>41</v>
      </c>
      <c r="K2385">
        <v>38</v>
      </c>
      <c r="L2385">
        <v>569118</v>
      </c>
      <c r="M2385" s="26">
        <v>21626484</v>
      </c>
      <c r="N2385">
        <v>15138</v>
      </c>
      <c r="O2385" s="26">
        <v>2057618.83</v>
      </c>
      <c r="P2385" s="5" t="s">
        <v>42</v>
      </c>
      <c r="Q2385" s="5" t="s">
        <v>43</v>
      </c>
      <c r="R2385">
        <v>4.5</v>
      </c>
      <c r="S2385">
        <v>20</v>
      </c>
      <c r="T2385">
        <f t="shared" si="37"/>
        <v>1</v>
      </c>
    </row>
    <row r="2386" spans="1:20">
      <c r="A2386" s="4">
        <v>45644</v>
      </c>
      <c r="B2386">
        <v>2024</v>
      </c>
      <c r="C2386">
        <v>12</v>
      </c>
      <c r="D2386" s="5" t="s">
        <v>66</v>
      </c>
      <c r="E2386" s="5" t="s">
        <v>67</v>
      </c>
      <c r="F2386" s="5" t="s">
        <v>68</v>
      </c>
      <c r="G2386" s="5" t="s">
        <v>69</v>
      </c>
      <c r="H2386" s="5" t="s">
        <v>74</v>
      </c>
      <c r="I2386" s="5" t="s">
        <v>40</v>
      </c>
      <c r="J2386" s="5" t="s">
        <v>49</v>
      </c>
      <c r="K2386">
        <v>39</v>
      </c>
      <c r="L2386">
        <v>645189</v>
      </c>
      <c r="M2386" s="26">
        <v>25162371</v>
      </c>
      <c r="N2386">
        <v>39098</v>
      </c>
      <c r="O2386" s="26">
        <v>3957633.7</v>
      </c>
      <c r="P2386" s="5" t="s">
        <v>42</v>
      </c>
      <c r="Q2386" s="5" t="s">
        <v>75</v>
      </c>
      <c r="R2386">
        <v>4.2</v>
      </c>
      <c r="S2386">
        <v>2</v>
      </c>
      <c r="T2386">
        <f t="shared" si="37"/>
        <v>1</v>
      </c>
    </row>
    <row r="2387" spans="1:20">
      <c r="A2387" s="4">
        <v>45627</v>
      </c>
      <c r="B2387">
        <v>2024</v>
      </c>
      <c r="C2387">
        <v>12</v>
      </c>
      <c r="D2387" s="5" t="s">
        <v>35</v>
      </c>
      <c r="E2387" s="5" t="s">
        <v>60</v>
      </c>
      <c r="F2387" s="5" t="s">
        <v>61</v>
      </c>
      <c r="G2387" s="5" t="s">
        <v>62</v>
      </c>
      <c r="H2387" s="5" t="s">
        <v>74</v>
      </c>
      <c r="I2387" s="5" t="s">
        <v>40</v>
      </c>
      <c r="J2387" s="5" t="s">
        <v>49</v>
      </c>
      <c r="K2387">
        <v>53</v>
      </c>
      <c r="L2387">
        <v>673098</v>
      </c>
      <c r="M2387" s="26">
        <v>35674194</v>
      </c>
      <c r="N2387">
        <v>32405</v>
      </c>
      <c r="O2387" s="26">
        <v>5368638.0199999996</v>
      </c>
      <c r="P2387" s="5" t="s">
        <v>42</v>
      </c>
      <c r="Q2387" s="5" t="s">
        <v>51</v>
      </c>
      <c r="R2387">
        <v>4.9000000000000004</v>
      </c>
      <c r="S2387">
        <v>11</v>
      </c>
      <c r="T2387">
        <f t="shared" si="37"/>
        <v>1</v>
      </c>
    </row>
    <row r="2388" spans="1:20">
      <c r="A2388" s="4">
        <v>45636</v>
      </c>
      <c r="B2388">
        <v>2024</v>
      </c>
      <c r="C2388">
        <v>12</v>
      </c>
      <c r="D2388" s="5" t="s">
        <v>54</v>
      </c>
      <c r="E2388" s="5" t="s">
        <v>70</v>
      </c>
      <c r="F2388" s="5" t="s">
        <v>71</v>
      </c>
      <c r="G2388" s="5" t="s">
        <v>72</v>
      </c>
      <c r="H2388" s="5" t="s">
        <v>79</v>
      </c>
      <c r="I2388" s="5" t="s">
        <v>58</v>
      </c>
      <c r="J2388" s="5" t="s">
        <v>49</v>
      </c>
      <c r="K2388">
        <v>46</v>
      </c>
      <c r="L2388">
        <v>895799</v>
      </c>
      <c r="M2388" s="26">
        <v>41206754</v>
      </c>
      <c r="N2388">
        <v>36184</v>
      </c>
      <c r="O2388" s="26">
        <v>3961567.75</v>
      </c>
      <c r="P2388" s="5" t="s">
        <v>42</v>
      </c>
      <c r="Q2388" s="5" t="s">
        <v>51</v>
      </c>
      <c r="R2388">
        <v>4.0999999999999996</v>
      </c>
      <c r="S2388">
        <v>3</v>
      </c>
      <c r="T2388">
        <f t="shared" si="37"/>
        <v>1</v>
      </c>
    </row>
    <row r="2389" spans="1:20">
      <c r="A2389" s="4">
        <v>45645</v>
      </c>
      <c r="B2389">
        <v>2024</v>
      </c>
      <c r="C2389">
        <v>12</v>
      </c>
      <c r="D2389" s="5" t="s">
        <v>35</v>
      </c>
      <c r="E2389" s="5" t="s">
        <v>36</v>
      </c>
      <c r="F2389" s="5" t="s">
        <v>37</v>
      </c>
      <c r="G2389" s="5" t="s">
        <v>38</v>
      </c>
      <c r="H2389" s="5" t="s">
        <v>57</v>
      </c>
      <c r="I2389" s="5" t="s">
        <v>58</v>
      </c>
      <c r="J2389" s="5" t="s">
        <v>59</v>
      </c>
      <c r="K2389">
        <v>51</v>
      </c>
      <c r="L2389">
        <v>1373863</v>
      </c>
      <c r="M2389" s="26">
        <v>70067013</v>
      </c>
      <c r="N2389">
        <v>5808</v>
      </c>
      <c r="O2389" s="26">
        <v>11101299.550000001</v>
      </c>
      <c r="P2389" s="5" t="s">
        <v>50</v>
      </c>
      <c r="Q2389" s="5" t="s">
        <v>51</v>
      </c>
      <c r="R2389">
        <v>4.0999999999999996</v>
      </c>
      <c r="S2389">
        <v>17</v>
      </c>
      <c r="T2389">
        <f t="shared" si="37"/>
        <v>0</v>
      </c>
    </row>
    <row r="2390" spans="1:20">
      <c r="A2390" s="4">
        <v>45635</v>
      </c>
      <c r="B2390">
        <v>2024</v>
      </c>
      <c r="C2390">
        <v>12</v>
      </c>
      <c r="D2390" s="5" t="s">
        <v>44</v>
      </c>
      <c r="E2390" s="5" t="s">
        <v>82</v>
      </c>
      <c r="F2390" s="5" t="s">
        <v>83</v>
      </c>
      <c r="G2390" s="5" t="s">
        <v>84</v>
      </c>
      <c r="H2390" s="5" t="s">
        <v>57</v>
      </c>
      <c r="I2390" s="5" t="s">
        <v>58</v>
      </c>
      <c r="J2390" s="5" t="s">
        <v>59</v>
      </c>
      <c r="K2390">
        <v>47</v>
      </c>
      <c r="L2390">
        <v>1420703</v>
      </c>
      <c r="M2390" s="26">
        <v>66773041</v>
      </c>
      <c r="N2390">
        <v>16282</v>
      </c>
      <c r="O2390" s="26">
        <v>8314287.8300000001</v>
      </c>
      <c r="P2390" s="5" t="s">
        <v>42</v>
      </c>
      <c r="Q2390" s="5" t="s">
        <v>43</v>
      </c>
      <c r="R2390">
        <v>4.8</v>
      </c>
      <c r="S2390">
        <v>11</v>
      </c>
      <c r="T2390">
        <f t="shared" si="37"/>
        <v>1</v>
      </c>
    </row>
    <row r="2391" spans="1:20">
      <c r="A2391" s="4">
        <v>45629</v>
      </c>
      <c r="B2391">
        <v>2024</v>
      </c>
      <c r="C2391">
        <v>12</v>
      </c>
      <c r="D2391" s="5" t="s">
        <v>54</v>
      </c>
      <c r="E2391" s="5" t="s">
        <v>70</v>
      </c>
      <c r="F2391" s="5" t="s">
        <v>71</v>
      </c>
      <c r="G2391" s="5" t="s">
        <v>72</v>
      </c>
      <c r="H2391" s="5" t="s">
        <v>80</v>
      </c>
      <c r="I2391" s="5" t="s">
        <v>81</v>
      </c>
      <c r="J2391" s="5" t="s">
        <v>41</v>
      </c>
      <c r="K2391">
        <v>44</v>
      </c>
      <c r="L2391">
        <v>567527</v>
      </c>
      <c r="M2391" s="26">
        <v>24971188</v>
      </c>
      <c r="N2391">
        <v>23689</v>
      </c>
      <c r="O2391" s="26">
        <v>3389027.68</v>
      </c>
      <c r="P2391" s="5" t="s">
        <v>50</v>
      </c>
      <c r="Q2391" s="5" t="s">
        <v>43</v>
      </c>
      <c r="R2391">
        <v>4.2</v>
      </c>
      <c r="S2391">
        <v>14</v>
      </c>
      <c r="T2391">
        <f t="shared" si="37"/>
        <v>0</v>
      </c>
    </row>
    <row r="2392" spans="1:20">
      <c r="A2392" s="4">
        <v>45652</v>
      </c>
      <c r="B2392">
        <v>2024</v>
      </c>
      <c r="C2392">
        <v>12</v>
      </c>
      <c r="D2392" s="5" t="s">
        <v>54</v>
      </c>
      <c r="E2392" s="5" t="s">
        <v>55</v>
      </c>
      <c r="F2392" s="5" t="s">
        <v>55</v>
      </c>
      <c r="G2392" s="5" t="s">
        <v>56</v>
      </c>
      <c r="H2392" s="5" t="s">
        <v>57</v>
      </c>
      <c r="I2392" s="5" t="s">
        <v>58</v>
      </c>
      <c r="J2392" s="5" t="s">
        <v>59</v>
      </c>
      <c r="K2392">
        <v>23</v>
      </c>
      <c r="L2392">
        <v>1424990</v>
      </c>
      <c r="M2392" s="26">
        <v>32774770</v>
      </c>
      <c r="N2392">
        <v>13467</v>
      </c>
      <c r="O2392" s="26">
        <v>4773101.76</v>
      </c>
      <c r="P2392" s="5" t="s">
        <v>42</v>
      </c>
      <c r="Q2392" s="5" t="s">
        <v>75</v>
      </c>
      <c r="R2392">
        <v>4.8</v>
      </c>
      <c r="S2392">
        <v>4</v>
      </c>
      <c r="T2392">
        <f t="shared" si="37"/>
        <v>1</v>
      </c>
    </row>
    <row r="2393" spans="1:20">
      <c r="A2393" s="4">
        <v>45646</v>
      </c>
      <c r="B2393">
        <v>2024</v>
      </c>
      <c r="C2393">
        <v>12</v>
      </c>
      <c r="D2393" s="5" t="s">
        <v>54</v>
      </c>
      <c r="E2393" s="5" t="s">
        <v>70</v>
      </c>
      <c r="F2393" s="5" t="s">
        <v>71</v>
      </c>
      <c r="G2393" s="5" t="s">
        <v>72</v>
      </c>
      <c r="H2393" s="5" t="s">
        <v>86</v>
      </c>
      <c r="I2393" s="5" t="s">
        <v>40</v>
      </c>
      <c r="J2393" s="5" t="s">
        <v>41</v>
      </c>
      <c r="K2393">
        <v>53</v>
      </c>
      <c r="L2393">
        <v>623128</v>
      </c>
      <c r="M2393" s="26">
        <v>33025784</v>
      </c>
      <c r="N2393">
        <v>33195</v>
      </c>
      <c r="O2393" s="26">
        <v>4797550.8600000003</v>
      </c>
      <c r="P2393" s="5" t="s">
        <v>42</v>
      </c>
      <c r="Q2393" s="5" t="s">
        <v>75</v>
      </c>
      <c r="R2393">
        <v>4.9000000000000004</v>
      </c>
      <c r="S2393">
        <v>6</v>
      </c>
      <c r="T2393">
        <f t="shared" si="37"/>
        <v>1</v>
      </c>
    </row>
    <row r="2394" spans="1:20">
      <c r="A2394" s="4">
        <v>45651</v>
      </c>
      <c r="B2394">
        <v>2024</v>
      </c>
      <c r="C2394">
        <v>12</v>
      </c>
      <c r="D2394" s="5" t="s">
        <v>35</v>
      </c>
      <c r="E2394" s="5" t="s">
        <v>60</v>
      </c>
      <c r="F2394" s="5" t="s">
        <v>61</v>
      </c>
      <c r="G2394" s="5" t="s">
        <v>62</v>
      </c>
      <c r="H2394" s="5" t="s">
        <v>85</v>
      </c>
      <c r="I2394" s="5" t="s">
        <v>58</v>
      </c>
      <c r="J2394" s="5" t="s">
        <v>49</v>
      </c>
      <c r="K2394">
        <v>31</v>
      </c>
      <c r="L2394">
        <v>992254</v>
      </c>
      <c r="M2394" s="26">
        <v>30759874</v>
      </c>
      <c r="N2394">
        <v>6827</v>
      </c>
      <c r="O2394" s="26">
        <v>2623025.61</v>
      </c>
      <c r="P2394" s="5" t="s">
        <v>42</v>
      </c>
      <c r="Q2394" s="5" t="s">
        <v>75</v>
      </c>
      <c r="R2394">
        <v>3.5</v>
      </c>
      <c r="S2394">
        <v>15</v>
      </c>
      <c r="T2394">
        <f t="shared" si="37"/>
        <v>1</v>
      </c>
    </row>
    <row r="2395" spans="1:20">
      <c r="A2395" s="4">
        <v>45630</v>
      </c>
      <c r="B2395">
        <v>2024</v>
      </c>
      <c r="C2395">
        <v>12</v>
      </c>
      <c r="D2395" s="5" t="s">
        <v>35</v>
      </c>
      <c r="E2395" s="5" t="s">
        <v>76</v>
      </c>
      <c r="F2395" s="5" t="s">
        <v>77</v>
      </c>
      <c r="G2395" s="5" t="s">
        <v>78</v>
      </c>
      <c r="H2395" s="5" t="s">
        <v>79</v>
      </c>
      <c r="I2395" s="5" t="s">
        <v>58</v>
      </c>
      <c r="J2395" s="5" t="s">
        <v>49</v>
      </c>
      <c r="K2395">
        <v>18</v>
      </c>
      <c r="L2395">
        <v>914556</v>
      </c>
      <c r="M2395" s="26">
        <v>16462008</v>
      </c>
      <c r="N2395">
        <v>35075</v>
      </c>
      <c r="O2395" s="26">
        <v>2375682.86</v>
      </c>
      <c r="P2395" s="5" t="s">
        <v>50</v>
      </c>
      <c r="Q2395" s="5" t="s">
        <v>51</v>
      </c>
      <c r="R2395">
        <v>4.8</v>
      </c>
      <c r="S2395">
        <v>13</v>
      </c>
      <c r="T2395">
        <f t="shared" si="37"/>
        <v>0</v>
      </c>
    </row>
    <row r="2396" spans="1:20">
      <c r="A2396" s="4">
        <v>45646</v>
      </c>
      <c r="B2396">
        <v>2024</v>
      </c>
      <c r="C2396">
        <v>12</v>
      </c>
      <c r="D2396" s="5" t="s">
        <v>54</v>
      </c>
      <c r="E2396" s="5" t="s">
        <v>55</v>
      </c>
      <c r="F2396" s="5" t="s">
        <v>55</v>
      </c>
      <c r="G2396" s="5" t="s">
        <v>56</v>
      </c>
      <c r="H2396" s="5" t="s">
        <v>39</v>
      </c>
      <c r="I2396" s="5" t="s">
        <v>40</v>
      </c>
      <c r="J2396" s="5" t="s">
        <v>41</v>
      </c>
      <c r="K2396">
        <v>41</v>
      </c>
      <c r="L2396">
        <v>560463</v>
      </c>
      <c r="M2396" s="26">
        <v>22978983</v>
      </c>
      <c r="N2396">
        <v>10926</v>
      </c>
      <c r="O2396" s="26">
        <v>2739971.42</v>
      </c>
      <c r="P2396" s="5" t="s">
        <v>50</v>
      </c>
      <c r="Q2396" s="5" t="s">
        <v>51</v>
      </c>
      <c r="R2396">
        <v>4.4000000000000004</v>
      </c>
      <c r="S2396">
        <v>17</v>
      </c>
      <c r="T2396">
        <f t="shared" si="37"/>
        <v>0</v>
      </c>
    </row>
    <row r="2397" spans="1:20">
      <c r="A2397" s="4">
        <v>45637</v>
      </c>
      <c r="B2397">
        <v>2024</v>
      </c>
      <c r="C2397">
        <v>12</v>
      </c>
      <c r="D2397" s="5" t="s">
        <v>44</v>
      </c>
      <c r="E2397" s="5" t="s">
        <v>45</v>
      </c>
      <c r="F2397" s="5" t="s">
        <v>46</v>
      </c>
      <c r="G2397" s="5" t="s">
        <v>47</v>
      </c>
      <c r="H2397" s="5" t="s">
        <v>79</v>
      </c>
      <c r="I2397" s="5" t="s">
        <v>58</v>
      </c>
      <c r="J2397" s="5" t="s">
        <v>49</v>
      </c>
      <c r="K2397">
        <v>40</v>
      </c>
      <c r="L2397">
        <v>901797</v>
      </c>
      <c r="M2397" s="26">
        <v>36071880</v>
      </c>
      <c r="N2397">
        <v>8634</v>
      </c>
      <c r="O2397" s="26">
        <v>3014210.73</v>
      </c>
      <c r="P2397" s="5" t="s">
        <v>42</v>
      </c>
      <c r="Q2397" s="5" t="s">
        <v>51</v>
      </c>
      <c r="R2397">
        <v>4.2</v>
      </c>
      <c r="S2397">
        <v>6</v>
      </c>
      <c r="T2397">
        <f t="shared" si="37"/>
        <v>1</v>
      </c>
    </row>
    <row r="2398" spans="1:20">
      <c r="A2398" s="4">
        <v>45631</v>
      </c>
      <c r="B2398">
        <v>2024</v>
      </c>
      <c r="C2398">
        <v>12</v>
      </c>
      <c r="D2398" s="5" t="s">
        <v>44</v>
      </c>
      <c r="E2398" s="5" t="s">
        <v>82</v>
      </c>
      <c r="F2398" s="5" t="s">
        <v>83</v>
      </c>
      <c r="G2398" s="5" t="s">
        <v>84</v>
      </c>
      <c r="H2398" s="5" t="s">
        <v>39</v>
      </c>
      <c r="I2398" s="5" t="s">
        <v>40</v>
      </c>
      <c r="J2398" s="5" t="s">
        <v>41</v>
      </c>
      <c r="K2398">
        <v>42</v>
      </c>
      <c r="L2398">
        <v>552175</v>
      </c>
      <c r="M2398" s="26">
        <v>23191350</v>
      </c>
      <c r="N2398">
        <v>41294</v>
      </c>
      <c r="O2398" s="26">
        <v>2270210.46</v>
      </c>
      <c r="P2398" s="5" t="s">
        <v>50</v>
      </c>
      <c r="Q2398" s="5" t="s">
        <v>43</v>
      </c>
      <c r="R2398">
        <v>5</v>
      </c>
      <c r="S2398">
        <v>2</v>
      </c>
      <c r="T2398">
        <f t="shared" si="37"/>
        <v>0</v>
      </c>
    </row>
    <row r="2399" spans="1:20">
      <c r="A2399" s="4">
        <v>45644</v>
      </c>
      <c r="B2399">
        <v>2024</v>
      </c>
      <c r="C2399">
        <v>12</v>
      </c>
      <c r="D2399" s="5" t="s">
        <v>66</v>
      </c>
      <c r="E2399" s="5" t="s">
        <v>67</v>
      </c>
      <c r="F2399" s="5" t="s">
        <v>68</v>
      </c>
      <c r="G2399" s="5" t="s">
        <v>69</v>
      </c>
      <c r="H2399" s="5" t="s">
        <v>85</v>
      </c>
      <c r="I2399" s="5" t="s">
        <v>58</v>
      </c>
      <c r="J2399" s="5" t="s">
        <v>49</v>
      </c>
      <c r="K2399">
        <v>8</v>
      </c>
      <c r="L2399">
        <v>957104</v>
      </c>
      <c r="M2399" s="26">
        <v>7656832</v>
      </c>
      <c r="N2399">
        <v>26622</v>
      </c>
      <c r="O2399" s="26">
        <v>875169.58</v>
      </c>
      <c r="P2399" s="5" t="s">
        <v>42</v>
      </c>
      <c r="Q2399" s="5" t="s">
        <v>75</v>
      </c>
      <c r="R2399">
        <v>3.9</v>
      </c>
      <c r="S2399">
        <v>20</v>
      </c>
      <c r="T2399">
        <f t="shared" si="37"/>
        <v>1</v>
      </c>
    </row>
    <row r="2400" spans="1:20">
      <c r="A2400" s="4">
        <v>45631</v>
      </c>
      <c r="B2400">
        <v>2024</v>
      </c>
      <c r="C2400">
        <v>12</v>
      </c>
      <c r="D2400" s="5" t="s">
        <v>54</v>
      </c>
      <c r="E2400" s="5" t="s">
        <v>55</v>
      </c>
      <c r="F2400" s="5" t="s">
        <v>55</v>
      </c>
      <c r="G2400" s="5" t="s">
        <v>56</v>
      </c>
      <c r="H2400" s="5" t="s">
        <v>63</v>
      </c>
      <c r="I2400" s="5" t="s">
        <v>64</v>
      </c>
      <c r="J2400" s="5" t="s">
        <v>41</v>
      </c>
      <c r="K2400">
        <v>16</v>
      </c>
      <c r="L2400">
        <v>768157</v>
      </c>
      <c r="M2400" s="26">
        <v>12290512</v>
      </c>
      <c r="N2400">
        <v>11562</v>
      </c>
      <c r="O2400" s="26">
        <v>1185631.4099999999</v>
      </c>
      <c r="P2400" s="5" t="s">
        <v>42</v>
      </c>
      <c r="Q2400" s="5" t="s">
        <v>43</v>
      </c>
      <c r="R2400">
        <v>4.5999999999999996</v>
      </c>
      <c r="S2400">
        <v>9</v>
      </c>
      <c r="T2400">
        <f t="shared" si="37"/>
        <v>1</v>
      </c>
    </row>
    <row r="2401" spans="1:20">
      <c r="A2401" s="4">
        <v>45650</v>
      </c>
      <c r="B2401">
        <v>2024</v>
      </c>
      <c r="C2401">
        <v>12</v>
      </c>
      <c r="D2401" s="5" t="s">
        <v>35</v>
      </c>
      <c r="E2401" s="5" t="s">
        <v>60</v>
      </c>
      <c r="F2401" s="5" t="s">
        <v>61</v>
      </c>
      <c r="G2401" s="5" t="s">
        <v>62</v>
      </c>
      <c r="H2401" s="5" t="s">
        <v>48</v>
      </c>
      <c r="I2401" s="5" t="s">
        <v>40</v>
      </c>
      <c r="J2401" s="5" t="s">
        <v>49</v>
      </c>
      <c r="K2401">
        <v>31</v>
      </c>
      <c r="L2401">
        <v>461255</v>
      </c>
      <c r="M2401" s="26">
        <v>14298905</v>
      </c>
      <c r="N2401">
        <v>9255</v>
      </c>
      <c r="O2401" s="26">
        <v>1155504.57</v>
      </c>
      <c r="P2401" s="5" t="s">
        <v>50</v>
      </c>
      <c r="Q2401" s="5" t="s">
        <v>75</v>
      </c>
      <c r="R2401">
        <v>4.7</v>
      </c>
      <c r="S2401">
        <v>14</v>
      </c>
      <c r="T2401">
        <f t="shared" si="37"/>
        <v>0</v>
      </c>
    </row>
    <row r="2402" spans="1:20">
      <c r="A2402" s="4">
        <v>45670</v>
      </c>
      <c r="B2402">
        <v>2025</v>
      </c>
      <c r="C2402">
        <v>1</v>
      </c>
      <c r="D2402" s="5" t="s">
        <v>35</v>
      </c>
      <c r="E2402" s="5" t="s">
        <v>36</v>
      </c>
      <c r="F2402" s="5" t="s">
        <v>37</v>
      </c>
      <c r="G2402" s="5" t="s">
        <v>38</v>
      </c>
      <c r="H2402" s="5" t="s">
        <v>86</v>
      </c>
      <c r="I2402" s="5" t="s">
        <v>40</v>
      </c>
      <c r="J2402" s="5" t="s">
        <v>41</v>
      </c>
      <c r="K2402">
        <v>12</v>
      </c>
      <c r="L2402">
        <v>587194</v>
      </c>
      <c r="M2402" s="26">
        <v>7046328</v>
      </c>
      <c r="N2402">
        <v>26440</v>
      </c>
      <c r="O2402" s="26">
        <v>675581.38</v>
      </c>
      <c r="P2402" s="5" t="s">
        <v>42</v>
      </c>
      <c r="Q2402" s="5" t="s">
        <v>51</v>
      </c>
      <c r="R2402">
        <v>3.7</v>
      </c>
      <c r="S2402">
        <v>5</v>
      </c>
      <c r="T2402">
        <f t="shared" si="37"/>
        <v>1</v>
      </c>
    </row>
    <row r="2403" spans="1:20">
      <c r="A2403" s="4">
        <v>45660</v>
      </c>
      <c r="B2403">
        <v>2025</v>
      </c>
      <c r="C2403">
        <v>1</v>
      </c>
      <c r="D2403" s="5" t="s">
        <v>66</v>
      </c>
      <c r="E2403" s="5" t="s">
        <v>67</v>
      </c>
      <c r="F2403" s="5" t="s">
        <v>68</v>
      </c>
      <c r="G2403" s="5" t="s">
        <v>69</v>
      </c>
      <c r="H2403" s="5" t="s">
        <v>39</v>
      </c>
      <c r="I2403" s="5" t="s">
        <v>40</v>
      </c>
      <c r="J2403" s="5" t="s">
        <v>41</v>
      </c>
      <c r="K2403">
        <v>16</v>
      </c>
      <c r="L2403">
        <v>570901</v>
      </c>
      <c r="M2403" s="26">
        <v>9134416</v>
      </c>
      <c r="N2403">
        <v>10926</v>
      </c>
      <c r="O2403" s="26">
        <v>734432.19</v>
      </c>
      <c r="P2403" s="5" t="s">
        <v>42</v>
      </c>
      <c r="Q2403" s="5" t="s">
        <v>51</v>
      </c>
      <c r="R2403">
        <v>4.7</v>
      </c>
      <c r="S2403">
        <v>3</v>
      </c>
      <c r="T2403">
        <f t="shared" si="37"/>
        <v>1</v>
      </c>
    </row>
    <row r="2404" spans="1:20">
      <c r="A2404" s="4">
        <v>45680</v>
      </c>
      <c r="B2404">
        <v>2025</v>
      </c>
      <c r="C2404">
        <v>1</v>
      </c>
      <c r="D2404" s="5" t="s">
        <v>66</v>
      </c>
      <c r="E2404" s="5" t="s">
        <v>67</v>
      </c>
      <c r="F2404" s="5" t="s">
        <v>68</v>
      </c>
      <c r="G2404" s="5" t="s">
        <v>69</v>
      </c>
      <c r="H2404" s="5" t="s">
        <v>86</v>
      </c>
      <c r="I2404" s="5" t="s">
        <v>40</v>
      </c>
      <c r="J2404" s="5" t="s">
        <v>41</v>
      </c>
      <c r="K2404">
        <v>9</v>
      </c>
      <c r="L2404">
        <v>594719</v>
      </c>
      <c r="M2404" s="26">
        <v>5352471</v>
      </c>
      <c r="N2404">
        <v>38658</v>
      </c>
      <c r="O2404" s="26">
        <v>564770.49</v>
      </c>
      <c r="P2404" s="5" t="s">
        <v>42</v>
      </c>
      <c r="Q2404" s="5" t="s">
        <v>75</v>
      </c>
      <c r="R2404">
        <v>4.7</v>
      </c>
      <c r="S2404">
        <v>2</v>
      </c>
      <c r="T2404">
        <f t="shared" si="37"/>
        <v>1</v>
      </c>
    </row>
    <row r="2405" spans="1:20">
      <c r="A2405" s="4">
        <v>45661</v>
      </c>
      <c r="B2405">
        <v>2025</v>
      </c>
      <c r="C2405">
        <v>1</v>
      </c>
      <c r="D2405" s="5" t="s">
        <v>54</v>
      </c>
      <c r="E2405" s="5" t="s">
        <v>55</v>
      </c>
      <c r="F2405" s="5" t="s">
        <v>55</v>
      </c>
      <c r="G2405" s="5" t="s">
        <v>56</v>
      </c>
      <c r="H2405" s="5" t="s">
        <v>65</v>
      </c>
      <c r="I2405" s="5" t="s">
        <v>53</v>
      </c>
      <c r="J2405" s="5" t="s">
        <v>49</v>
      </c>
      <c r="K2405">
        <v>13</v>
      </c>
      <c r="L2405">
        <v>1232638</v>
      </c>
      <c r="M2405" s="26">
        <v>16024294</v>
      </c>
      <c r="N2405">
        <v>27605</v>
      </c>
      <c r="O2405" s="26">
        <v>1627152.08</v>
      </c>
      <c r="P2405" s="5" t="s">
        <v>42</v>
      </c>
      <c r="Q2405" s="5" t="s">
        <v>51</v>
      </c>
      <c r="R2405">
        <v>4.5</v>
      </c>
      <c r="S2405">
        <v>6</v>
      </c>
      <c r="T2405">
        <f t="shared" si="37"/>
        <v>1</v>
      </c>
    </row>
    <row r="2406" spans="1:20">
      <c r="A2406" s="4">
        <v>45679</v>
      </c>
      <c r="B2406">
        <v>2025</v>
      </c>
      <c r="C2406">
        <v>1</v>
      </c>
      <c r="D2406" s="5" t="s">
        <v>44</v>
      </c>
      <c r="E2406" s="5" t="s">
        <v>45</v>
      </c>
      <c r="F2406" s="5" t="s">
        <v>46</v>
      </c>
      <c r="G2406" s="5" t="s">
        <v>47</v>
      </c>
      <c r="H2406" s="5" t="s">
        <v>52</v>
      </c>
      <c r="I2406" s="5" t="s">
        <v>53</v>
      </c>
      <c r="J2406" s="5" t="s">
        <v>41</v>
      </c>
      <c r="K2406">
        <v>18</v>
      </c>
      <c r="L2406">
        <v>953160</v>
      </c>
      <c r="M2406" s="26">
        <v>17156880</v>
      </c>
      <c r="N2406">
        <v>40689</v>
      </c>
      <c r="O2406" s="26">
        <v>1375035.95</v>
      </c>
      <c r="P2406" s="5" t="s">
        <v>50</v>
      </c>
      <c r="Q2406" s="5" t="s">
        <v>43</v>
      </c>
      <c r="R2406">
        <v>4.2</v>
      </c>
      <c r="S2406">
        <v>15</v>
      </c>
      <c r="T2406">
        <f t="shared" si="37"/>
        <v>0</v>
      </c>
    </row>
    <row r="2407" spans="1:20">
      <c r="A2407" s="4">
        <v>45671</v>
      </c>
      <c r="B2407">
        <v>2025</v>
      </c>
      <c r="C2407">
        <v>1</v>
      </c>
      <c r="D2407" s="5" t="s">
        <v>35</v>
      </c>
      <c r="E2407" s="5" t="s">
        <v>36</v>
      </c>
      <c r="F2407" s="5" t="s">
        <v>37</v>
      </c>
      <c r="G2407" s="5" t="s">
        <v>38</v>
      </c>
      <c r="H2407" s="5" t="s">
        <v>65</v>
      </c>
      <c r="I2407" s="5" t="s">
        <v>53</v>
      </c>
      <c r="J2407" s="5" t="s">
        <v>49</v>
      </c>
      <c r="K2407">
        <v>46</v>
      </c>
      <c r="L2407">
        <v>1279202</v>
      </c>
      <c r="M2407" s="26">
        <v>58843292</v>
      </c>
      <c r="N2407">
        <v>36951</v>
      </c>
      <c r="O2407" s="26">
        <v>6278104.0300000003</v>
      </c>
      <c r="P2407" s="5" t="s">
        <v>50</v>
      </c>
      <c r="Q2407" s="5" t="s">
        <v>75</v>
      </c>
      <c r="R2407">
        <v>4.7</v>
      </c>
      <c r="S2407">
        <v>2</v>
      </c>
      <c r="T2407">
        <f t="shared" si="37"/>
        <v>0</v>
      </c>
    </row>
    <row r="2408" spans="1:20">
      <c r="A2408" s="4">
        <v>45684</v>
      </c>
      <c r="B2408">
        <v>2025</v>
      </c>
      <c r="C2408">
        <v>1</v>
      </c>
      <c r="D2408" s="5" t="s">
        <v>35</v>
      </c>
      <c r="E2408" s="5" t="s">
        <v>76</v>
      </c>
      <c r="F2408" s="5" t="s">
        <v>77</v>
      </c>
      <c r="G2408" s="5" t="s">
        <v>78</v>
      </c>
      <c r="H2408" s="5" t="s">
        <v>80</v>
      </c>
      <c r="I2408" s="5" t="s">
        <v>81</v>
      </c>
      <c r="J2408" s="5" t="s">
        <v>41</v>
      </c>
      <c r="K2408">
        <v>38</v>
      </c>
      <c r="L2408">
        <v>556777</v>
      </c>
      <c r="M2408" s="26">
        <v>21157526</v>
      </c>
      <c r="N2408">
        <v>29179</v>
      </c>
      <c r="O2408" s="26">
        <v>3191111.29</v>
      </c>
      <c r="P2408" s="5" t="s">
        <v>42</v>
      </c>
      <c r="Q2408" s="5" t="s">
        <v>75</v>
      </c>
      <c r="R2408">
        <v>4.8</v>
      </c>
      <c r="S2408">
        <v>5</v>
      </c>
      <c r="T2408">
        <f t="shared" si="37"/>
        <v>1</v>
      </c>
    </row>
    <row r="2409" spans="1:20">
      <c r="A2409" s="4">
        <v>45683</v>
      </c>
      <c r="B2409">
        <v>2025</v>
      </c>
      <c r="C2409">
        <v>1</v>
      </c>
      <c r="D2409" s="5" t="s">
        <v>66</v>
      </c>
      <c r="E2409" s="5" t="s">
        <v>67</v>
      </c>
      <c r="F2409" s="5" t="s">
        <v>68</v>
      </c>
      <c r="G2409" s="5" t="s">
        <v>69</v>
      </c>
      <c r="H2409" s="5" t="s">
        <v>85</v>
      </c>
      <c r="I2409" s="5" t="s">
        <v>58</v>
      </c>
      <c r="J2409" s="5" t="s">
        <v>49</v>
      </c>
      <c r="K2409">
        <v>24</v>
      </c>
      <c r="L2409">
        <v>962442</v>
      </c>
      <c r="M2409" s="26">
        <v>23098608</v>
      </c>
      <c r="N2409">
        <v>27212</v>
      </c>
      <c r="O2409" s="26">
        <v>2408206.2000000002</v>
      </c>
      <c r="P2409" s="5" t="s">
        <v>50</v>
      </c>
      <c r="Q2409" s="5" t="s">
        <v>51</v>
      </c>
      <c r="R2409">
        <v>4.5</v>
      </c>
      <c r="S2409">
        <v>15</v>
      </c>
      <c r="T2409">
        <f t="shared" si="37"/>
        <v>0</v>
      </c>
    </row>
    <row r="2410" spans="1:20">
      <c r="A2410" s="4">
        <v>45667</v>
      </c>
      <c r="B2410">
        <v>2025</v>
      </c>
      <c r="C2410">
        <v>1</v>
      </c>
      <c r="D2410" s="5" t="s">
        <v>44</v>
      </c>
      <c r="E2410" s="5" t="s">
        <v>45</v>
      </c>
      <c r="F2410" s="5" t="s">
        <v>46</v>
      </c>
      <c r="G2410" s="5" t="s">
        <v>47</v>
      </c>
      <c r="H2410" s="5" t="s">
        <v>39</v>
      </c>
      <c r="I2410" s="5" t="s">
        <v>40</v>
      </c>
      <c r="J2410" s="5" t="s">
        <v>41</v>
      </c>
      <c r="K2410">
        <v>47</v>
      </c>
      <c r="L2410">
        <v>562462</v>
      </c>
      <c r="M2410" s="26">
        <v>26435714</v>
      </c>
      <c r="N2410">
        <v>16713</v>
      </c>
      <c r="O2410" s="26">
        <v>2127645.4500000002</v>
      </c>
      <c r="P2410" s="5" t="s">
        <v>50</v>
      </c>
      <c r="Q2410" s="5" t="s">
        <v>75</v>
      </c>
      <c r="R2410">
        <v>3.9</v>
      </c>
      <c r="S2410">
        <v>16</v>
      </c>
      <c r="T2410">
        <f t="shared" si="37"/>
        <v>0</v>
      </c>
    </row>
    <row r="2411" spans="1:20">
      <c r="A2411" s="4">
        <v>45681</v>
      </c>
      <c r="B2411">
        <v>2025</v>
      </c>
      <c r="C2411">
        <v>1</v>
      </c>
      <c r="D2411" s="5" t="s">
        <v>44</v>
      </c>
      <c r="E2411" s="5" t="s">
        <v>45</v>
      </c>
      <c r="F2411" s="5" t="s">
        <v>46</v>
      </c>
      <c r="G2411" s="5" t="s">
        <v>47</v>
      </c>
      <c r="H2411" s="5" t="s">
        <v>74</v>
      </c>
      <c r="I2411" s="5" t="s">
        <v>40</v>
      </c>
      <c r="J2411" s="5" t="s">
        <v>49</v>
      </c>
      <c r="K2411">
        <v>58</v>
      </c>
      <c r="L2411">
        <v>636464</v>
      </c>
      <c r="M2411" s="26">
        <v>36914912</v>
      </c>
      <c r="N2411">
        <v>47704</v>
      </c>
      <c r="O2411" s="26">
        <v>4480940.3</v>
      </c>
      <c r="P2411" s="5" t="s">
        <v>50</v>
      </c>
      <c r="Q2411" s="5" t="s">
        <v>75</v>
      </c>
      <c r="R2411">
        <v>3.6</v>
      </c>
      <c r="S2411">
        <v>12</v>
      </c>
      <c r="T2411">
        <f t="shared" si="37"/>
        <v>0</v>
      </c>
    </row>
    <row r="2412" spans="1:20">
      <c r="A2412" s="4">
        <v>45674</v>
      </c>
      <c r="B2412">
        <v>2025</v>
      </c>
      <c r="C2412">
        <v>1</v>
      </c>
      <c r="D2412" s="5" t="s">
        <v>44</v>
      </c>
      <c r="E2412" s="5" t="s">
        <v>45</v>
      </c>
      <c r="F2412" s="5" t="s">
        <v>46</v>
      </c>
      <c r="G2412" s="5" t="s">
        <v>47</v>
      </c>
      <c r="H2412" s="5" t="s">
        <v>74</v>
      </c>
      <c r="I2412" s="5" t="s">
        <v>40</v>
      </c>
      <c r="J2412" s="5" t="s">
        <v>49</v>
      </c>
      <c r="K2412">
        <v>49</v>
      </c>
      <c r="L2412">
        <v>641951</v>
      </c>
      <c r="M2412" s="26">
        <v>31455599</v>
      </c>
      <c r="N2412">
        <v>17801</v>
      </c>
      <c r="O2412" s="26">
        <v>3527492.66</v>
      </c>
      <c r="P2412" s="5" t="s">
        <v>50</v>
      </c>
      <c r="Q2412" s="5" t="s">
        <v>43</v>
      </c>
      <c r="R2412">
        <v>3.7</v>
      </c>
      <c r="S2412">
        <v>9</v>
      </c>
      <c r="T2412">
        <f t="shared" si="37"/>
        <v>0</v>
      </c>
    </row>
    <row r="2413" spans="1:20">
      <c r="A2413" s="4">
        <v>45679</v>
      </c>
      <c r="B2413">
        <v>2025</v>
      </c>
      <c r="C2413">
        <v>1</v>
      </c>
      <c r="D2413" s="5" t="s">
        <v>35</v>
      </c>
      <c r="E2413" s="5" t="s">
        <v>60</v>
      </c>
      <c r="F2413" s="5" t="s">
        <v>61</v>
      </c>
      <c r="G2413" s="5" t="s">
        <v>62</v>
      </c>
      <c r="H2413" s="5" t="s">
        <v>52</v>
      </c>
      <c r="I2413" s="5" t="s">
        <v>53</v>
      </c>
      <c r="J2413" s="5" t="s">
        <v>41</v>
      </c>
      <c r="K2413">
        <v>25</v>
      </c>
      <c r="L2413">
        <v>973980</v>
      </c>
      <c r="M2413" s="26">
        <v>24349500</v>
      </c>
      <c r="N2413">
        <v>33277</v>
      </c>
      <c r="O2413" s="26">
        <v>3842397.73</v>
      </c>
      <c r="P2413" s="5" t="s">
        <v>42</v>
      </c>
      <c r="Q2413" s="5" t="s">
        <v>43</v>
      </c>
      <c r="R2413">
        <v>4.8</v>
      </c>
      <c r="S2413">
        <v>7</v>
      </c>
      <c r="T2413">
        <f t="shared" si="37"/>
        <v>1</v>
      </c>
    </row>
    <row r="2414" spans="1:20">
      <c r="A2414" s="4">
        <v>45683</v>
      </c>
      <c r="B2414">
        <v>2025</v>
      </c>
      <c r="C2414">
        <v>1</v>
      </c>
      <c r="D2414" s="5" t="s">
        <v>35</v>
      </c>
      <c r="E2414" s="5" t="s">
        <v>60</v>
      </c>
      <c r="F2414" s="5" t="s">
        <v>61</v>
      </c>
      <c r="G2414" s="5" t="s">
        <v>62</v>
      </c>
      <c r="H2414" s="5" t="s">
        <v>65</v>
      </c>
      <c r="I2414" s="5" t="s">
        <v>53</v>
      </c>
      <c r="J2414" s="5" t="s">
        <v>49</v>
      </c>
      <c r="K2414">
        <v>14</v>
      </c>
      <c r="L2414">
        <v>1265146</v>
      </c>
      <c r="M2414" s="26">
        <v>17712044</v>
      </c>
      <c r="N2414">
        <v>8949</v>
      </c>
      <c r="O2414" s="26">
        <v>1759578.27</v>
      </c>
      <c r="P2414" s="5" t="s">
        <v>42</v>
      </c>
      <c r="Q2414" s="5" t="s">
        <v>51</v>
      </c>
      <c r="R2414">
        <v>3.8</v>
      </c>
      <c r="S2414">
        <v>15</v>
      </c>
      <c r="T2414">
        <f t="shared" si="37"/>
        <v>1</v>
      </c>
    </row>
    <row r="2415" spans="1:20">
      <c r="A2415" s="4">
        <v>45684</v>
      </c>
      <c r="B2415">
        <v>2025</v>
      </c>
      <c r="C2415">
        <v>1</v>
      </c>
      <c r="D2415" s="5" t="s">
        <v>66</v>
      </c>
      <c r="E2415" s="5" t="s">
        <v>67</v>
      </c>
      <c r="F2415" s="5" t="s">
        <v>68</v>
      </c>
      <c r="G2415" s="5" t="s">
        <v>69</v>
      </c>
      <c r="H2415" s="5" t="s">
        <v>52</v>
      </c>
      <c r="I2415" s="5" t="s">
        <v>53</v>
      </c>
      <c r="J2415" s="5" t="s">
        <v>41</v>
      </c>
      <c r="K2415">
        <v>27</v>
      </c>
      <c r="L2415">
        <v>921586</v>
      </c>
      <c r="M2415" s="26">
        <v>24882822</v>
      </c>
      <c r="N2415">
        <v>12171</v>
      </c>
      <c r="O2415" s="26">
        <v>2109877.34</v>
      </c>
      <c r="P2415" s="5" t="s">
        <v>50</v>
      </c>
      <c r="Q2415" s="5" t="s">
        <v>51</v>
      </c>
      <c r="R2415">
        <v>4.0999999999999996</v>
      </c>
      <c r="S2415">
        <v>3</v>
      </c>
      <c r="T2415">
        <f t="shared" si="37"/>
        <v>0</v>
      </c>
    </row>
    <row r="2416" spans="1:20">
      <c r="A2416" s="4">
        <v>45670</v>
      </c>
      <c r="B2416">
        <v>2025</v>
      </c>
      <c r="C2416">
        <v>1</v>
      </c>
      <c r="D2416" s="5" t="s">
        <v>44</v>
      </c>
      <c r="E2416" s="5" t="s">
        <v>82</v>
      </c>
      <c r="F2416" s="5" t="s">
        <v>83</v>
      </c>
      <c r="G2416" s="5" t="s">
        <v>84</v>
      </c>
      <c r="H2416" s="5" t="s">
        <v>86</v>
      </c>
      <c r="I2416" s="5" t="s">
        <v>40</v>
      </c>
      <c r="J2416" s="5" t="s">
        <v>41</v>
      </c>
      <c r="K2416">
        <v>23</v>
      </c>
      <c r="L2416">
        <v>573045</v>
      </c>
      <c r="M2416" s="26">
        <v>13180035</v>
      </c>
      <c r="N2416">
        <v>29131</v>
      </c>
      <c r="O2416" s="26">
        <v>1323538.6299999999</v>
      </c>
      <c r="P2416" s="5" t="s">
        <v>42</v>
      </c>
      <c r="Q2416" s="5" t="s">
        <v>51</v>
      </c>
      <c r="R2416">
        <v>4.8</v>
      </c>
      <c r="S2416">
        <v>19</v>
      </c>
      <c r="T2416">
        <f t="shared" si="37"/>
        <v>1</v>
      </c>
    </row>
    <row r="2417" spans="1:20">
      <c r="A2417" s="4">
        <v>45666</v>
      </c>
      <c r="B2417">
        <v>2025</v>
      </c>
      <c r="C2417">
        <v>1</v>
      </c>
      <c r="D2417" s="5" t="s">
        <v>54</v>
      </c>
      <c r="E2417" s="5" t="s">
        <v>55</v>
      </c>
      <c r="F2417" s="5" t="s">
        <v>55</v>
      </c>
      <c r="G2417" s="5" t="s">
        <v>56</v>
      </c>
      <c r="H2417" s="5" t="s">
        <v>85</v>
      </c>
      <c r="I2417" s="5" t="s">
        <v>58</v>
      </c>
      <c r="J2417" s="5" t="s">
        <v>49</v>
      </c>
      <c r="K2417">
        <v>58</v>
      </c>
      <c r="L2417">
        <v>1003647</v>
      </c>
      <c r="M2417" s="26">
        <v>58211526</v>
      </c>
      <c r="N2417">
        <v>20318</v>
      </c>
      <c r="O2417" s="26">
        <v>8370653.4400000004</v>
      </c>
      <c r="P2417" s="5" t="s">
        <v>42</v>
      </c>
      <c r="Q2417" s="5" t="s">
        <v>43</v>
      </c>
      <c r="R2417">
        <v>3.8</v>
      </c>
      <c r="S2417">
        <v>18</v>
      </c>
      <c r="T2417">
        <f t="shared" si="37"/>
        <v>1</v>
      </c>
    </row>
    <row r="2418" spans="1:20">
      <c r="A2418" s="4">
        <v>45680</v>
      </c>
      <c r="B2418">
        <v>2025</v>
      </c>
      <c r="C2418">
        <v>1</v>
      </c>
      <c r="D2418" s="5" t="s">
        <v>35</v>
      </c>
      <c r="E2418" s="5" t="s">
        <v>36</v>
      </c>
      <c r="F2418" s="5" t="s">
        <v>37</v>
      </c>
      <c r="G2418" s="5" t="s">
        <v>38</v>
      </c>
      <c r="H2418" s="5" t="s">
        <v>63</v>
      </c>
      <c r="I2418" s="5" t="s">
        <v>64</v>
      </c>
      <c r="J2418" s="5" t="s">
        <v>41</v>
      </c>
      <c r="K2418">
        <v>17</v>
      </c>
      <c r="L2418">
        <v>762944</v>
      </c>
      <c r="M2418" s="26">
        <v>12970048</v>
      </c>
      <c r="N2418">
        <v>38887</v>
      </c>
      <c r="O2418" s="26">
        <v>1100214.99</v>
      </c>
      <c r="P2418" s="5" t="s">
        <v>50</v>
      </c>
      <c r="Q2418" s="5" t="s">
        <v>43</v>
      </c>
      <c r="R2418">
        <v>4.2</v>
      </c>
      <c r="S2418">
        <v>9</v>
      </c>
      <c r="T2418">
        <f t="shared" si="37"/>
        <v>0</v>
      </c>
    </row>
    <row r="2419" spans="1:20">
      <c r="A2419" s="4">
        <v>45677</v>
      </c>
      <c r="B2419">
        <v>2025</v>
      </c>
      <c r="C2419">
        <v>1</v>
      </c>
      <c r="D2419" s="5" t="s">
        <v>35</v>
      </c>
      <c r="E2419" s="5" t="s">
        <v>36</v>
      </c>
      <c r="F2419" s="5" t="s">
        <v>37</v>
      </c>
      <c r="G2419" s="5" t="s">
        <v>38</v>
      </c>
      <c r="H2419" s="5" t="s">
        <v>52</v>
      </c>
      <c r="I2419" s="5" t="s">
        <v>53</v>
      </c>
      <c r="J2419" s="5" t="s">
        <v>41</v>
      </c>
      <c r="K2419">
        <v>28</v>
      </c>
      <c r="L2419">
        <v>975728</v>
      </c>
      <c r="M2419" s="26">
        <v>27320384</v>
      </c>
      <c r="N2419">
        <v>42326</v>
      </c>
      <c r="O2419" s="26">
        <v>4310117.41</v>
      </c>
      <c r="P2419" s="5" t="s">
        <v>50</v>
      </c>
      <c r="Q2419" s="5" t="s">
        <v>43</v>
      </c>
      <c r="R2419">
        <v>3.9</v>
      </c>
      <c r="S2419">
        <v>11</v>
      </c>
      <c r="T2419">
        <f t="shared" si="37"/>
        <v>0</v>
      </c>
    </row>
    <row r="2420" spans="1:20">
      <c r="A2420" s="4">
        <v>45679</v>
      </c>
      <c r="B2420">
        <v>2025</v>
      </c>
      <c r="C2420">
        <v>1</v>
      </c>
      <c r="D2420" s="5" t="s">
        <v>66</v>
      </c>
      <c r="E2420" s="5" t="s">
        <v>67</v>
      </c>
      <c r="F2420" s="5" t="s">
        <v>68</v>
      </c>
      <c r="G2420" s="5" t="s">
        <v>69</v>
      </c>
      <c r="H2420" s="5" t="s">
        <v>52</v>
      </c>
      <c r="I2420" s="5" t="s">
        <v>53</v>
      </c>
      <c r="J2420" s="5" t="s">
        <v>41</v>
      </c>
      <c r="K2420">
        <v>55</v>
      </c>
      <c r="L2420">
        <v>964315</v>
      </c>
      <c r="M2420" s="26">
        <v>53037325</v>
      </c>
      <c r="N2420">
        <v>17051</v>
      </c>
      <c r="O2420" s="26">
        <v>5444738.3600000003</v>
      </c>
      <c r="P2420" s="5" t="s">
        <v>42</v>
      </c>
      <c r="Q2420" s="5" t="s">
        <v>51</v>
      </c>
      <c r="R2420">
        <v>4.9000000000000004</v>
      </c>
      <c r="S2420">
        <v>16</v>
      </c>
      <c r="T2420">
        <f t="shared" si="37"/>
        <v>1</v>
      </c>
    </row>
    <row r="2421" spans="1:20">
      <c r="A2421" s="4">
        <v>45681</v>
      </c>
      <c r="B2421">
        <v>2025</v>
      </c>
      <c r="C2421">
        <v>1</v>
      </c>
      <c r="D2421" s="5" t="s">
        <v>54</v>
      </c>
      <c r="E2421" s="5" t="s">
        <v>55</v>
      </c>
      <c r="F2421" s="5" t="s">
        <v>55</v>
      </c>
      <c r="G2421" s="5" t="s">
        <v>56</v>
      </c>
      <c r="H2421" s="5" t="s">
        <v>80</v>
      </c>
      <c r="I2421" s="5" t="s">
        <v>81</v>
      </c>
      <c r="J2421" s="5" t="s">
        <v>41</v>
      </c>
      <c r="K2421">
        <v>24</v>
      </c>
      <c r="L2421">
        <v>566795</v>
      </c>
      <c r="M2421" s="26">
        <v>13603080</v>
      </c>
      <c r="N2421">
        <v>31300</v>
      </c>
      <c r="O2421" s="26">
        <v>1408129.09</v>
      </c>
      <c r="P2421" s="5" t="s">
        <v>50</v>
      </c>
      <c r="Q2421" s="5" t="s">
        <v>51</v>
      </c>
      <c r="R2421">
        <v>4.4000000000000004</v>
      </c>
      <c r="S2421">
        <v>16</v>
      </c>
      <c r="T2421">
        <f t="shared" si="37"/>
        <v>0</v>
      </c>
    </row>
    <row r="2422" spans="1:20">
      <c r="A2422" s="4">
        <v>45662</v>
      </c>
      <c r="B2422">
        <v>2025</v>
      </c>
      <c r="C2422">
        <v>1</v>
      </c>
      <c r="D2422" s="5" t="s">
        <v>35</v>
      </c>
      <c r="E2422" s="5" t="s">
        <v>76</v>
      </c>
      <c r="F2422" s="5" t="s">
        <v>77</v>
      </c>
      <c r="G2422" s="5" t="s">
        <v>78</v>
      </c>
      <c r="H2422" s="5" t="s">
        <v>48</v>
      </c>
      <c r="I2422" s="5" t="s">
        <v>40</v>
      </c>
      <c r="J2422" s="5" t="s">
        <v>49</v>
      </c>
      <c r="K2422">
        <v>24</v>
      </c>
      <c r="L2422">
        <v>478963</v>
      </c>
      <c r="M2422" s="26">
        <v>11495112</v>
      </c>
      <c r="N2422">
        <v>38428</v>
      </c>
      <c r="O2422" s="26">
        <v>1235477.97</v>
      </c>
      <c r="P2422" s="5" t="s">
        <v>42</v>
      </c>
      <c r="Q2422" s="5" t="s">
        <v>75</v>
      </c>
      <c r="R2422">
        <v>4.2</v>
      </c>
      <c r="S2422">
        <v>6</v>
      </c>
      <c r="T2422">
        <f t="shared" si="37"/>
        <v>1</v>
      </c>
    </row>
    <row r="2423" spans="1:20">
      <c r="A2423" s="4">
        <v>45666</v>
      </c>
      <c r="B2423">
        <v>2025</v>
      </c>
      <c r="C2423">
        <v>1</v>
      </c>
      <c r="D2423" s="5" t="s">
        <v>44</v>
      </c>
      <c r="E2423" s="5" t="s">
        <v>45</v>
      </c>
      <c r="F2423" s="5" t="s">
        <v>46</v>
      </c>
      <c r="G2423" s="5" t="s">
        <v>47</v>
      </c>
      <c r="H2423" s="5" t="s">
        <v>52</v>
      </c>
      <c r="I2423" s="5" t="s">
        <v>53</v>
      </c>
      <c r="J2423" s="5" t="s">
        <v>41</v>
      </c>
      <c r="K2423">
        <v>54</v>
      </c>
      <c r="L2423">
        <v>943466</v>
      </c>
      <c r="M2423" s="26">
        <v>50947164</v>
      </c>
      <c r="N2423">
        <v>27147</v>
      </c>
      <c r="O2423" s="26">
        <v>5534515.5999999996</v>
      </c>
      <c r="P2423" s="5" t="s">
        <v>42</v>
      </c>
      <c r="Q2423" s="5" t="s">
        <v>43</v>
      </c>
      <c r="R2423">
        <v>4.7</v>
      </c>
      <c r="S2423">
        <v>17</v>
      </c>
      <c r="T2423">
        <f t="shared" si="37"/>
        <v>1</v>
      </c>
    </row>
    <row r="2424" spans="1:20">
      <c r="A2424" s="4">
        <v>45663</v>
      </c>
      <c r="B2424">
        <v>2025</v>
      </c>
      <c r="C2424">
        <v>1</v>
      </c>
      <c r="D2424" s="5" t="s">
        <v>66</v>
      </c>
      <c r="E2424" s="5" t="s">
        <v>67</v>
      </c>
      <c r="F2424" s="5" t="s">
        <v>68</v>
      </c>
      <c r="G2424" s="5" t="s">
        <v>69</v>
      </c>
      <c r="H2424" s="5" t="s">
        <v>79</v>
      </c>
      <c r="I2424" s="5" t="s">
        <v>58</v>
      </c>
      <c r="J2424" s="5" t="s">
        <v>49</v>
      </c>
      <c r="K2424">
        <v>27</v>
      </c>
      <c r="L2424">
        <v>881857</v>
      </c>
      <c r="M2424" s="26">
        <v>23810139</v>
      </c>
      <c r="N2424">
        <v>39792</v>
      </c>
      <c r="O2424" s="26">
        <v>3173924.69</v>
      </c>
      <c r="P2424" s="5" t="s">
        <v>50</v>
      </c>
      <c r="Q2424" s="5" t="s">
        <v>43</v>
      </c>
      <c r="R2424">
        <v>4.4000000000000004</v>
      </c>
      <c r="S2424">
        <v>3</v>
      </c>
      <c r="T2424">
        <f t="shared" si="37"/>
        <v>0</v>
      </c>
    </row>
    <row r="2425" spans="1:20">
      <c r="A2425" s="4">
        <v>45664</v>
      </c>
      <c r="B2425">
        <v>2025</v>
      </c>
      <c r="C2425">
        <v>1</v>
      </c>
      <c r="D2425" s="5" t="s">
        <v>35</v>
      </c>
      <c r="E2425" s="5" t="s">
        <v>60</v>
      </c>
      <c r="F2425" s="5" t="s">
        <v>61</v>
      </c>
      <c r="G2425" s="5" t="s">
        <v>62</v>
      </c>
      <c r="H2425" s="5" t="s">
        <v>63</v>
      </c>
      <c r="I2425" s="5" t="s">
        <v>64</v>
      </c>
      <c r="J2425" s="5" t="s">
        <v>41</v>
      </c>
      <c r="K2425">
        <v>21</v>
      </c>
      <c r="L2425">
        <v>738845</v>
      </c>
      <c r="M2425" s="26">
        <v>15515745</v>
      </c>
      <c r="N2425">
        <v>13249</v>
      </c>
      <c r="O2425" s="26">
        <v>1912291.21</v>
      </c>
      <c r="P2425" s="5" t="s">
        <v>50</v>
      </c>
      <c r="Q2425" s="5" t="s">
        <v>43</v>
      </c>
      <c r="R2425">
        <v>4.5</v>
      </c>
      <c r="S2425">
        <v>21</v>
      </c>
      <c r="T2425">
        <f t="shared" si="37"/>
        <v>0</v>
      </c>
    </row>
    <row r="2426" spans="1:20">
      <c r="A2426" s="4">
        <v>45671</v>
      </c>
      <c r="B2426">
        <v>2025</v>
      </c>
      <c r="C2426">
        <v>1</v>
      </c>
      <c r="D2426" s="5" t="s">
        <v>35</v>
      </c>
      <c r="E2426" s="5" t="s">
        <v>76</v>
      </c>
      <c r="F2426" s="5" t="s">
        <v>77</v>
      </c>
      <c r="G2426" s="5" t="s">
        <v>78</v>
      </c>
      <c r="H2426" s="5" t="s">
        <v>86</v>
      </c>
      <c r="I2426" s="5" t="s">
        <v>40</v>
      </c>
      <c r="J2426" s="5" t="s">
        <v>41</v>
      </c>
      <c r="K2426">
        <v>27</v>
      </c>
      <c r="L2426">
        <v>587960</v>
      </c>
      <c r="M2426" s="26">
        <v>15874920</v>
      </c>
      <c r="N2426">
        <v>21606</v>
      </c>
      <c r="O2426" s="26">
        <v>2028252.26</v>
      </c>
      <c r="P2426" s="5" t="s">
        <v>42</v>
      </c>
      <c r="Q2426" s="5" t="s">
        <v>51</v>
      </c>
      <c r="R2426">
        <v>3.5</v>
      </c>
      <c r="S2426">
        <v>18</v>
      </c>
      <c r="T2426">
        <f t="shared" si="37"/>
        <v>1</v>
      </c>
    </row>
    <row r="2427" spans="1:20">
      <c r="A2427" s="4">
        <v>45668</v>
      </c>
      <c r="B2427">
        <v>2025</v>
      </c>
      <c r="C2427">
        <v>1</v>
      </c>
      <c r="D2427" s="5" t="s">
        <v>35</v>
      </c>
      <c r="E2427" s="5" t="s">
        <v>36</v>
      </c>
      <c r="F2427" s="5" t="s">
        <v>37</v>
      </c>
      <c r="G2427" s="5" t="s">
        <v>38</v>
      </c>
      <c r="H2427" s="5" t="s">
        <v>85</v>
      </c>
      <c r="I2427" s="5" t="s">
        <v>58</v>
      </c>
      <c r="J2427" s="5" t="s">
        <v>49</v>
      </c>
      <c r="K2427">
        <v>16</v>
      </c>
      <c r="L2427">
        <v>980539</v>
      </c>
      <c r="M2427" s="26">
        <v>15688624</v>
      </c>
      <c r="N2427">
        <v>10703</v>
      </c>
      <c r="O2427" s="26">
        <v>2035383.11</v>
      </c>
      <c r="P2427" s="5" t="s">
        <v>50</v>
      </c>
      <c r="Q2427" s="5" t="s">
        <v>75</v>
      </c>
      <c r="R2427">
        <v>4.5</v>
      </c>
      <c r="S2427">
        <v>14</v>
      </c>
      <c r="T2427">
        <f t="shared" si="37"/>
        <v>0</v>
      </c>
    </row>
    <row r="2428" spans="1:20">
      <c r="A2428" s="4">
        <v>45669</v>
      </c>
      <c r="B2428">
        <v>2025</v>
      </c>
      <c r="C2428">
        <v>1</v>
      </c>
      <c r="D2428" s="5" t="s">
        <v>44</v>
      </c>
      <c r="E2428" s="5" t="s">
        <v>82</v>
      </c>
      <c r="F2428" s="5" t="s">
        <v>83</v>
      </c>
      <c r="G2428" s="5" t="s">
        <v>84</v>
      </c>
      <c r="H2428" s="5" t="s">
        <v>63</v>
      </c>
      <c r="I2428" s="5" t="s">
        <v>64</v>
      </c>
      <c r="J2428" s="5" t="s">
        <v>41</v>
      </c>
      <c r="K2428">
        <v>30</v>
      </c>
      <c r="L2428">
        <v>760041</v>
      </c>
      <c r="M2428" s="26">
        <v>22801230</v>
      </c>
      <c r="N2428">
        <v>43118</v>
      </c>
      <c r="O2428" s="26">
        <v>3644349.85</v>
      </c>
      <c r="P2428" s="5" t="s">
        <v>42</v>
      </c>
      <c r="Q2428" s="5" t="s">
        <v>43</v>
      </c>
      <c r="R2428">
        <v>4.3</v>
      </c>
      <c r="S2428">
        <v>10</v>
      </c>
      <c r="T2428">
        <f t="shared" si="37"/>
        <v>1</v>
      </c>
    </row>
    <row r="2429" spans="1:20">
      <c r="A2429" s="4">
        <v>45666</v>
      </c>
      <c r="B2429">
        <v>2025</v>
      </c>
      <c r="C2429">
        <v>1</v>
      </c>
      <c r="D2429" s="5" t="s">
        <v>35</v>
      </c>
      <c r="E2429" s="5" t="s">
        <v>36</v>
      </c>
      <c r="F2429" s="5" t="s">
        <v>37</v>
      </c>
      <c r="G2429" s="5" t="s">
        <v>38</v>
      </c>
      <c r="H2429" s="5" t="s">
        <v>48</v>
      </c>
      <c r="I2429" s="5" t="s">
        <v>40</v>
      </c>
      <c r="J2429" s="5" t="s">
        <v>49</v>
      </c>
      <c r="K2429">
        <v>30</v>
      </c>
      <c r="L2429">
        <v>443562</v>
      </c>
      <c r="M2429" s="26">
        <v>13306860</v>
      </c>
      <c r="N2429">
        <v>45986</v>
      </c>
      <c r="O2429" s="26">
        <v>1921473.18</v>
      </c>
      <c r="P2429" s="5" t="s">
        <v>50</v>
      </c>
      <c r="Q2429" s="5" t="s">
        <v>43</v>
      </c>
      <c r="R2429">
        <v>4.4000000000000004</v>
      </c>
      <c r="S2429">
        <v>9</v>
      </c>
      <c r="T2429">
        <f t="shared" si="37"/>
        <v>0</v>
      </c>
    </row>
    <row r="2430" spans="1:20">
      <c r="A2430" s="4">
        <v>45665</v>
      </c>
      <c r="B2430">
        <v>2025</v>
      </c>
      <c r="C2430">
        <v>1</v>
      </c>
      <c r="D2430" s="5" t="s">
        <v>35</v>
      </c>
      <c r="E2430" s="5" t="s">
        <v>76</v>
      </c>
      <c r="F2430" s="5" t="s">
        <v>77</v>
      </c>
      <c r="G2430" s="5" t="s">
        <v>78</v>
      </c>
      <c r="H2430" s="5" t="s">
        <v>52</v>
      </c>
      <c r="I2430" s="5" t="s">
        <v>53</v>
      </c>
      <c r="J2430" s="5" t="s">
        <v>41</v>
      </c>
      <c r="K2430">
        <v>35</v>
      </c>
      <c r="L2430">
        <v>968439</v>
      </c>
      <c r="M2430" s="26">
        <v>33895365</v>
      </c>
      <c r="N2430">
        <v>27531</v>
      </c>
      <c r="O2430" s="26">
        <v>5244445</v>
      </c>
      <c r="P2430" s="5" t="s">
        <v>50</v>
      </c>
      <c r="Q2430" s="5" t="s">
        <v>75</v>
      </c>
      <c r="R2430">
        <v>4.5</v>
      </c>
      <c r="S2430">
        <v>10</v>
      </c>
      <c r="T2430">
        <f t="shared" si="37"/>
        <v>0</v>
      </c>
    </row>
    <row r="2431" spans="1:20">
      <c r="A2431" s="4">
        <v>45680</v>
      </c>
      <c r="B2431">
        <v>2025</v>
      </c>
      <c r="C2431">
        <v>1</v>
      </c>
      <c r="D2431" s="5" t="s">
        <v>54</v>
      </c>
      <c r="E2431" s="5" t="s">
        <v>55</v>
      </c>
      <c r="F2431" s="5" t="s">
        <v>55</v>
      </c>
      <c r="G2431" s="5" t="s">
        <v>56</v>
      </c>
      <c r="H2431" s="5" t="s">
        <v>80</v>
      </c>
      <c r="I2431" s="5" t="s">
        <v>81</v>
      </c>
      <c r="J2431" s="5" t="s">
        <v>41</v>
      </c>
      <c r="K2431">
        <v>23</v>
      </c>
      <c r="L2431">
        <v>559885</v>
      </c>
      <c r="M2431" s="26">
        <v>12877355</v>
      </c>
      <c r="N2431">
        <v>35955</v>
      </c>
      <c r="O2431" s="26">
        <v>1284238.3700000001</v>
      </c>
      <c r="P2431" s="5" t="s">
        <v>42</v>
      </c>
      <c r="Q2431" s="5" t="s">
        <v>75</v>
      </c>
      <c r="R2431">
        <v>4.5</v>
      </c>
      <c r="S2431">
        <v>6</v>
      </c>
      <c r="T2431">
        <f t="shared" si="37"/>
        <v>1</v>
      </c>
    </row>
    <row r="2432" spans="1:20">
      <c r="A2432" s="4">
        <v>45683</v>
      </c>
      <c r="B2432">
        <v>2025</v>
      </c>
      <c r="C2432">
        <v>1</v>
      </c>
      <c r="D2432" s="5" t="s">
        <v>35</v>
      </c>
      <c r="E2432" s="5" t="s">
        <v>60</v>
      </c>
      <c r="F2432" s="5" t="s">
        <v>61</v>
      </c>
      <c r="G2432" s="5" t="s">
        <v>62</v>
      </c>
      <c r="H2432" s="5" t="s">
        <v>52</v>
      </c>
      <c r="I2432" s="5" t="s">
        <v>53</v>
      </c>
      <c r="J2432" s="5" t="s">
        <v>41</v>
      </c>
      <c r="K2432">
        <v>12</v>
      </c>
      <c r="L2432">
        <v>927280</v>
      </c>
      <c r="M2432" s="26">
        <v>11127360</v>
      </c>
      <c r="N2432">
        <v>17037</v>
      </c>
      <c r="O2432" s="26">
        <v>1629898.05</v>
      </c>
      <c r="P2432" s="5" t="s">
        <v>42</v>
      </c>
      <c r="Q2432" s="5" t="s">
        <v>75</v>
      </c>
      <c r="R2432">
        <v>4.5</v>
      </c>
      <c r="S2432">
        <v>3</v>
      </c>
      <c r="T2432">
        <f t="shared" si="37"/>
        <v>1</v>
      </c>
    </row>
    <row r="2433" spans="1:20">
      <c r="A2433" s="4">
        <v>45681</v>
      </c>
      <c r="B2433">
        <v>2025</v>
      </c>
      <c r="C2433">
        <v>1</v>
      </c>
      <c r="D2433" s="5" t="s">
        <v>35</v>
      </c>
      <c r="E2433" s="5" t="s">
        <v>60</v>
      </c>
      <c r="F2433" s="5" t="s">
        <v>61</v>
      </c>
      <c r="G2433" s="5" t="s">
        <v>62</v>
      </c>
      <c r="H2433" s="5" t="s">
        <v>65</v>
      </c>
      <c r="I2433" s="5" t="s">
        <v>53</v>
      </c>
      <c r="J2433" s="5" t="s">
        <v>49</v>
      </c>
      <c r="K2433">
        <v>23</v>
      </c>
      <c r="L2433">
        <v>1255923</v>
      </c>
      <c r="M2433" s="26">
        <v>28886229</v>
      </c>
      <c r="N2433">
        <v>31316</v>
      </c>
      <c r="O2433" s="26">
        <v>4579688.08</v>
      </c>
      <c r="P2433" s="5" t="s">
        <v>50</v>
      </c>
      <c r="Q2433" s="5" t="s">
        <v>43</v>
      </c>
      <c r="R2433">
        <v>4.3</v>
      </c>
      <c r="S2433">
        <v>2</v>
      </c>
      <c r="T2433">
        <f t="shared" si="37"/>
        <v>0</v>
      </c>
    </row>
    <row r="2434" spans="1:20">
      <c r="A2434" s="4">
        <v>45667</v>
      </c>
      <c r="B2434">
        <v>2025</v>
      </c>
      <c r="C2434">
        <v>1</v>
      </c>
      <c r="D2434" s="5" t="s">
        <v>35</v>
      </c>
      <c r="E2434" s="5" t="s">
        <v>36</v>
      </c>
      <c r="F2434" s="5" t="s">
        <v>37</v>
      </c>
      <c r="G2434" s="5" t="s">
        <v>38</v>
      </c>
      <c r="H2434" s="5" t="s">
        <v>39</v>
      </c>
      <c r="I2434" s="5" t="s">
        <v>40</v>
      </c>
      <c r="J2434" s="5" t="s">
        <v>41</v>
      </c>
      <c r="K2434">
        <v>44</v>
      </c>
      <c r="L2434">
        <v>594601</v>
      </c>
      <c r="M2434" s="26">
        <v>26162444</v>
      </c>
      <c r="N2434">
        <v>22402</v>
      </c>
      <c r="O2434" s="26">
        <v>2663702.25</v>
      </c>
      <c r="P2434" s="5" t="s">
        <v>42</v>
      </c>
      <c r="Q2434" s="5" t="s">
        <v>51</v>
      </c>
      <c r="R2434">
        <v>3.7</v>
      </c>
      <c r="S2434">
        <v>8</v>
      </c>
      <c r="T2434">
        <f t="shared" ref="T2434:T2497" si="38">IF(AND(OR($B2434=Sel_Year,Sel_Year="All"),OR($C2434=Sel_Month,Sel_Month="All"),OR($D2434=Sel_Region,Sel_Region="All"),OR($E2434=Sel_State,Sel_State="All"),OR($F2434=Sel_City,Sel_City="All"),OR($G2434=Sel_Dealer,Sel_Dealer="All"),OR($H2434=Sel_Model,Sel_Model="All"),OR($I2434=Sel_Segment,Sel_Segment="All"),OR($J2434=Sel_Fuel,Sel_Fuel="All"),OR($P2434=Sel_CustType,Sel_CustType="All"),OR($Q2434=Sel_Payment,Sel_Payment="All")),1,0)</f>
        <v>1</v>
      </c>
    </row>
    <row r="2435" spans="1:20">
      <c r="A2435" s="4">
        <v>45658</v>
      </c>
      <c r="B2435">
        <v>2025</v>
      </c>
      <c r="C2435">
        <v>1</v>
      </c>
      <c r="D2435" s="5" t="s">
        <v>44</v>
      </c>
      <c r="E2435" s="5" t="s">
        <v>82</v>
      </c>
      <c r="F2435" s="5" t="s">
        <v>83</v>
      </c>
      <c r="G2435" s="5" t="s">
        <v>84</v>
      </c>
      <c r="H2435" s="5" t="s">
        <v>85</v>
      </c>
      <c r="I2435" s="5" t="s">
        <v>58</v>
      </c>
      <c r="J2435" s="5" t="s">
        <v>49</v>
      </c>
      <c r="K2435">
        <v>42</v>
      </c>
      <c r="L2435">
        <v>998395</v>
      </c>
      <c r="M2435" s="26">
        <v>41932590</v>
      </c>
      <c r="N2435">
        <v>49167</v>
      </c>
      <c r="O2435" s="26">
        <v>5548039.8799999999</v>
      </c>
      <c r="P2435" s="5" t="s">
        <v>50</v>
      </c>
      <c r="Q2435" s="5" t="s">
        <v>75</v>
      </c>
      <c r="R2435">
        <v>4.8</v>
      </c>
      <c r="S2435">
        <v>11</v>
      </c>
      <c r="T2435">
        <f t="shared" si="38"/>
        <v>0</v>
      </c>
    </row>
    <row r="2436" spans="1:20">
      <c r="A2436" s="4">
        <v>45663</v>
      </c>
      <c r="B2436">
        <v>2025</v>
      </c>
      <c r="C2436">
        <v>1</v>
      </c>
      <c r="D2436" s="5" t="s">
        <v>35</v>
      </c>
      <c r="E2436" s="5" t="s">
        <v>60</v>
      </c>
      <c r="F2436" s="5" t="s">
        <v>61</v>
      </c>
      <c r="G2436" s="5" t="s">
        <v>62</v>
      </c>
      <c r="H2436" s="5" t="s">
        <v>86</v>
      </c>
      <c r="I2436" s="5" t="s">
        <v>40</v>
      </c>
      <c r="J2436" s="5" t="s">
        <v>41</v>
      </c>
      <c r="K2436">
        <v>18</v>
      </c>
      <c r="L2436">
        <v>581076</v>
      </c>
      <c r="M2436" s="26">
        <v>10459368</v>
      </c>
      <c r="N2436">
        <v>9218</v>
      </c>
      <c r="O2436" s="26">
        <v>1083070.81</v>
      </c>
      <c r="P2436" s="5" t="s">
        <v>42</v>
      </c>
      <c r="Q2436" s="5" t="s">
        <v>43</v>
      </c>
      <c r="R2436">
        <v>4.0999999999999996</v>
      </c>
      <c r="S2436">
        <v>13</v>
      </c>
      <c r="T2436">
        <f t="shared" si="38"/>
        <v>1</v>
      </c>
    </row>
    <row r="2437" spans="1:20">
      <c r="A2437" s="4">
        <v>45662</v>
      </c>
      <c r="B2437">
        <v>2025</v>
      </c>
      <c r="C2437">
        <v>1</v>
      </c>
      <c r="D2437" s="5" t="s">
        <v>35</v>
      </c>
      <c r="E2437" s="5" t="s">
        <v>76</v>
      </c>
      <c r="F2437" s="5" t="s">
        <v>77</v>
      </c>
      <c r="G2437" s="5" t="s">
        <v>78</v>
      </c>
      <c r="H2437" s="5" t="s">
        <v>74</v>
      </c>
      <c r="I2437" s="5" t="s">
        <v>40</v>
      </c>
      <c r="J2437" s="5" t="s">
        <v>49</v>
      </c>
      <c r="K2437">
        <v>22</v>
      </c>
      <c r="L2437">
        <v>647481</v>
      </c>
      <c r="M2437" s="26">
        <v>14244582</v>
      </c>
      <c r="N2437">
        <v>45907</v>
      </c>
      <c r="O2437" s="26">
        <v>1404497.77</v>
      </c>
      <c r="P2437" s="5" t="s">
        <v>42</v>
      </c>
      <c r="Q2437" s="5" t="s">
        <v>43</v>
      </c>
      <c r="R2437">
        <v>4.7</v>
      </c>
      <c r="S2437">
        <v>7</v>
      </c>
      <c r="T2437">
        <f t="shared" si="38"/>
        <v>1</v>
      </c>
    </row>
    <row r="2438" spans="1:20">
      <c r="A2438" s="4">
        <v>45678</v>
      </c>
      <c r="B2438">
        <v>2025</v>
      </c>
      <c r="C2438">
        <v>1</v>
      </c>
      <c r="D2438" s="5" t="s">
        <v>54</v>
      </c>
      <c r="E2438" s="5" t="s">
        <v>55</v>
      </c>
      <c r="F2438" s="5" t="s">
        <v>55</v>
      </c>
      <c r="G2438" s="5" t="s">
        <v>56</v>
      </c>
      <c r="H2438" s="5" t="s">
        <v>86</v>
      </c>
      <c r="I2438" s="5" t="s">
        <v>40</v>
      </c>
      <c r="J2438" s="5" t="s">
        <v>41</v>
      </c>
      <c r="K2438">
        <v>44</v>
      </c>
      <c r="L2438">
        <v>607957</v>
      </c>
      <c r="M2438" s="26">
        <v>26750108</v>
      </c>
      <c r="N2438">
        <v>10878</v>
      </c>
      <c r="O2438" s="26">
        <v>2607816.7000000002</v>
      </c>
      <c r="P2438" s="5" t="s">
        <v>42</v>
      </c>
      <c r="Q2438" s="5" t="s">
        <v>75</v>
      </c>
      <c r="R2438">
        <v>3.5</v>
      </c>
      <c r="S2438">
        <v>17</v>
      </c>
      <c r="T2438">
        <f t="shared" si="38"/>
        <v>1</v>
      </c>
    </row>
    <row r="2439" spans="1:20">
      <c r="A2439" s="4">
        <v>45659</v>
      </c>
      <c r="B2439">
        <v>2025</v>
      </c>
      <c r="C2439">
        <v>1</v>
      </c>
      <c r="D2439" s="5" t="s">
        <v>54</v>
      </c>
      <c r="E2439" s="5" t="s">
        <v>70</v>
      </c>
      <c r="F2439" s="5" t="s">
        <v>71</v>
      </c>
      <c r="G2439" s="5" t="s">
        <v>72</v>
      </c>
      <c r="H2439" s="5" t="s">
        <v>65</v>
      </c>
      <c r="I2439" s="5" t="s">
        <v>53</v>
      </c>
      <c r="J2439" s="5" t="s">
        <v>49</v>
      </c>
      <c r="K2439">
        <v>31</v>
      </c>
      <c r="L2439">
        <v>1257218</v>
      </c>
      <c r="M2439" s="26">
        <v>38973758</v>
      </c>
      <c r="N2439">
        <v>28384</v>
      </c>
      <c r="O2439" s="26">
        <v>5269398.88</v>
      </c>
      <c r="P2439" s="5" t="s">
        <v>42</v>
      </c>
      <c r="Q2439" s="5" t="s">
        <v>51</v>
      </c>
      <c r="R2439">
        <v>4.9000000000000004</v>
      </c>
      <c r="S2439">
        <v>14</v>
      </c>
      <c r="T2439">
        <f t="shared" si="38"/>
        <v>1</v>
      </c>
    </row>
    <row r="2440" spans="1:20">
      <c r="A2440" s="4">
        <v>45684</v>
      </c>
      <c r="B2440">
        <v>2025</v>
      </c>
      <c r="C2440">
        <v>1</v>
      </c>
      <c r="D2440" s="5" t="s">
        <v>54</v>
      </c>
      <c r="E2440" s="5" t="s">
        <v>70</v>
      </c>
      <c r="F2440" s="5" t="s">
        <v>71</v>
      </c>
      <c r="G2440" s="5" t="s">
        <v>72</v>
      </c>
      <c r="H2440" s="5" t="s">
        <v>86</v>
      </c>
      <c r="I2440" s="5" t="s">
        <v>40</v>
      </c>
      <c r="J2440" s="5" t="s">
        <v>41</v>
      </c>
      <c r="K2440">
        <v>9</v>
      </c>
      <c r="L2440">
        <v>618293</v>
      </c>
      <c r="M2440" s="26">
        <v>5564637</v>
      </c>
      <c r="N2440">
        <v>12386</v>
      </c>
      <c r="O2440" s="26">
        <v>825359.13</v>
      </c>
      <c r="P2440" s="5" t="s">
        <v>50</v>
      </c>
      <c r="Q2440" s="5" t="s">
        <v>51</v>
      </c>
      <c r="R2440">
        <v>4.8</v>
      </c>
      <c r="S2440">
        <v>9</v>
      </c>
      <c r="T2440">
        <f t="shared" si="38"/>
        <v>0</v>
      </c>
    </row>
    <row r="2441" spans="1:20">
      <c r="A2441" s="4">
        <v>45658</v>
      </c>
      <c r="B2441">
        <v>2025</v>
      </c>
      <c r="C2441">
        <v>1</v>
      </c>
      <c r="D2441" s="5" t="s">
        <v>44</v>
      </c>
      <c r="E2441" s="5" t="s">
        <v>45</v>
      </c>
      <c r="F2441" s="5" t="s">
        <v>46</v>
      </c>
      <c r="G2441" s="5" t="s">
        <v>47</v>
      </c>
      <c r="H2441" s="5" t="s">
        <v>73</v>
      </c>
      <c r="I2441" s="5" t="s">
        <v>40</v>
      </c>
      <c r="J2441" s="5" t="s">
        <v>49</v>
      </c>
      <c r="K2441">
        <v>52</v>
      </c>
      <c r="L2441">
        <v>748696</v>
      </c>
      <c r="M2441" s="26">
        <v>38932192</v>
      </c>
      <c r="N2441">
        <v>9369</v>
      </c>
      <c r="O2441" s="26">
        <v>4502647.2300000004</v>
      </c>
      <c r="P2441" s="5" t="s">
        <v>50</v>
      </c>
      <c r="Q2441" s="5" t="s">
        <v>75</v>
      </c>
      <c r="R2441">
        <v>4.7</v>
      </c>
      <c r="S2441">
        <v>21</v>
      </c>
      <c r="T2441">
        <f t="shared" si="38"/>
        <v>0</v>
      </c>
    </row>
    <row r="2442" spans="1:20">
      <c r="A2442" s="4">
        <v>45662</v>
      </c>
      <c r="B2442">
        <v>2025</v>
      </c>
      <c r="C2442">
        <v>1</v>
      </c>
      <c r="D2442" s="5" t="s">
        <v>44</v>
      </c>
      <c r="E2442" s="5" t="s">
        <v>82</v>
      </c>
      <c r="F2442" s="5" t="s">
        <v>83</v>
      </c>
      <c r="G2442" s="5" t="s">
        <v>84</v>
      </c>
      <c r="H2442" s="5" t="s">
        <v>80</v>
      </c>
      <c r="I2442" s="5" t="s">
        <v>81</v>
      </c>
      <c r="J2442" s="5" t="s">
        <v>41</v>
      </c>
      <c r="K2442">
        <v>31</v>
      </c>
      <c r="L2442">
        <v>568032</v>
      </c>
      <c r="M2442" s="26">
        <v>17608992</v>
      </c>
      <c r="N2442">
        <v>12958</v>
      </c>
      <c r="O2442" s="26">
        <v>2779465.45</v>
      </c>
      <c r="P2442" s="5" t="s">
        <v>42</v>
      </c>
      <c r="Q2442" s="5" t="s">
        <v>51</v>
      </c>
      <c r="R2442">
        <v>3.8</v>
      </c>
      <c r="S2442">
        <v>18</v>
      </c>
      <c r="T2442">
        <f t="shared" si="38"/>
        <v>1</v>
      </c>
    </row>
    <row r="2443" spans="1:20">
      <c r="A2443" s="4">
        <v>45676</v>
      </c>
      <c r="B2443">
        <v>2025</v>
      </c>
      <c r="C2443">
        <v>1</v>
      </c>
      <c r="D2443" s="5" t="s">
        <v>54</v>
      </c>
      <c r="E2443" s="5" t="s">
        <v>55</v>
      </c>
      <c r="F2443" s="5" t="s">
        <v>55</v>
      </c>
      <c r="G2443" s="5" t="s">
        <v>56</v>
      </c>
      <c r="H2443" s="5" t="s">
        <v>74</v>
      </c>
      <c r="I2443" s="5" t="s">
        <v>40</v>
      </c>
      <c r="J2443" s="5" t="s">
        <v>49</v>
      </c>
      <c r="K2443">
        <v>11</v>
      </c>
      <c r="L2443">
        <v>679015</v>
      </c>
      <c r="M2443" s="26">
        <v>7469165</v>
      </c>
      <c r="N2443">
        <v>16949</v>
      </c>
      <c r="O2443" s="26">
        <v>807107.65</v>
      </c>
      <c r="P2443" s="5" t="s">
        <v>50</v>
      </c>
      <c r="Q2443" s="5" t="s">
        <v>51</v>
      </c>
      <c r="R2443">
        <v>4.9000000000000004</v>
      </c>
      <c r="S2443">
        <v>2</v>
      </c>
      <c r="T2443">
        <f t="shared" si="38"/>
        <v>0</v>
      </c>
    </row>
    <row r="2444" spans="1:20">
      <c r="A2444" s="4">
        <v>45681</v>
      </c>
      <c r="B2444">
        <v>2025</v>
      </c>
      <c r="C2444">
        <v>1</v>
      </c>
      <c r="D2444" s="5" t="s">
        <v>35</v>
      </c>
      <c r="E2444" s="5" t="s">
        <v>36</v>
      </c>
      <c r="F2444" s="5" t="s">
        <v>37</v>
      </c>
      <c r="G2444" s="5" t="s">
        <v>38</v>
      </c>
      <c r="H2444" s="5" t="s">
        <v>63</v>
      </c>
      <c r="I2444" s="5" t="s">
        <v>64</v>
      </c>
      <c r="J2444" s="5" t="s">
        <v>41</v>
      </c>
      <c r="K2444">
        <v>46</v>
      </c>
      <c r="L2444">
        <v>736055</v>
      </c>
      <c r="M2444" s="26">
        <v>33858530</v>
      </c>
      <c r="N2444">
        <v>33251</v>
      </c>
      <c r="O2444" s="26">
        <v>2771247.89</v>
      </c>
      <c r="P2444" s="5" t="s">
        <v>42</v>
      </c>
      <c r="Q2444" s="5" t="s">
        <v>51</v>
      </c>
      <c r="R2444">
        <v>4.5999999999999996</v>
      </c>
      <c r="S2444">
        <v>21</v>
      </c>
      <c r="T2444">
        <f t="shared" si="38"/>
        <v>1</v>
      </c>
    </row>
    <row r="2445" spans="1:20">
      <c r="A2445" s="4">
        <v>45669</v>
      </c>
      <c r="B2445">
        <v>2025</v>
      </c>
      <c r="C2445">
        <v>1</v>
      </c>
      <c r="D2445" s="5" t="s">
        <v>35</v>
      </c>
      <c r="E2445" s="5" t="s">
        <v>60</v>
      </c>
      <c r="F2445" s="5" t="s">
        <v>61</v>
      </c>
      <c r="G2445" s="5" t="s">
        <v>62</v>
      </c>
      <c r="H2445" s="5" t="s">
        <v>85</v>
      </c>
      <c r="I2445" s="5" t="s">
        <v>58</v>
      </c>
      <c r="J2445" s="5" t="s">
        <v>49</v>
      </c>
      <c r="K2445">
        <v>41</v>
      </c>
      <c r="L2445">
        <v>987494</v>
      </c>
      <c r="M2445" s="26">
        <v>40487254</v>
      </c>
      <c r="N2445">
        <v>40583</v>
      </c>
      <c r="O2445" s="26">
        <v>5406979.8099999996</v>
      </c>
      <c r="P2445" s="5" t="s">
        <v>50</v>
      </c>
      <c r="Q2445" s="5" t="s">
        <v>51</v>
      </c>
      <c r="R2445">
        <v>3.6</v>
      </c>
      <c r="S2445">
        <v>10</v>
      </c>
      <c r="T2445">
        <f t="shared" si="38"/>
        <v>0</v>
      </c>
    </row>
    <row r="2446" spans="1:20">
      <c r="A2446" s="4">
        <v>45670</v>
      </c>
      <c r="B2446">
        <v>2025</v>
      </c>
      <c r="C2446">
        <v>1</v>
      </c>
      <c r="D2446" s="5" t="s">
        <v>44</v>
      </c>
      <c r="E2446" s="5" t="s">
        <v>45</v>
      </c>
      <c r="F2446" s="5" t="s">
        <v>46</v>
      </c>
      <c r="G2446" s="5" t="s">
        <v>47</v>
      </c>
      <c r="H2446" s="5" t="s">
        <v>79</v>
      </c>
      <c r="I2446" s="5" t="s">
        <v>58</v>
      </c>
      <c r="J2446" s="5" t="s">
        <v>49</v>
      </c>
      <c r="K2446">
        <v>60</v>
      </c>
      <c r="L2446">
        <v>904306</v>
      </c>
      <c r="M2446" s="26">
        <v>54258360</v>
      </c>
      <c r="N2446">
        <v>29306</v>
      </c>
      <c r="O2446" s="26">
        <v>5312411.59</v>
      </c>
      <c r="P2446" s="5" t="s">
        <v>42</v>
      </c>
      <c r="Q2446" s="5" t="s">
        <v>43</v>
      </c>
      <c r="R2446">
        <v>4.3</v>
      </c>
      <c r="S2446">
        <v>10</v>
      </c>
      <c r="T2446">
        <f t="shared" si="38"/>
        <v>1</v>
      </c>
    </row>
    <row r="2447" spans="1:20">
      <c r="A2447" s="4">
        <v>45681</v>
      </c>
      <c r="B2447">
        <v>2025</v>
      </c>
      <c r="C2447">
        <v>1</v>
      </c>
      <c r="D2447" s="5" t="s">
        <v>54</v>
      </c>
      <c r="E2447" s="5" t="s">
        <v>70</v>
      </c>
      <c r="F2447" s="5" t="s">
        <v>71</v>
      </c>
      <c r="G2447" s="5" t="s">
        <v>72</v>
      </c>
      <c r="H2447" s="5" t="s">
        <v>80</v>
      </c>
      <c r="I2447" s="5" t="s">
        <v>81</v>
      </c>
      <c r="J2447" s="5" t="s">
        <v>41</v>
      </c>
      <c r="K2447">
        <v>7</v>
      </c>
      <c r="L2447">
        <v>520194</v>
      </c>
      <c r="M2447" s="26">
        <v>3641358</v>
      </c>
      <c r="N2447">
        <v>49320</v>
      </c>
      <c r="O2447" s="26">
        <v>564781.66</v>
      </c>
      <c r="P2447" s="5" t="s">
        <v>50</v>
      </c>
      <c r="Q2447" s="5" t="s">
        <v>51</v>
      </c>
      <c r="R2447">
        <v>4.9000000000000004</v>
      </c>
      <c r="S2447">
        <v>12</v>
      </c>
      <c r="T2447">
        <f t="shared" si="38"/>
        <v>0</v>
      </c>
    </row>
    <row r="2448" spans="1:20">
      <c r="A2448" s="4">
        <v>45670</v>
      </c>
      <c r="B2448">
        <v>2025</v>
      </c>
      <c r="C2448">
        <v>1</v>
      </c>
      <c r="D2448" s="5" t="s">
        <v>35</v>
      </c>
      <c r="E2448" s="5" t="s">
        <v>76</v>
      </c>
      <c r="F2448" s="5" t="s">
        <v>77</v>
      </c>
      <c r="G2448" s="5" t="s">
        <v>78</v>
      </c>
      <c r="H2448" s="5" t="s">
        <v>85</v>
      </c>
      <c r="I2448" s="5" t="s">
        <v>58</v>
      </c>
      <c r="J2448" s="5" t="s">
        <v>49</v>
      </c>
      <c r="K2448">
        <v>15</v>
      </c>
      <c r="L2448">
        <v>970334</v>
      </c>
      <c r="M2448" s="26">
        <v>14555010</v>
      </c>
      <c r="N2448">
        <v>18305</v>
      </c>
      <c r="O2448" s="26">
        <v>1750409.46</v>
      </c>
      <c r="P2448" s="5" t="s">
        <v>42</v>
      </c>
      <c r="Q2448" s="5" t="s">
        <v>43</v>
      </c>
      <c r="R2448">
        <v>4.5</v>
      </c>
      <c r="S2448">
        <v>11</v>
      </c>
      <c r="T2448">
        <f t="shared" si="38"/>
        <v>1</v>
      </c>
    </row>
    <row r="2449" spans="1:20">
      <c r="A2449" s="4">
        <v>45673</v>
      </c>
      <c r="B2449">
        <v>2025</v>
      </c>
      <c r="C2449">
        <v>1</v>
      </c>
      <c r="D2449" s="5" t="s">
        <v>35</v>
      </c>
      <c r="E2449" s="5" t="s">
        <v>36</v>
      </c>
      <c r="F2449" s="5" t="s">
        <v>37</v>
      </c>
      <c r="G2449" s="5" t="s">
        <v>38</v>
      </c>
      <c r="H2449" s="5" t="s">
        <v>79</v>
      </c>
      <c r="I2449" s="5" t="s">
        <v>58</v>
      </c>
      <c r="J2449" s="5" t="s">
        <v>49</v>
      </c>
      <c r="K2449">
        <v>50</v>
      </c>
      <c r="L2449">
        <v>902408</v>
      </c>
      <c r="M2449" s="26">
        <v>45120400</v>
      </c>
      <c r="N2449">
        <v>15649</v>
      </c>
      <c r="O2449" s="26">
        <v>6897960.29</v>
      </c>
      <c r="P2449" s="5" t="s">
        <v>42</v>
      </c>
      <c r="Q2449" s="5" t="s">
        <v>43</v>
      </c>
      <c r="R2449">
        <v>4</v>
      </c>
      <c r="S2449">
        <v>13</v>
      </c>
      <c r="T2449">
        <f t="shared" si="38"/>
        <v>1</v>
      </c>
    </row>
    <row r="2450" spans="1:20">
      <c r="A2450" s="4">
        <v>45672</v>
      </c>
      <c r="B2450">
        <v>2025</v>
      </c>
      <c r="C2450">
        <v>1</v>
      </c>
      <c r="D2450" s="5" t="s">
        <v>44</v>
      </c>
      <c r="E2450" s="5" t="s">
        <v>45</v>
      </c>
      <c r="F2450" s="5" t="s">
        <v>46</v>
      </c>
      <c r="G2450" s="5" t="s">
        <v>47</v>
      </c>
      <c r="H2450" s="5" t="s">
        <v>63</v>
      </c>
      <c r="I2450" s="5" t="s">
        <v>64</v>
      </c>
      <c r="J2450" s="5" t="s">
        <v>41</v>
      </c>
      <c r="K2450">
        <v>45</v>
      </c>
      <c r="L2450">
        <v>747171</v>
      </c>
      <c r="M2450" s="26">
        <v>33622695</v>
      </c>
      <c r="N2450">
        <v>9846</v>
      </c>
      <c r="O2450" s="26">
        <v>3361746.52</v>
      </c>
      <c r="P2450" s="5" t="s">
        <v>50</v>
      </c>
      <c r="Q2450" s="5" t="s">
        <v>43</v>
      </c>
      <c r="R2450">
        <v>4</v>
      </c>
      <c r="S2450">
        <v>15</v>
      </c>
      <c r="T2450">
        <f t="shared" si="38"/>
        <v>0</v>
      </c>
    </row>
    <row r="2451" spans="1:20">
      <c r="A2451" s="4">
        <v>45671</v>
      </c>
      <c r="B2451">
        <v>2025</v>
      </c>
      <c r="C2451">
        <v>1</v>
      </c>
      <c r="D2451" s="5" t="s">
        <v>54</v>
      </c>
      <c r="E2451" s="5" t="s">
        <v>70</v>
      </c>
      <c r="F2451" s="5" t="s">
        <v>71</v>
      </c>
      <c r="G2451" s="5" t="s">
        <v>72</v>
      </c>
      <c r="H2451" s="5" t="s">
        <v>86</v>
      </c>
      <c r="I2451" s="5" t="s">
        <v>40</v>
      </c>
      <c r="J2451" s="5" t="s">
        <v>41</v>
      </c>
      <c r="K2451">
        <v>60</v>
      </c>
      <c r="L2451">
        <v>584580</v>
      </c>
      <c r="M2451" s="26">
        <v>35074800</v>
      </c>
      <c r="N2451">
        <v>17712</v>
      </c>
      <c r="O2451" s="26">
        <v>3609023.29</v>
      </c>
      <c r="P2451" s="5" t="s">
        <v>50</v>
      </c>
      <c r="Q2451" s="5" t="s">
        <v>51</v>
      </c>
      <c r="R2451">
        <v>4.0999999999999996</v>
      </c>
      <c r="S2451">
        <v>12</v>
      </c>
      <c r="T2451">
        <f t="shared" si="38"/>
        <v>0</v>
      </c>
    </row>
    <row r="2452" spans="1:20">
      <c r="A2452" s="4">
        <v>45692</v>
      </c>
      <c r="B2452">
        <v>2025</v>
      </c>
      <c r="C2452">
        <v>2</v>
      </c>
      <c r="D2452" s="5" t="s">
        <v>35</v>
      </c>
      <c r="E2452" s="5" t="s">
        <v>60</v>
      </c>
      <c r="F2452" s="5" t="s">
        <v>61</v>
      </c>
      <c r="G2452" s="5" t="s">
        <v>62</v>
      </c>
      <c r="H2452" s="5" t="s">
        <v>80</v>
      </c>
      <c r="I2452" s="5" t="s">
        <v>81</v>
      </c>
      <c r="J2452" s="5" t="s">
        <v>41</v>
      </c>
      <c r="K2452">
        <v>31</v>
      </c>
      <c r="L2452">
        <v>563742</v>
      </c>
      <c r="M2452" s="26">
        <v>17476002</v>
      </c>
      <c r="N2452">
        <v>25541</v>
      </c>
      <c r="O2452" s="26">
        <v>1429745</v>
      </c>
      <c r="P2452" s="5" t="s">
        <v>42</v>
      </c>
      <c r="Q2452" s="5" t="s">
        <v>75</v>
      </c>
      <c r="R2452">
        <v>5</v>
      </c>
      <c r="S2452">
        <v>19</v>
      </c>
      <c r="T2452">
        <f t="shared" si="38"/>
        <v>1</v>
      </c>
    </row>
    <row r="2453" spans="1:20">
      <c r="A2453" s="4">
        <v>45700</v>
      </c>
      <c r="B2453">
        <v>2025</v>
      </c>
      <c r="C2453">
        <v>2</v>
      </c>
      <c r="D2453" s="5" t="s">
        <v>35</v>
      </c>
      <c r="E2453" s="5" t="s">
        <v>60</v>
      </c>
      <c r="F2453" s="5" t="s">
        <v>61</v>
      </c>
      <c r="G2453" s="5" t="s">
        <v>62</v>
      </c>
      <c r="H2453" s="5" t="s">
        <v>63</v>
      </c>
      <c r="I2453" s="5" t="s">
        <v>64</v>
      </c>
      <c r="J2453" s="5" t="s">
        <v>41</v>
      </c>
      <c r="K2453">
        <v>45</v>
      </c>
      <c r="L2453">
        <v>785133</v>
      </c>
      <c r="M2453" s="26">
        <v>35330985</v>
      </c>
      <c r="N2453">
        <v>43138</v>
      </c>
      <c r="O2453" s="26">
        <v>3566483.11</v>
      </c>
      <c r="P2453" s="5" t="s">
        <v>50</v>
      </c>
      <c r="Q2453" s="5" t="s">
        <v>75</v>
      </c>
      <c r="R2453">
        <v>3.5</v>
      </c>
      <c r="S2453">
        <v>12</v>
      </c>
      <c r="T2453">
        <f t="shared" si="38"/>
        <v>0</v>
      </c>
    </row>
    <row r="2454" spans="1:20">
      <c r="A2454" s="4">
        <v>45706</v>
      </c>
      <c r="B2454">
        <v>2025</v>
      </c>
      <c r="C2454">
        <v>2</v>
      </c>
      <c r="D2454" s="5" t="s">
        <v>54</v>
      </c>
      <c r="E2454" s="5" t="s">
        <v>70</v>
      </c>
      <c r="F2454" s="5" t="s">
        <v>71</v>
      </c>
      <c r="G2454" s="5" t="s">
        <v>72</v>
      </c>
      <c r="H2454" s="5" t="s">
        <v>79</v>
      </c>
      <c r="I2454" s="5" t="s">
        <v>58</v>
      </c>
      <c r="J2454" s="5" t="s">
        <v>49</v>
      </c>
      <c r="K2454">
        <v>41</v>
      </c>
      <c r="L2454">
        <v>909224</v>
      </c>
      <c r="M2454" s="26">
        <v>37278184</v>
      </c>
      <c r="N2454">
        <v>35669</v>
      </c>
      <c r="O2454" s="26">
        <v>5718371.7199999997</v>
      </c>
      <c r="P2454" s="5" t="s">
        <v>50</v>
      </c>
      <c r="Q2454" s="5" t="s">
        <v>43</v>
      </c>
      <c r="R2454">
        <v>4.8</v>
      </c>
      <c r="S2454">
        <v>3</v>
      </c>
      <c r="T2454">
        <f t="shared" si="38"/>
        <v>0</v>
      </c>
    </row>
    <row r="2455" spans="1:20">
      <c r="A2455" s="4">
        <v>45706</v>
      </c>
      <c r="B2455">
        <v>2025</v>
      </c>
      <c r="C2455">
        <v>2</v>
      </c>
      <c r="D2455" s="5" t="s">
        <v>35</v>
      </c>
      <c r="E2455" s="5" t="s">
        <v>76</v>
      </c>
      <c r="F2455" s="5" t="s">
        <v>77</v>
      </c>
      <c r="G2455" s="5" t="s">
        <v>78</v>
      </c>
      <c r="H2455" s="5" t="s">
        <v>86</v>
      </c>
      <c r="I2455" s="5" t="s">
        <v>40</v>
      </c>
      <c r="J2455" s="5" t="s">
        <v>41</v>
      </c>
      <c r="K2455">
        <v>52</v>
      </c>
      <c r="L2455">
        <v>611544</v>
      </c>
      <c r="M2455" s="26">
        <v>31800288</v>
      </c>
      <c r="N2455">
        <v>39253</v>
      </c>
      <c r="O2455" s="26">
        <v>3702962.13</v>
      </c>
      <c r="P2455" s="5" t="s">
        <v>42</v>
      </c>
      <c r="Q2455" s="5" t="s">
        <v>75</v>
      </c>
      <c r="R2455">
        <v>4.3</v>
      </c>
      <c r="S2455">
        <v>13</v>
      </c>
      <c r="T2455">
        <f t="shared" si="38"/>
        <v>1</v>
      </c>
    </row>
    <row r="2456" spans="1:20">
      <c r="A2456" s="4">
        <v>45711</v>
      </c>
      <c r="B2456">
        <v>2025</v>
      </c>
      <c r="C2456">
        <v>2</v>
      </c>
      <c r="D2456" s="5" t="s">
        <v>54</v>
      </c>
      <c r="E2456" s="5" t="s">
        <v>70</v>
      </c>
      <c r="F2456" s="5" t="s">
        <v>71</v>
      </c>
      <c r="G2456" s="5" t="s">
        <v>72</v>
      </c>
      <c r="H2456" s="5" t="s">
        <v>39</v>
      </c>
      <c r="I2456" s="5" t="s">
        <v>40</v>
      </c>
      <c r="J2456" s="5" t="s">
        <v>41</v>
      </c>
      <c r="K2456">
        <v>25</v>
      </c>
      <c r="L2456">
        <v>577105</v>
      </c>
      <c r="M2456" s="26">
        <v>14427625</v>
      </c>
      <c r="N2456">
        <v>18924</v>
      </c>
      <c r="O2456" s="26">
        <v>1899849.1</v>
      </c>
      <c r="P2456" s="5" t="s">
        <v>50</v>
      </c>
      <c r="Q2456" s="5" t="s">
        <v>75</v>
      </c>
      <c r="R2456">
        <v>4.5</v>
      </c>
      <c r="S2456">
        <v>14</v>
      </c>
      <c r="T2456">
        <f t="shared" si="38"/>
        <v>0</v>
      </c>
    </row>
    <row r="2457" spans="1:20">
      <c r="A2457" s="4">
        <v>45713</v>
      </c>
      <c r="B2457">
        <v>2025</v>
      </c>
      <c r="C2457">
        <v>2</v>
      </c>
      <c r="D2457" s="5" t="s">
        <v>54</v>
      </c>
      <c r="E2457" s="5" t="s">
        <v>55</v>
      </c>
      <c r="F2457" s="5" t="s">
        <v>55</v>
      </c>
      <c r="G2457" s="5" t="s">
        <v>56</v>
      </c>
      <c r="H2457" s="5" t="s">
        <v>57</v>
      </c>
      <c r="I2457" s="5" t="s">
        <v>58</v>
      </c>
      <c r="J2457" s="5" t="s">
        <v>59</v>
      </c>
      <c r="K2457">
        <v>11</v>
      </c>
      <c r="L2457">
        <v>1394663</v>
      </c>
      <c r="M2457" s="26">
        <v>15341293</v>
      </c>
      <c r="N2457">
        <v>25231</v>
      </c>
      <c r="O2457" s="26">
        <v>2051322.9</v>
      </c>
      <c r="P2457" s="5" t="s">
        <v>50</v>
      </c>
      <c r="Q2457" s="5" t="s">
        <v>51</v>
      </c>
      <c r="R2457">
        <v>4.0999999999999996</v>
      </c>
      <c r="S2457">
        <v>3</v>
      </c>
      <c r="T2457">
        <f t="shared" si="38"/>
        <v>0</v>
      </c>
    </row>
    <row r="2458" spans="1:20">
      <c r="A2458" s="4">
        <v>45714</v>
      </c>
      <c r="B2458">
        <v>2025</v>
      </c>
      <c r="C2458">
        <v>2</v>
      </c>
      <c r="D2458" s="5" t="s">
        <v>66</v>
      </c>
      <c r="E2458" s="5" t="s">
        <v>67</v>
      </c>
      <c r="F2458" s="5" t="s">
        <v>68</v>
      </c>
      <c r="G2458" s="5" t="s">
        <v>69</v>
      </c>
      <c r="H2458" s="5" t="s">
        <v>39</v>
      </c>
      <c r="I2458" s="5" t="s">
        <v>40</v>
      </c>
      <c r="J2458" s="5" t="s">
        <v>41</v>
      </c>
      <c r="K2458">
        <v>23</v>
      </c>
      <c r="L2458">
        <v>602978</v>
      </c>
      <c r="M2458" s="26">
        <v>13868494</v>
      </c>
      <c r="N2458">
        <v>40644</v>
      </c>
      <c r="O2458" s="26">
        <v>1215837.81</v>
      </c>
      <c r="P2458" s="5" t="s">
        <v>42</v>
      </c>
      <c r="Q2458" s="5" t="s">
        <v>75</v>
      </c>
      <c r="R2458">
        <v>4.3</v>
      </c>
      <c r="S2458">
        <v>4</v>
      </c>
      <c r="T2458">
        <f t="shared" si="38"/>
        <v>1</v>
      </c>
    </row>
    <row r="2459" spans="1:20">
      <c r="A2459" s="4">
        <v>45690</v>
      </c>
      <c r="B2459">
        <v>2025</v>
      </c>
      <c r="C2459">
        <v>2</v>
      </c>
      <c r="D2459" s="5" t="s">
        <v>44</v>
      </c>
      <c r="E2459" s="5" t="s">
        <v>45</v>
      </c>
      <c r="F2459" s="5" t="s">
        <v>46</v>
      </c>
      <c r="G2459" s="5" t="s">
        <v>47</v>
      </c>
      <c r="H2459" s="5" t="s">
        <v>65</v>
      </c>
      <c r="I2459" s="5" t="s">
        <v>53</v>
      </c>
      <c r="J2459" s="5" t="s">
        <v>49</v>
      </c>
      <c r="K2459">
        <v>18</v>
      </c>
      <c r="L2459">
        <v>1240093</v>
      </c>
      <c r="M2459" s="26">
        <v>22321674</v>
      </c>
      <c r="N2459">
        <v>46589</v>
      </c>
      <c r="O2459" s="26">
        <v>1995524.83</v>
      </c>
      <c r="P2459" s="5" t="s">
        <v>42</v>
      </c>
      <c r="Q2459" s="5" t="s">
        <v>51</v>
      </c>
      <c r="R2459">
        <v>3.9</v>
      </c>
      <c r="S2459">
        <v>18</v>
      </c>
      <c r="T2459">
        <f t="shared" si="38"/>
        <v>1</v>
      </c>
    </row>
    <row r="2460" spans="1:20">
      <c r="A2460" s="4">
        <v>45701</v>
      </c>
      <c r="B2460">
        <v>2025</v>
      </c>
      <c r="C2460">
        <v>2</v>
      </c>
      <c r="D2460" s="5" t="s">
        <v>44</v>
      </c>
      <c r="E2460" s="5" t="s">
        <v>82</v>
      </c>
      <c r="F2460" s="5" t="s">
        <v>83</v>
      </c>
      <c r="G2460" s="5" t="s">
        <v>84</v>
      </c>
      <c r="H2460" s="5" t="s">
        <v>39</v>
      </c>
      <c r="I2460" s="5" t="s">
        <v>40</v>
      </c>
      <c r="J2460" s="5" t="s">
        <v>41</v>
      </c>
      <c r="K2460">
        <v>23</v>
      </c>
      <c r="L2460">
        <v>583483</v>
      </c>
      <c r="M2460" s="26">
        <v>13420109</v>
      </c>
      <c r="N2460">
        <v>48818</v>
      </c>
      <c r="O2460" s="26">
        <v>1978645.41</v>
      </c>
      <c r="P2460" s="5" t="s">
        <v>50</v>
      </c>
      <c r="Q2460" s="5" t="s">
        <v>43</v>
      </c>
      <c r="R2460">
        <v>4.8</v>
      </c>
      <c r="S2460">
        <v>4</v>
      </c>
      <c r="T2460">
        <f t="shared" si="38"/>
        <v>0</v>
      </c>
    </row>
    <row r="2461" spans="1:20">
      <c r="A2461" s="4">
        <v>45714</v>
      </c>
      <c r="B2461">
        <v>2025</v>
      </c>
      <c r="C2461">
        <v>2</v>
      </c>
      <c r="D2461" s="5" t="s">
        <v>35</v>
      </c>
      <c r="E2461" s="5" t="s">
        <v>36</v>
      </c>
      <c r="F2461" s="5" t="s">
        <v>37</v>
      </c>
      <c r="G2461" s="5" t="s">
        <v>38</v>
      </c>
      <c r="H2461" s="5" t="s">
        <v>52</v>
      </c>
      <c r="I2461" s="5" t="s">
        <v>53</v>
      </c>
      <c r="J2461" s="5" t="s">
        <v>41</v>
      </c>
      <c r="K2461">
        <v>6</v>
      </c>
      <c r="L2461">
        <v>944688</v>
      </c>
      <c r="M2461" s="26">
        <v>5668128</v>
      </c>
      <c r="N2461">
        <v>42798</v>
      </c>
      <c r="O2461" s="26">
        <v>741414.5</v>
      </c>
      <c r="P2461" s="5" t="s">
        <v>50</v>
      </c>
      <c r="Q2461" s="5" t="s">
        <v>43</v>
      </c>
      <c r="R2461">
        <v>4.8</v>
      </c>
      <c r="S2461">
        <v>5</v>
      </c>
      <c r="T2461">
        <f t="shared" si="38"/>
        <v>0</v>
      </c>
    </row>
    <row r="2462" spans="1:20">
      <c r="A2462" s="4">
        <v>45692</v>
      </c>
      <c r="B2462">
        <v>2025</v>
      </c>
      <c r="C2462">
        <v>2</v>
      </c>
      <c r="D2462" s="5" t="s">
        <v>35</v>
      </c>
      <c r="E2462" s="5" t="s">
        <v>36</v>
      </c>
      <c r="F2462" s="5" t="s">
        <v>37</v>
      </c>
      <c r="G2462" s="5" t="s">
        <v>38</v>
      </c>
      <c r="H2462" s="5" t="s">
        <v>73</v>
      </c>
      <c r="I2462" s="5" t="s">
        <v>40</v>
      </c>
      <c r="J2462" s="5" t="s">
        <v>49</v>
      </c>
      <c r="K2462">
        <v>25</v>
      </c>
      <c r="L2462">
        <v>699267</v>
      </c>
      <c r="M2462" s="26">
        <v>17481675</v>
      </c>
      <c r="N2462">
        <v>30991</v>
      </c>
      <c r="O2462" s="26">
        <v>1623246.31</v>
      </c>
      <c r="P2462" s="5" t="s">
        <v>50</v>
      </c>
      <c r="Q2462" s="5" t="s">
        <v>51</v>
      </c>
      <c r="R2462">
        <v>4.4000000000000004</v>
      </c>
      <c r="S2462">
        <v>21</v>
      </c>
      <c r="T2462">
        <f t="shared" si="38"/>
        <v>0</v>
      </c>
    </row>
    <row r="2463" spans="1:20">
      <c r="A2463" s="4">
        <v>45698</v>
      </c>
      <c r="B2463">
        <v>2025</v>
      </c>
      <c r="C2463">
        <v>2</v>
      </c>
      <c r="D2463" s="5" t="s">
        <v>54</v>
      </c>
      <c r="E2463" s="5" t="s">
        <v>70</v>
      </c>
      <c r="F2463" s="5" t="s">
        <v>71</v>
      </c>
      <c r="G2463" s="5" t="s">
        <v>72</v>
      </c>
      <c r="H2463" s="5" t="s">
        <v>65</v>
      </c>
      <c r="I2463" s="5" t="s">
        <v>53</v>
      </c>
      <c r="J2463" s="5" t="s">
        <v>49</v>
      </c>
      <c r="K2463">
        <v>11</v>
      </c>
      <c r="L2463">
        <v>1229480</v>
      </c>
      <c r="M2463" s="26">
        <v>13524280</v>
      </c>
      <c r="N2463">
        <v>25621</v>
      </c>
      <c r="O2463" s="26">
        <v>1861911.47</v>
      </c>
      <c r="P2463" s="5" t="s">
        <v>50</v>
      </c>
      <c r="Q2463" s="5" t="s">
        <v>43</v>
      </c>
      <c r="R2463">
        <v>4.8</v>
      </c>
      <c r="S2463">
        <v>13</v>
      </c>
      <c r="T2463">
        <f t="shared" si="38"/>
        <v>0</v>
      </c>
    </row>
    <row r="2464" spans="1:20">
      <c r="A2464" s="4">
        <v>45713</v>
      </c>
      <c r="B2464">
        <v>2025</v>
      </c>
      <c r="C2464">
        <v>2</v>
      </c>
      <c r="D2464" s="5" t="s">
        <v>44</v>
      </c>
      <c r="E2464" s="5" t="s">
        <v>45</v>
      </c>
      <c r="F2464" s="5" t="s">
        <v>46</v>
      </c>
      <c r="G2464" s="5" t="s">
        <v>47</v>
      </c>
      <c r="H2464" s="5" t="s">
        <v>63</v>
      </c>
      <c r="I2464" s="5" t="s">
        <v>64</v>
      </c>
      <c r="J2464" s="5" t="s">
        <v>41</v>
      </c>
      <c r="K2464">
        <v>25</v>
      </c>
      <c r="L2464">
        <v>747088</v>
      </c>
      <c r="M2464" s="26">
        <v>18677200</v>
      </c>
      <c r="N2464">
        <v>12759</v>
      </c>
      <c r="O2464" s="26">
        <v>2626516.64</v>
      </c>
      <c r="P2464" s="5" t="s">
        <v>42</v>
      </c>
      <c r="Q2464" s="5" t="s">
        <v>51</v>
      </c>
      <c r="R2464">
        <v>4.5999999999999996</v>
      </c>
      <c r="S2464">
        <v>14</v>
      </c>
      <c r="T2464">
        <f t="shared" si="38"/>
        <v>1</v>
      </c>
    </row>
    <row r="2465" spans="1:20">
      <c r="A2465" s="4">
        <v>45711</v>
      </c>
      <c r="B2465">
        <v>2025</v>
      </c>
      <c r="C2465">
        <v>2</v>
      </c>
      <c r="D2465" s="5" t="s">
        <v>54</v>
      </c>
      <c r="E2465" s="5" t="s">
        <v>55</v>
      </c>
      <c r="F2465" s="5" t="s">
        <v>55</v>
      </c>
      <c r="G2465" s="5" t="s">
        <v>56</v>
      </c>
      <c r="H2465" s="5" t="s">
        <v>39</v>
      </c>
      <c r="I2465" s="5" t="s">
        <v>40</v>
      </c>
      <c r="J2465" s="5" t="s">
        <v>41</v>
      </c>
      <c r="K2465">
        <v>30</v>
      </c>
      <c r="L2465">
        <v>561887</v>
      </c>
      <c r="M2465" s="26">
        <v>16856610</v>
      </c>
      <c r="N2465">
        <v>38450</v>
      </c>
      <c r="O2465" s="26">
        <v>2621654.91</v>
      </c>
      <c r="P2465" s="5" t="s">
        <v>50</v>
      </c>
      <c r="Q2465" s="5" t="s">
        <v>75</v>
      </c>
      <c r="R2465">
        <v>4.9000000000000004</v>
      </c>
      <c r="S2465">
        <v>8</v>
      </c>
      <c r="T2465">
        <f t="shared" si="38"/>
        <v>0</v>
      </c>
    </row>
    <row r="2466" spans="1:20">
      <c r="A2466" s="4">
        <v>45701</v>
      </c>
      <c r="B2466">
        <v>2025</v>
      </c>
      <c r="C2466">
        <v>2</v>
      </c>
      <c r="D2466" s="5" t="s">
        <v>35</v>
      </c>
      <c r="E2466" s="5" t="s">
        <v>60</v>
      </c>
      <c r="F2466" s="5" t="s">
        <v>61</v>
      </c>
      <c r="G2466" s="5" t="s">
        <v>62</v>
      </c>
      <c r="H2466" s="5" t="s">
        <v>39</v>
      </c>
      <c r="I2466" s="5" t="s">
        <v>40</v>
      </c>
      <c r="J2466" s="5" t="s">
        <v>41</v>
      </c>
      <c r="K2466">
        <v>46</v>
      </c>
      <c r="L2466">
        <v>564317</v>
      </c>
      <c r="M2466" s="26">
        <v>25958582</v>
      </c>
      <c r="N2466">
        <v>14916</v>
      </c>
      <c r="O2466" s="26">
        <v>2770002.87</v>
      </c>
      <c r="P2466" s="5" t="s">
        <v>50</v>
      </c>
      <c r="Q2466" s="5" t="s">
        <v>43</v>
      </c>
      <c r="R2466">
        <v>3.8</v>
      </c>
      <c r="S2466">
        <v>18</v>
      </c>
      <c r="T2466">
        <f t="shared" si="38"/>
        <v>0</v>
      </c>
    </row>
    <row r="2467" spans="1:20">
      <c r="A2467" s="4">
        <v>45716</v>
      </c>
      <c r="B2467">
        <v>2025</v>
      </c>
      <c r="C2467">
        <v>2</v>
      </c>
      <c r="D2467" s="5" t="s">
        <v>44</v>
      </c>
      <c r="E2467" s="5" t="s">
        <v>82</v>
      </c>
      <c r="F2467" s="5" t="s">
        <v>83</v>
      </c>
      <c r="G2467" s="5" t="s">
        <v>84</v>
      </c>
      <c r="H2467" s="5" t="s">
        <v>79</v>
      </c>
      <c r="I2467" s="5" t="s">
        <v>58</v>
      </c>
      <c r="J2467" s="5" t="s">
        <v>49</v>
      </c>
      <c r="K2467">
        <v>18</v>
      </c>
      <c r="L2467">
        <v>911306</v>
      </c>
      <c r="M2467" s="26">
        <v>16403508</v>
      </c>
      <c r="N2467">
        <v>22913</v>
      </c>
      <c r="O2467" s="26">
        <v>2056127.37</v>
      </c>
      <c r="P2467" s="5" t="s">
        <v>42</v>
      </c>
      <c r="Q2467" s="5" t="s">
        <v>43</v>
      </c>
      <c r="R2467">
        <v>4.5999999999999996</v>
      </c>
      <c r="S2467">
        <v>20</v>
      </c>
      <c r="T2467">
        <f t="shared" si="38"/>
        <v>1</v>
      </c>
    </row>
    <row r="2468" spans="1:20">
      <c r="A2468" s="4">
        <v>45699</v>
      </c>
      <c r="B2468">
        <v>2025</v>
      </c>
      <c r="C2468">
        <v>2</v>
      </c>
      <c r="D2468" s="5" t="s">
        <v>44</v>
      </c>
      <c r="E2468" s="5" t="s">
        <v>82</v>
      </c>
      <c r="F2468" s="5" t="s">
        <v>83</v>
      </c>
      <c r="G2468" s="5" t="s">
        <v>84</v>
      </c>
      <c r="H2468" s="5" t="s">
        <v>57</v>
      </c>
      <c r="I2468" s="5" t="s">
        <v>58</v>
      </c>
      <c r="J2468" s="5" t="s">
        <v>59</v>
      </c>
      <c r="K2468">
        <v>7</v>
      </c>
      <c r="L2468">
        <v>1389923</v>
      </c>
      <c r="M2468" s="26">
        <v>9729461</v>
      </c>
      <c r="N2468">
        <v>25234</v>
      </c>
      <c r="O2468" s="26">
        <v>1105879.22</v>
      </c>
      <c r="P2468" s="5" t="s">
        <v>50</v>
      </c>
      <c r="Q2468" s="5" t="s">
        <v>75</v>
      </c>
      <c r="R2468">
        <v>3.6</v>
      </c>
      <c r="S2468">
        <v>19</v>
      </c>
      <c r="T2468">
        <f t="shared" si="38"/>
        <v>0</v>
      </c>
    </row>
    <row r="2469" spans="1:20">
      <c r="A2469" s="4">
        <v>45695</v>
      </c>
      <c r="B2469">
        <v>2025</v>
      </c>
      <c r="C2469">
        <v>2</v>
      </c>
      <c r="D2469" s="5" t="s">
        <v>54</v>
      </c>
      <c r="E2469" s="5" t="s">
        <v>55</v>
      </c>
      <c r="F2469" s="5" t="s">
        <v>55</v>
      </c>
      <c r="G2469" s="5" t="s">
        <v>56</v>
      </c>
      <c r="H2469" s="5" t="s">
        <v>73</v>
      </c>
      <c r="I2469" s="5" t="s">
        <v>40</v>
      </c>
      <c r="J2469" s="5" t="s">
        <v>49</v>
      </c>
      <c r="K2469">
        <v>36</v>
      </c>
      <c r="L2469">
        <v>714946</v>
      </c>
      <c r="M2469" s="26">
        <v>25738056</v>
      </c>
      <c r="N2469">
        <v>8612</v>
      </c>
      <c r="O2469" s="26">
        <v>3310436.76</v>
      </c>
      <c r="P2469" s="5" t="s">
        <v>50</v>
      </c>
      <c r="Q2469" s="5" t="s">
        <v>75</v>
      </c>
      <c r="R2469">
        <v>3.8</v>
      </c>
      <c r="S2469">
        <v>11</v>
      </c>
      <c r="T2469">
        <f t="shared" si="38"/>
        <v>0</v>
      </c>
    </row>
    <row r="2470" spans="1:20">
      <c r="A2470" s="4">
        <v>45691</v>
      </c>
      <c r="B2470">
        <v>2025</v>
      </c>
      <c r="C2470">
        <v>2</v>
      </c>
      <c r="D2470" s="5" t="s">
        <v>54</v>
      </c>
      <c r="E2470" s="5" t="s">
        <v>70</v>
      </c>
      <c r="F2470" s="5" t="s">
        <v>71</v>
      </c>
      <c r="G2470" s="5" t="s">
        <v>72</v>
      </c>
      <c r="H2470" s="5" t="s">
        <v>63</v>
      </c>
      <c r="I2470" s="5" t="s">
        <v>64</v>
      </c>
      <c r="J2470" s="5" t="s">
        <v>41</v>
      </c>
      <c r="K2470">
        <v>14</v>
      </c>
      <c r="L2470">
        <v>784277</v>
      </c>
      <c r="M2470" s="26">
        <v>10979878</v>
      </c>
      <c r="N2470">
        <v>49768</v>
      </c>
      <c r="O2470" s="26">
        <v>1082048.72</v>
      </c>
      <c r="P2470" s="5" t="s">
        <v>42</v>
      </c>
      <c r="Q2470" s="5" t="s">
        <v>43</v>
      </c>
      <c r="R2470">
        <v>3.7</v>
      </c>
      <c r="S2470">
        <v>18</v>
      </c>
      <c r="T2470">
        <f t="shared" si="38"/>
        <v>1</v>
      </c>
    </row>
    <row r="2471" spans="1:20">
      <c r="A2471" s="4">
        <v>45702</v>
      </c>
      <c r="B2471">
        <v>2025</v>
      </c>
      <c r="C2471">
        <v>2</v>
      </c>
      <c r="D2471" s="5" t="s">
        <v>44</v>
      </c>
      <c r="E2471" s="5" t="s">
        <v>82</v>
      </c>
      <c r="F2471" s="5" t="s">
        <v>83</v>
      </c>
      <c r="G2471" s="5" t="s">
        <v>84</v>
      </c>
      <c r="H2471" s="5" t="s">
        <v>48</v>
      </c>
      <c r="I2471" s="5" t="s">
        <v>40</v>
      </c>
      <c r="J2471" s="5" t="s">
        <v>49</v>
      </c>
      <c r="K2471">
        <v>15</v>
      </c>
      <c r="L2471">
        <v>459768</v>
      </c>
      <c r="M2471" s="26">
        <v>6896520</v>
      </c>
      <c r="N2471">
        <v>15914</v>
      </c>
      <c r="O2471" s="26">
        <v>796623.71</v>
      </c>
      <c r="P2471" s="5" t="s">
        <v>42</v>
      </c>
      <c r="Q2471" s="5" t="s">
        <v>51</v>
      </c>
      <c r="R2471">
        <v>3.9</v>
      </c>
      <c r="S2471">
        <v>21</v>
      </c>
      <c r="T2471">
        <f t="shared" si="38"/>
        <v>1</v>
      </c>
    </row>
    <row r="2472" spans="1:20">
      <c r="A2472" s="4">
        <v>45700</v>
      </c>
      <c r="B2472">
        <v>2025</v>
      </c>
      <c r="C2472">
        <v>2</v>
      </c>
      <c r="D2472" s="5" t="s">
        <v>54</v>
      </c>
      <c r="E2472" s="5" t="s">
        <v>70</v>
      </c>
      <c r="F2472" s="5" t="s">
        <v>71</v>
      </c>
      <c r="G2472" s="5" t="s">
        <v>72</v>
      </c>
      <c r="H2472" s="5" t="s">
        <v>39</v>
      </c>
      <c r="I2472" s="5" t="s">
        <v>40</v>
      </c>
      <c r="J2472" s="5" t="s">
        <v>41</v>
      </c>
      <c r="K2472">
        <v>39</v>
      </c>
      <c r="L2472">
        <v>583143</v>
      </c>
      <c r="M2472" s="26">
        <v>22742577</v>
      </c>
      <c r="N2472">
        <v>34120</v>
      </c>
      <c r="O2472" s="26">
        <v>2164667.4700000002</v>
      </c>
      <c r="P2472" s="5" t="s">
        <v>42</v>
      </c>
      <c r="Q2472" s="5" t="s">
        <v>75</v>
      </c>
      <c r="R2472">
        <v>4.2</v>
      </c>
      <c r="S2472">
        <v>5</v>
      </c>
      <c r="T2472">
        <f t="shared" si="38"/>
        <v>1</v>
      </c>
    </row>
    <row r="2473" spans="1:20">
      <c r="A2473" s="4">
        <v>45693</v>
      </c>
      <c r="B2473">
        <v>2025</v>
      </c>
      <c r="C2473">
        <v>2</v>
      </c>
      <c r="D2473" s="5" t="s">
        <v>66</v>
      </c>
      <c r="E2473" s="5" t="s">
        <v>67</v>
      </c>
      <c r="F2473" s="5" t="s">
        <v>68</v>
      </c>
      <c r="G2473" s="5" t="s">
        <v>69</v>
      </c>
      <c r="H2473" s="5" t="s">
        <v>63</v>
      </c>
      <c r="I2473" s="5" t="s">
        <v>64</v>
      </c>
      <c r="J2473" s="5" t="s">
        <v>41</v>
      </c>
      <c r="K2473">
        <v>41</v>
      </c>
      <c r="L2473">
        <v>747012</v>
      </c>
      <c r="M2473" s="26">
        <v>30627492</v>
      </c>
      <c r="N2473">
        <v>15667</v>
      </c>
      <c r="O2473" s="26">
        <v>3124822.47</v>
      </c>
      <c r="P2473" s="5" t="s">
        <v>42</v>
      </c>
      <c r="Q2473" s="5" t="s">
        <v>51</v>
      </c>
      <c r="R2473">
        <v>4.4000000000000004</v>
      </c>
      <c r="S2473">
        <v>7</v>
      </c>
      <c r="T2473">
        <f t="shared" si="38"/>
        <v>1</v>
      </c>
    </row>
    <row r="2474" spans="1:20">
      <c r="A2474" s="4">
        <v>45712</v>
      </c>
      <c r="B2474">
        <v>2025</v>
      </c>
      <c r="C2474">
        <v>2</v>
      </c>
      <c r="D2474" s="5" t="s">
        <v>35</v>
      </c>
      <c r="E2474" s="5" t="s">
        <v>76</v>
      </c>
      <c r="F2474" s="5" t="s">
        <v>77</v>
      </c>
      <c r="G2474" s="5" t="s">
        <v>78</v>
      </c>
      <c r="H2474" s="5" t="s">
        <v>74</v>
      </c>
      <c r="I2474" s="5" t="s">
        <v>40</v>
      </c>
      <c r="J2474" s="5" t="s">
        <v>49</v>
      </c>
      <c r="K2474">
        <v>33</v>
      </c>
      <c r="L2474">
        <v>667036</v>
      </c>
      <c r="M2474" s="26">
        <v>22012188</v>
      </c>
      <c r="N2474">
        <v>24791</v>
      </c>
      <c r="O2474" s="26">
        <v>3337166.79</v>
      </c>
      <c r="P2474" s="5" t="s">
        <v>42</v>
      </c>
      <c r="Q2474" s="5" t="s">
        <v>75</v>
      </c>
      <c r="R2474">
        <v>4.0999999999999996</v>
      </c>
      <c r="S2474">
        <v>6</v>
      </c>
      <c r="T2474">
        <f t="shared" si="38"/>
        <v>1</v>
      </c>
    </row>
    <row r="2475" spans="1:20">
      <c r="A2475" s="4">
        <v>45707</v>
      </c>
      <c r="B2475">
        <v>2025</v>
      </c>
      <c r="C2475">
        <v>2</v>
      </c>
      <c r="D2475" s="5" t="s">
        <v>35</v>
      </c>
      <c r="E2475" s="5" t="s">
        <v>76</v>
      </c>
      <c r="F2475" s="5" t="s">
        <v>77</v>
      </c>
      <c r="G2475" s="5" t="s">
        <v>78</v>
      </c>
      <c r="H2475" s="5" t="s">
        <v>74</v>
      </c>
      <c r="I2475" s="5" t="s">
        <v>40</v>
      </c>
      <c r="J2475" s="5" t="s">
        <v>49</v>
      </c>
      <c r="K2475">
        <v>19</v>
      </c>
      <c r="L2475">
        <v>668719</v>
      </c>
      <c r="M2475" s="26">
        <v>12705661</v>
      </c>
      <c r="N2475">
        <v>20841</v>
      </c>
      <c r="O2475" s="26">
        <v>1480101.91</v>
      </c>
      <c r="P2475" s="5" t="s">
        <v>50</v>
      </c>
      <c r="Q2475" s="5" t="s">
        <v>43</v>
      </c>
      <c r="R2475">
        <v>4.5999999999999996</v>
      </c>
      <c r="S2475">
        <v>7</v>
      </c>
      <c r="T2475">
        <f t="shared" si="38"/>
        <v>0</v>
      </c>
    </row>
    <row r="2476" spans="1:20">
      <c r="A2476" s="4">
        <v>45712</v>
      </c>
      <c r="B2476">
        <v>2025</v>
      </c>
      <c r="C2476">
        <v>2</v>
      </c>
      <c r="D2476" s="5" t="s">
        <v>35</v>
      </c>
      <c r="E2476" s="5" t="s">
        <v>36</v>
      </c>
      <c r="F2476" s="5" t="s">
        <v>37</v>
      </c>
      <c r="G2476" s="5" t="s">
        <v>38</v>
      </c>
      <c r="H2476" s="5" t="s">
        <v>65</v>
      </c>
      <c r="I2476" s="5" t="s">
        <v>53</v>
      </c>
      <c r="J2476" s="5" t="s">
        <v>49</v>
      </c>
      <c r="K2476">
        <v>34</v>
      </c>
      <c r="L2476">
        <v>1271829</v>
      </c>
      <c r="M2476" s="26">
        <v>43242186</v>
      </c>
      <c r="N2476">
        <v>39301</v>
      </c>
      <c r="O2476" s="26">
        <v>6307354.6900000004</v>
      </c>
      <c r="P2476" s="5" t="s">
        <v>42</v>
      </c>
      <c r="Q2476" s="5" t="s">
        <v>43</v>
      </c>
      <c r="R2476">
        <v>4.5999999999999996</v>
      </c>
      <c r="S2476">
        <v>9</v>
      </c>
      <c r="T2476">
        <f t="shared" si="38"/>
        <v>1</v>
      </c>
    </row>
    <row r="2477" spans="1:20">
      <c r="A2477" s="4">
        <v>45691</v>
      </c>
      <c r="B2477">
        <v>2025</v>
      </c>
      <c r="C2477">
        <v>2</v>
      </c>
      <c r="D2477" s="5" t="s">
        <v>35</v>
      </c>
      <c r="E2477" s="5" t="s">
        <v>60</v>
      </c>
      <c r="F2477" s="5" t="s">
        <v>61</v>
      </c>
      <c r="G2477" s="5" t="s">
        <v>62</v>
      </c>
      <c r="H2477" s="5" t="s">
        <v>73</v>
      </c>
      <c r="I2477" s="5" t="s">
        <v>40</v>
      </c>
      <c r="J2477" s="5" t="s">
        <v>49</v>
      </c>
      <c r="K2477">
        <v>19</v>
      </c>
      <c r="L2477">
        <v>696504</v>
      </c>
      <c r="M2477" s="26">
        <v>13233576</v>
      </c>
      <c r="N2477">
        <v>18421</v>
      </c>
      <c r="O2477" s="26">
        <v>1804743.48</v>
      </c>
      <c r="P2477" s="5" t="s">
        <v>42</v>
      </c>
      <c r="Q2477" s="5" t="s">
        <v>43</v>
      </c>
      <c r="R2477">
        <v>3.8</v>
      </c>
      <c r="S2477">
        <v>21</v>
      </c>
      <c r="T2477">
        <f t="shared" si="38"/>
        <v>1</v>
      </c>
    </row>
    <row r="2478" spans="1:20">
      <c r="A2478" s="4">
        <v>45706</v>
      </c>
      <c r="B2478">
        <v>2025</v>
      </c>
      <c r="C2478">
        <v>2</v>
      </c>
      <c r="D2478" s="5" t="s">
        <v>54</v>
      </c>
      <c r="E2478" s="5" t="s">
        <v>55</v>
      </c>
      <c r="F2478" s="5" t="s">
        <v>55</v>
      </c>
      <c r="G2478" s="5" t="s">
        <v>56</v>
      </c>
      <c r="H2478" s="5" t="s">
        <v>80</v>
      </c>
      <c r="I2478" s="5" t="s">
        <v>81</v>
      </c>
      <c r="J2478" s="5" t="s">
        <v>41</v>
      </c>
      <c r="K2478">
        <v>13</v>
      </c>
      <c r="L2478">
        <v>537495</v>
      </c>
      <c r="M2478" s="26">
        <v>6987435</v>
      </c>
      <c r="N2478">
        <v>39439</v>
      </c>
      <c r="O2478" s="26">
        <v>657272.23</v>
      </c>
      <c r="P2478" s="5" t="s">
        <v>42</v>
      </c>
      <c r="Q2478" s="5" t="s">
        <v>43</v>
      </c>
      <c r="R2478">
        <v>4.4000000000000004</v>
      </c>
      <c r="S2478">
        <v>7</v>
      </c>
      <c r="T2478">
        <f t="shared" si="38"/>
        <v>1</v>
      </c>
    </row>
    <row r="2479" spans="1:20">
      <c r="A2479" s="4">
        <v>45704</v>
      </c>
      <c r="B2479">
        <v>2025</v>
      </c>
      <c r="C2479">
        <v>2</v>
      </c>
      <c r="D2479" s="5" t="s">
        <v>44</v>
      </c>
      <c r="E2479" s="5" t="s">
        <v>82</v>
      </c>
      <c r="F2479" s="5" t="s">
        <v>83</v>
      </c>
      <c r="G2479" s="5" t="s">
        <v>84</v>
      </c>
      <c r="H2479" s="5" t="s">
        <v>57</v>
      </c>
      <c r="I2479" s="5" t="s">
        <v>58</v>
      </c>
      <c r="J2479" s="5" t="s">
        <v>59</v>
      </c>
      <c r="K2479">
        <v>54</v>
      </c>
      <c r="L2479">
        <v>1408556</v>
      </c>
      <c r="M2479" s="26">
        <v>76062024</v>
      </c>
      <c r="N2479">
        <v>37549</v>
      </c>
      <c r="O2479" s="26">
        <v>8384260.25</v>
      </c>
      <c r="P2479" s="5" t="s">
        <v>42</v>
      </c>
      <c r="Q2479" s="5" t="s">
        <v>75</v>
      </c>
      <c r="R2479">
        <v>3.8</v>
      </c>
      <c r="S2479">
        <v>21</v>
      </c>
      <c r="T2479">
        <f t="shared" si="38"/>
        <v>1</v>
      </c>
    </row>
    <row r="2480" spans="1:20">
      <c r="A2480" s="4">
        <v>45690</v>
      </c>
      <c r="B2480">
        <v>2025</v>
      </c>
      <c r="C2480">
        <v>2</v>
      </c>
      <c r="D2480" s="5" t="s">
        <v>44</v>
      </c>
      <c r="E2480" s="5" t="s">
        <v>45</v>
      </c>
      <c r="F2480" s="5" t="s">
        <v>46</v>
      </c>
      <c r="G2480" s="5" t="s">
        <v>47</v>
      </c>
      <c r="H2480" s="5" t="s">
        <v>85</v>
      </c>
      <c r="I2480" s="5" t="s">
        <v>58</v>
      </c>
      <c r="J2480" s="5" t="s">
        <v>49</v>
      </c>
      <c r="K2480">
        <v>49</v>
      </c>
      <c r="L2480">
        <v>999753</v>
      </c>
      <c r="M2480" s="26">
        <v>48987897</v>
      </c>
      <c r="N2480">
        <v>45711</v>
      </c>
      <c r="O2480" s="26">
        <v>5271492.67</v>
      </c>
      <c r="P2480" s="5" t="s">
        <v>50</v>
      </c>
      <c r="Q2480" s="5" t="s">
        <v>43</v>
      </c>
      <c r="R2480">
        <v>3.5</v>
      </c>
      <c r="S2480">
        <v>21</v>
      </c>
      <c r="T2480">
        <f t="shared" si="38"/>
        <v>0</v>
      </c>
    </row>
    <row r="2481" spans="1:20">
      <c r="A2481" s="4">
        <v>45714</v>
      </c>
      <c r="B2481">
        <v>2025</v>
      </c>
      <c r="C2481">
        <v>2</v>
      </c>
      <c r="D2481" s="5" t="s">
        <v>44</v>
      </c>
      <c r="E2481" s="5" t="s">
        <v>45</v>
      </c>
      <c r="F2481" s="5" t="s">
        <v>46</v>
      </c>
      <c r="G2481" s="5" t="s">
        <v>47</v>
      </c>
      <c r="H2481" s="5" t="s">
        <v>48</v>
      </c>
      <c r="I2481" s="5" t="s">
        <v>40</v>
      </c>
      <c r="J2481" s="5" t="s">
        <v>49</v>
      </c>
      <c r="K2481">
        <v>56</v>
      </c>
      <c r="L2481">
        <v>427023</v>
      </c>
      <c r="M2481" s="26">
        <v>23913288</v>
      </c>
      <c r="N2481">
        <v>30177</v>
      </c>
      <c r="O2481" s="26">
        <v>1942172.89</v>
      </c>
      <c r="P2481" s="5" t="s">
        <v>50</v>
      </c>
      <c r="Q2481" s="5" t="s">
        <v>43</v>
      </c>
      <c r="R2481">
        <v>4.7</v>
      </c>
      <c r="S2481">
        <v>13</v>
      </c>
      <c r="T2481">
        <f t="shared" si="38"/>
        <v>0</v>
      </c>
    </row>
    <row r="2482" spans="1:20">
      <c r="A2482" s="4">
        <v>45713</v>
      </c>
      <c r="B2482">
        <v>2025</v>
      </c>
      <c r="C2482">
        <v>2</v>
      </c>
      <c r="D2482" s="5" t="s">
        <v>35</v>
      </c>
      <c r="E2482" s="5" t="s">
        <v>60</v>
      </c>
      <c r="F2482" s="5" t="s">
        <v>61</v>
      </c>
      <c r="G2482" s="5" t="s">
        <v>62</v>
      </c>
      <c r="H2482" s="5" t="s">
        <v>57</v>
      </c>
      <c r="I2482" s="5" t="s">
        <v>58</v>
      </c>
      <c r="J2482" s="5" t="s">
        <v>59</v>
      </c>
      <c r="K2482">
        <v>20</v>
      </c>
      <c r="L2482">
        <v>1421825</v>
      </c>
      <c r="M2482" s="26">
        <v>28436500</v>
      </c>
      <c r="N2482">
        <v>24017</v>
      </c>
      <c r="O2482" s="26">
        <v>3009748.56</v>
      </c>
      <c r="P2482" s="5" t="s">
        <v>42</v>
      </c>
      <c r="Q2482" s="5" t="s">
        <v>75</v>
      </c>
      <c r="R2482">
        <v>3.9</v>
      </c>
      <c r="S2482">
        <v>17</v>
      </c>
      <c r="T2482">
        <f t="shared" si="38"/>
        <v>1</v>
      </c>
    </row>
    <row r="2483" spans="1:20">
      <c r="A2483" s="4">
        <v>45694</v>
      </c>
      <c r="B2483">
        <v>2025</v>
      </c>
      <c r="C2483">
        <v>2</v>
      </c>
      <c r="D2483" s="5" t="s">
        <v>35</v>
      </c>
      <c r="E2483" s="5" t="s">
        <v>36</v>
      </c>
      <c r="F2483" s="5" t="s">
        <v>37</v>
      </c>
      <c r="G2483" s="5" t="s">
        <v>38</v>
      </c>
      <c r="H2483" s="5" t="s">
        <v>85</v>
      </c>
      <c r="I2483" s="5" t="s">
        <v>58</v>
      </c>
      <c r="J2483" s="5" t="s">
        <v>49</v>
      </c>
      <c r="K2483">
        <v>31</v>
      </c>
      <c r="L2483">
        <v>1008759</v>
      </c>
      <c r="M2483" s="26">
        <v>31271529</v>
      </c>
      <c r="N2483">
        <v>17172</v>
      </c>
      <c r="O2483" s="26">
        <v>4525173.53</v>
      </c>
      <c r="P2483" s="5" t="s">
        <v>50</v>
      </c>
      <c r="Q2483" s="5" t="s">
        <v>43</v>
      </c>
      <c r="R2483">
        <v>4.8</v>
      </c>
      <c r="S2483">
        <v>14</v>
      </c>
      <c r="T2483">
        <f t="shared" si="38"/>
        <v>0</v>
      </c>
    </row>
    <row r="2484" spans="1:20">
      <c r="A2484" s="4">
        <v>45696</v>
      </c>
      <c r="B2484">
        <v>2025</v>
      </c>
      <c r="C2484">
        <v>2</v>
      </c>
      <c r="D2484" s="5" t="s">
        <v>44</v>
      </c>
      <c r="E2484" s="5" t="s">
        <v>82</v>
      </c>
      <c r="F2484" s="5" t="s">
        <v>83</v>
      </c>
      <c r="G2484" s="5" t="s">
        <v>84</v>
      </c>
      <c r="H2484" s="5" t="s">
        <v>79</v>
      </c>
      <c r="I2484" s="5" t="s">
        <v>58</v>
      </c>
      <c r="J2484" s="5" t="s">
        <v>49</v>
      </c>
      <c r="K2484">
        <v>25</v>
      </c>
      <c r="L2484">
        <v>916373</v>
      </c>
      <c r="M2484" s="26">
        <v>22909325</v>
      </c>
      <c r="N2484">
        <v>42020</v>
      </c>
      <c r="O2484" s="26">
        <v>3033310.61</v>
      </c>
      <c r="P2484" s="5" t="s">
        <v>42</v>
      </c>
      <c r="Q2484" s="5" t="s">
        <v>75</v>
      </c>
      <c r="R2484">
        <v>4.9000000000000004</v>
      </c>
      <c r="S2484">
        <v>15</v>
      </c>
      <c r="T2484">
        <f t="shared" si="38"/>
        <v>1</v>
      </c>
    </row>
    <row r="2485" spans="1:20">
      <c r="A2485" s="4">
        <v>45706</v>
      </c>
      <c r="B2485">
        <v>2025</v>
      </c>
      <c r="C2485">
        <v>2</v>
      </c>
      <c r="D2485" s="5" t="s">
        <v>35</v>
      </c>
      <c r="E2485" s="5" t="s">
        <v>36</v>
      </c>
      <c r="F2485" s="5" t="s">
        <v>37</v>
      </c>
      <c r="G2485" s="5" t="s">
        <v>38</v>
      </c>
      <c r="H2485" s="5" t="s">
        <v>74</v>
      </c>
      <c r="I2485" s="5" t="s">
        <v>40</v>
      </c>
      <c r="J2485" s="5" t="s">
        <v>49</v>
      </c>
      <c r="K2485">
        <v>10</v>
      </c>
      <c r="L2485">
        <v>630573</v>
      </c>
      <c r="M2485" s="26">
        <v>6305730</v>
      </c>
      <c r="N2485">
        <v>47711</v>
      </c>
      <c r="O2485" s="26">
        <v>797881.04</v>
      </c>
      <c r="P2485" s="5" t="s">
        <v>42</v>
      </c>
      <c r="Q2485" s="5" t="s">
        <v>51</v>
      </c>
      <c r="R2485">
        <v>3.7</v>
      </c>
      <c r="S2485">
        <v>5</v>
      </c>
      <c r="T2485">
        <f t="shared" si="38"/>
        <v>1</v>
      </c>
    </row>
    <row r="2486" spans="1:20">
      <c r="A2486" s="4">
        <v>45693</v>
      </c>
      <c r="B2486">
        <v>2025</v>
      </c>
      <c r="C2486">
        <v>2</v>
      </c>
      <c r="D2486" s="5" t="s">
        <v>35</v>
      </c>
      <c r="E2486" s="5" t="s">
        <v>36</v>
      </c>
      <c r="F2486" s="5" t="s">
        <v>37</v>
      </c>
      <c r="G2486" s="5" t="s">
        <v>38</v>
      </c>
      <c r="H2486" s="5" t="s">
        <v>39</v>
      </c>
      <c r="I2486" s="5" t="s">
        <v>40</v>
      </c>
      <c r="J2486" s="5" t="s">
        <v>41</v>
      </c>
      <c r="K2486">
        <v>8</v>
      </c>
      <c r="L2486">
        <v>602261</v>
      </c>
      <c r="M2486" s="26">
        <v>4818088</v>
      </c>
      <c r="N2486">
        <v>34031</v>
      </c>
      <c r="O2486" s="26">
        <v>567920.4</v>
      </c>
      <c r="P2486" s="5" t="s">
        <v>50</v>
      </c>
      <c r="Q2486" s="5" t="s">
        <v>75</v>
      </c>
      <c r="R2486">
        <v>3.5</v>
      </c>
      <c r="S2486">
        <v>5</v>
      </c>
      <c r="T2486">
        <f t="shared" si="38"/>
        <v>0</v>
      </c>
    </row>
    <row r="2487" spans="1:20">
      <c r="A2487" s="4">
        <v>45690</v>
      </c>
      <c r="B2487">
        <v>2025</v>
      </c>
      <c r="C2487">
        <v>2</v>
      </c>
      <c r="D2487" s="5" t="s">
        <v>35</v>
      </c>
      <c r="E2487" s="5" t="s">
        <v>36</v>
      </c>
      <c r="F2487" s="5" t="s">
        <v>37</v>
      </c>
      <c r="G2487" s="5" t="s">
        <v>38</v>
      </c>
      <c r="H2487" s="5" t="s">
        <v>80</v>
      </c>
      <c r="I2487" s="5" t="s">
        <v>81</v>
      </c>
      <c r="J2487" s="5" t="s">
        <v>41</v>
      </c>
      <c r="K2487">
        <v>19</v>
      </c>
      <c r="L2487">
        <v>569634</v>
      </c>
      <c r="M2487" s="26">
        <v>10823046</v>
      </c>
      <c r="N2487">
        <v>21668</v>
      </c>
      <c r="O2487" s="26">
        <v>1395430.44</v>
      </c>
      <c r="P2487" s="5" t="s">
        <v>42</v>
      </c>
      <c r="Q2487" s="5" t="s">
        <v>75</v>
      </c>
      <c r="R2487">
        <v>3.7</v>
      </c>
      <c r="S2487">
        <v>4</v>
      </c>
      <c r="T2487">
        <f t="shared" si="38"/>
        <v>1</v>
      </c>
    </row>
    <row r="2488" spans="1:20">
      <c r="A2488" s="4">
        <v>45707</v>
      </c>
      <c r="B2488">
        <v>2025</v>
      </c>
      <c r="C2488">
        <v>2</v>
      </c>
      <c r="D2488" s="5" t="s">
        <v>54</v>
      </c>
      <c r="E2488" s="5" t="s">
        <v>55</v>
      </c>
      <c r="F2488" s="5" t="s">
        <v>55</v>
      </c>
      <c r="G2488" s="5" t="s">
        <v>56</v>
      </c>
      <c r="H2488" s="5" t="s">
        <v>52</v>
      </c>
      <c r="I2488" s="5" t="s">
        <v>53</v>
      </c>
      <c r="J2488" s="5" t="s">
        <v>41</v>
      </c>
      <c r="K2488">
        <v>39</v>
      </c>
      <c r="L2488">
        <v>926809</v>
      </c>
      <c r="M2488" s="26">
        <v>36145551</v>
      </c>
      <c r="N2488">
        <v>39402</v>
      </c>
      <c r="O2488" s="26">
        <v>5708230.9299999997</v>
      </c>
      <c r="P2488" s="5" t="s">
        <v>50</v>
      </c>
      <c r="Q2488" s="5" t="s">
        <v>75</v>
      </c>
      <c r="R2488">
        <v>4.3</v>
      </c>
      <c r="S2488">
        <v>19</v>
      </c>
      <c r="T2488">
        <f t="shared" si="38"/>
        <v>0</v>
      </c>
    </row>
    <row r="2489" spans="1:20">
      <c r="A2489" s="4">
        <v>45698</v>
      </c>
      <c r="B2489">
        <v>2025</v>
      </c>
      <c r="C2489">
        <v>2</v>
      </c>
      <c r="D2489" s="5" t="s">
        <v>66</v>
      </c>
      <c r="E2489" s="5" t="s">
        <v>67</v>
      </c>
      <c r="F2489" s="5" t="s">
        <v>68</v>
      </c>
      <c r="G2489" s="5" t="s">
        <v>69</v>
      </c>
      <c r="H2489" s="5" t="s">
        <v>74</v>
      </c>
      <c r="I2489" s="5" t="s">
        <v>40</v>
      </c>
      <c r="J2489" s="5" t="s">
        <v>49</v>
      </c>
      <c r="K2489">
        <v>31</v>
      </c>
      <c r="L2489">
        <v>654879</v>
      </c>
      <c r="M2489" s="26">
        <v>20301249</v>
      </c>
      <c r="N2489">
        <v>17708</v>
      </c>
      <c r="O2489" s="26">
        <v>2635760.9300000002</v>
      </c>
      <c r="P2489" s="5" t="s">
        <v>50</v>
      </c>
      <c r="Q2489" s="5" t="s">
        <v>43</v>
      </c>
      <c r="R2489">
        <v>3.7</v>
      </c>
      <c r="S2489">
        <v>4</v>
      </c>
      <c r="T2489">
        <f t="shared" si="38"/>
        <v>0</v>
      </c>
    </row>
    <row r="2490" spans="1:20">
      <c r="A2490" s="4">
        <v>45707</v>
      </c>
      <c r="B2490">
        <v>2025</v>
      </c>
      <c r="C2490">
        <v>2</v>
      </c>
      <c r="D2490" s="5" t="s">
        <v>35</v>
      </c>
      <c r="E2490" s="5" t="s">
        <v>60</v>
      </c>
      <c r="F2490" s="5" t="s">
        <v>61</v>
      </c>
      <c r="G2490" s="5" t="s">
        <v>62</v>
      </c>
      <c r="H2490" s="5" t="s">
        <v>86</v>
      </c>
      <c r="I2490" s="5" t="s">
        <v>40</v>
      </c>
      <c r="J2490" s="5" t="s">
        <v>41</v>
      </c>
      <c r="K2490">
        <v>13</v>
      </c>
      <c r="L2490">
        <v>627109</v>
      </c>
      <c r="M2490" s="26">
        <v>8152417</v>
      </c>
      <c r="N2490">
        <v>36072</v>
      </c>
      <c r="O2490" s="26">
        <v>856171.63</v>
      </c>
      <c r="P2490" s="5" t="s">
        <v>50</v>
      </c>
      <c r="Q2490" s="5" t="s">
        <v>51</v>
      </c>
      <c r="R2490">
        <v>4.0999999999999996</v>
      </c>
      <c r="S2490">
        <v>18</v>
      </c>
      <c r="T2490">
        <f t="shared" si="38"/>
        <v>0</v>
      </c>
    </row>
    <row r="2491" spans="1:20">
      <c r="A2491" s="4">
        <v>45695</v>
      </c>
      <c r="B2491">
        <v>2025</v>
      </c>
      <c r="C2491">
        <v>2</v>
      </c>
      <c r="D2491" s="5" t="s">
        <v>35</v>
      </c>
      <c r="E2491" s="5" t="s">
        <v>36</v>
      </c>
      <c r="F2491" s="5" t="s">
        <v>37</v>
      </c>
      <c r="G2491" s="5" t="s">
        <v>38</v>
      </c>
      <c r="H2491" s="5" t="s">
        <v>73</v>
      </c>
      <c r="I2491" s="5" t="s">
        <v>40</v>
      </c>
      <c r="J2491" s="5" t="s">
        <v>49</v>
      </c>
      <c r="K2491">
        <v>33</v>
      </c>
      <c r="L2491">
        <v>702137</v>
      </c>
      <c r="M2491" s="26">
        <v>23170521</v>
      </c>
      <c r="N2491">
        <v>41936</v>
      </c>
      <c r="O2491" s="26">
        <v>1953306.01</v>
      </c>
      <c r="P2491" s="5" t="s">
        <v>50</v>
      </c>
      <c r="Q2491" s="5" t="s">
        <v>51</v>
      </c>
      <c r="R2491">
        <v>4.9000000000000004</v>
      </c>
      <c r="S2491">
        <v>2</v>
      </c>
      <c r="T2491">
        <f t="shared" si="38"/>
        <v>0</v>
      </c>
    </row>
    <row r="2492" spans="1:20">
      <c r="A2492" s="4">
        <v>45712</v>
      </c>
      <c r="B2492">
        <v>2025</v>
      </c>
      <c r="C2492">
        <v>2</v>
      </c>
      <c r="D2492" s="5" t="s">
        <v>35</v>
      </c>
      <c r="E2492" s="5" t="s">
        <v>76</v>
      </c>
      <c r="F2492" s="5" t="s">
        <v>77</v>
      </c>
      <c r="G2492" s="5" t="s">
        <v>78</v>
      </c>
      <c r="H2492" s="5" t="s">
        <v>73</v>
      </c>
      <c r="I2492" s="5" t="s">
        <v>40</v>
      </c>
      <c r="J2492" s="5" t="s">
        <v>49</v>
      </c>
      <c r="K2492">
        <v>60</v>
      </c>
      <c r="L2492">
        <v>728506</v>
      </c>
      <c r="M2492" s="26">
        <v>43710360</v>
      </c>
      <c r="N2492">
        <v>16320</v>
      </c>
      <c r="O2492" s="26">
        <v>5697107.9400000004</v>
      </c>
      <c r="P2492" s="5" t="s">
        <v>50</v>
      </c>
      <c r="Q2492" s="5" t="s">
        <v>75</v>
      </c>
      <c r="R2492">
        <v>4.5</v>
      </c>
      <c r="S2492">
        <v>18</v>
      </c>
      <c r="T2492">
        <f t="shared" si="38"/>
        <v>0</v>
      </c>
    </row>
    <row r="2493" spans="1:20">
      <c r="A2493" s="4">
        <v>45694</v>
      </c>
      <c r="B2493">
        <v>2025</v>
      </c>
      <c r="C2493">
        <v>2</v>
      </c>
      <c r="D2493" s="5" t="s">
        <v>35</v>
      </c>
      <c r="E2493" s="5" t="s">
        <v>60</v>
      </c>
      <c r="F2493" s="5" t="s">
        <v>61</v>
      </c>
      <c r="G2493" s="5" t="s">
        <v>62</v>
      </c>
      <c r="H2493" s="5" t="s">
        <v>74</v>
      </c>
      <c r="I2493" s="5" t="s">
        <v>40</v>
      </c>
      <c r="J2493" s="5" t="s">
        <v>49</v>
      </c>
      <c r="K2493">
        <v>7</v>
      </c>
      <c r="L2493">
        <v>650604</v>
      </c>
      <c r="M2493" s="26">
        <v>4554228</v>
      </c>
      <c r="N2493">
        <v>8465</v>
      </c>
      <c r="O2493" s="26">
        <v>503365.35</v>
      </c>
      <c r="P2493" s="5" t="s">
        <v>50</v>
      </c>
      <c r="Q2493" s="5" t="s">
        <v>43</v>
      </c>
      <c r="R2493">
        <v>4.0999999999999996</v>
      </c>
      <c r="S2493">
        <v>16</v>
      </c>
      <c r="T2493">
        <f t="shared" si="38"/>
        <v>0</v>
      </c>
    </row>
    <row r="2494" spans="1:20">
      <c r="A2494" s="4">
        <v>45702</v>
      </c>
      <c r="B2494">
        <v>2025</v>
      </c>
      <c r="C2494">
        <v>2</v>
      </c>
      <c r="D2494" s="5" t="s">
        <v>44</v>
      </c>
      <c r="E2494" s="5" t="s">
        <v>45</v>
      </c>
      <c r="F2494" s="5" t="s">
        <v>46</v>
      </c>
      <c r="G2494" s="5" t="s">
        <v>47</v>
      </c>
      <c r="H2494" s="5" t="s">
        <v>74</v>
      </c>
      <c r="I2494" s="5" t="s">
        <v>40</v>
      </c>
      <c r="J2494" s="5" t="s">
        <v>49</v>
      </c>
      <c r="K2494">
        <v>15</v>
      </c>
      <c r="L2494">
        <v>654994</v>
      </c>
      <c r="M2494" s="26">
        <v>9824910</v>
      </c>
      <c r="N2494">
        <v>26760</v>
      </c>
      <c r="O2494" s="26">
        <v>1111833.98</v>
      </c>
      <c r="P2494" s="5" t="s">
        <v>50</v>
      </c>
      <c r="Q2494" s="5" t="s">
        <v>51</v>
      </c>
      <c r="R2494">
        <v>4.9000000000000004</v>
      </c>
      <c r="S2494">
        <v>13</v>
      </c>
      <c r="T2494">
        <f t="shared" si="38"/>
        <v>0</v>
      </c>
    </row>
    <row r="2495" spans="1:20">
      <c r="A2495" s="4">
        <v>45697</v>
      </c>
      <c r="B2495">
        <v>2025</v>
      </c>
      <c r="C2495">
        <v>2</v>
      </c>
      <c r="D2495" s="5" t="s">
        <v>35</v>
      </c>
      <c r="E2495" s="5" t="s">
        <v>60</v>
      </c>
      <c r="F2495" s="5" t="s">
        <v>61</v>
      </c>
      <c r="G2495" s="5" t="s">
        <v>62</v>
      </c>
      <c r="H2495" s="5" t="s">
        <v>57</v>
      </c>
      <c r="I2495" s="5" t="s">
        <v>58</v>
      </c>
      <c r="J2495" s="5" t="s">
        <v>59</v>
      </c>
      <c r="K2495">
        <v>50</v>
      </c>
      <c r="L2495">
        <v>1428189</v>
      </c>
      <c r="M2495" s="26">
        <v>71409450</v>
      </c>
      <c r="N2495">
        <v>12588</v>
      </c>
      <c r="O2495" s="26">
        <v>10768604.810000001</v>
      </c>
      <c r="P2495" s="5" t="s">
        <v>42</v>
      </c>
      <c r="Q2495" s="5" t="s">
        <v>43</v>
      </c>
      <c r="R2495">
        <v>3.6</v>
      </c>
      <c r="S2495">
        <v>5</v>
      </c>
      <c r="T2495">
        <f t="shared" si="38"/>
        <v>1</v>
      </c>
    </row>
    <row r="2496" spans="1:20">
      <c r="A2496" s="4">
        <v>45706</v>
      </c>
      <c r="B2496">
        <v>2025</v>
      </c>
      <c r="C2496">
        <v>2</v>
      </c>
      <c r="D2496" s="5" t="s">
        <v>35</v>
      </c>
      <c r="E2496" s="5" t="s">
        <v>36</v>
      </c>
      <c r="F2496" s="5" t="s">
        <v>37</v>
      </c>
      <c r="G2496" s="5" t="s">
        <v>38</v>
      </c>
      <c r="H2496" s="5" t="s">
        <v>73</v>
      </c>
      <c r="I2496" s="5" t="s">
        <v>40</v>
      </c>
      <c r="J2496" s="5" t="s">
        <v>49</v>
      </c>
      <c r="K2496">
        <v>45</v>
      </c>
      <c r="L2496">
        <v>741462</v>
      </c>
      <c r="M2496" s="26">
        <v>33365790</v>
      </c>
      <c r="N2496">
        <v>26783</v>
      </c>
      <c r="O2496" s="26">
        <v>4034290.42</v>
      </c>
      <c r="P2496" s="5" t="s">
        <v>50</v>
      </c>
      <c r="Q2496" s="5" t="s">
        <v>51</v>
      </c>
      <c r="R2496">
        <v>4.5</v>
      </c>
      <c r="S2496">
        <v>8</v>
      </c>
      <c r="T2496">
        <f t="shared" si="38"/>
        <v>0</v>
      </c>
    </row>
    <row r="2497" spans="1:20">
      <c r="A2497" s="4">
        <v>45714</v>
      </c>
      <c r="B2497">
        <v>2025</v>
      </c>
      <c r="C2497">
        <v>2</v>
      </c>
      <c r="D2497" s="5" t="s">
        <v>35</v>
      </c>
      <c r="E2497" s="5" t="s">
        <v>60</v>
      </c>
      <c r="F2497" s="5" t="s">
        <v>61</v>
      </c>
      <c r="G2497" s="5" t="s">
        <v>62</v>
      </c>
      <c r="H2497" s="5" t="s">
        <v>57</v>
      </c>
      <c r="I2497" s="5" t="s">
        <v>58</v>
      </c>
      <c r="J2497" s="5" t="s">
        <v>59</v>
      </c>
      <c r="K2497">
        <v>54</v>
      </c>
      <c r="L2497">
        <v>1410443</v>
      </c>
      <c r="M2497" s="26">
        <v>76163922</v>
      </c>
      <c r="N2497">
        <v>8221</v>
      </c>
      <c r="O2497" s="26">
        <v>6778035.4900000002</v>
      </c>
      <c r="P2497" s="5" t="s">
        <v>42</v>
      </c>
      <c r="Q2497" s="5" t="s">
        <v>51</v>
      </c>
      <c r="R2497">
        <v>4.2</v>
      </c>
      <c r="S2497">
        <v>10</v>
      </c>
      <c r="T2497">
        <f t="shared" si="38"/>
        <v>1</v>
      </c>
    </row>
    <row r="2498" spans="1:20">
      <c r="A2498" s="4">
        <v>45709</v>
      </c>
      <c r="B2498">
        <v>2025</v>
      </c>
      <c r="C2498">
        <v>2</v>
      </c>
      <c r="D2498" s="5" t="s">
        <v>54</v>
      </c>
      <c r="E2498" s="5" t="s">
        <v>70</v>
      </c>
      <c r="F2498" s="5" t="s">
        <v>71</v>
      </c>
      <c r="G2498" s="5" t="s">
        <v>72</v>
      </c>
      <c r="H2498" s="5" t="s">
        <v>73</v>
      </c>
      <c r="I2498" s="5" t="s">
        <v>40</v>
      </c>
      <c r="J2498" s="5" t="s">
        <v>49</v>
      </c>
      <c r="K2498">
        <v>35</v>
      </c>
      <c r="L2498">
        <v>737537</v>
      </c>
      <c r="M2498" s="26">
        <v>25813795</v>
      </c>
      <c r="N2498">
        <v>6176</v>
      </c>
      <c r="O2498" s="26">
        <v>3933919.8</v>
      </c>
      <c r="P2498" s="5" t="s">
        <v>42</v>
      </c>
      <c r="Q2498" s="5" t="s">
        <v>75</v>
      </c>
      <c r="R2498">
        <v>3.6</v>
      </c>
      <c r="S2498">
        <v>19</v>
      </c>
      <c r="T2498">
        <f t="shared" ref="T2498:T2561" si="39">IF(AND(OR($B2498=Sel_Year,Sel_Year="All"),OR($C2498=Sel_Month,Sel_Month="All"),OR($D2498=Sel_Region,Sel_Region="All"),OR($E2498=Sel_State,Sel_State="All"),OR($F2498=Sel_City,Sel_City="All"),OR($G2498=Sel_Dealer,Sel_Dealer="All"),OR($H2498=Sel_Model,Sel_Model="All"),OR($I2498=Sel_Segment,Sel_Segment="All"),OR($J2498=Sel_Fuel,Sel_Fuel="All"),OR($P2498=Sel_CustType,Sel_CustType="All"),OR($Q2498=Sel_Payment,Sel_Payment="All")),1,0)</f>
        <v>1</v>
      </c>
    </row>
    <row r="2499" spans="1:20">
      <c r="A2499" s="4">
        <v>45689</v>
      </c>
      <c r="B2499">
        <v>2025</v>
      </c>
      <c r="C2499">
        <v>2</v>
      </c>
      <c r="D2499" s="5" t="s">
        <v>35</v>
      </c>
      <c r="E2499" s="5" t="s">
        <v>60</v>
      </c>
      <c r="F2499" s="5" t="s">
        <v>61</v>
      </c>
      <c r="G2499" s="5" t="s">
        <v>62</v>
      </c>
      <c r="H2499" s="5" t="s">
        <v>52</v>
      </c>
      <c r="I2499" s="5" t="s">
        <v>53</v>
      </c>
      <c r="J2499" s="5" t="s">
        <v>41</v>
      </c>
      <c r="K2499">
        <v>38</v>
      </c>
      <c r="L2499">
        <v>933828</v>
      </c>
      <c r="M2499" s="26">
        <v>35485464</v>
      </c>
      <c r="N2499">
        <v>25995</v>
      </c>
      <c r="O2499" s="26">
        <v>3153947.16</v>
      </c>
      <c r="P2499" s="5" t="s">
        <v>42</v>
      </c>
      <c r="Q2499" s="5" t="s">
        <v>43</v>
      </c>
      <c r="R2499">
        <v>3.9</v>
      </c>
      <c r="S2499">
        <v>15</v>
      </c>
      <c r="T2499">
        <f t="shared" si="39"/>
        <v>1</v>
      </c>
    </row>
    <row r="2500" spans="1:20">
      <c r="A2500" s="4">
        <v>45713</v>
      </c>
      <c r="B2500">
        <v>2025</v>
      </c>
      <c r="C2500">
        <v>2</v>
      </c>
      <c r="D2500" s="5" t="s">
        <v>35</v>
      </c>
      <c r="E2500" s="5" t="s">
        <v>36</v>
      </c>
      <c r="F2500" s="5" t="s">
        <v>37</v>
      </c>
      <c r="G2500" s="5" t="s">
        <v>38</v>
      </c>
      <c r="H2500" s="5" t="s">
        <v>80</v>
      </c>
      <c r="I2500" s="5" t="s">
        <v>81</v>
      </c>
      <c r="J2500" s="5" t="s">
        <v>41</v>
      </c>
      <c r="K2500">
        <v>21</v>
      </c>
      <c r="L2500">
        <v>555950</v>
      </c>
      <c r="M2500" s="26">
        <v>11674950</v>
      </c>
      <c r="N2500">
        <v>35759</v>
      </c>
      <c r="O2500" s="26">
        <v>1652025.06</v>
      </c>
      <c r="P2500" s="5" t="s">
        <v>42</v>
      </c>
      <c r="Q2500" s="5" t="s">
        <v>43</v>
      </c>
      <c r="R2500">
        <v>4.2</v>
      </c>
      <c r="S2500">
        <v>5</v>
      </c>
      <c r="T2500">
        <f t="shared" si="39"/>
        <v>1</v>
      </c>
    </row>
    <row r="2501" spans="1:20">
      <c r="A2501" s="4">
        <v>45716</v>
      </c>
      <c r="B2501">
        <v>2025</v>
      </c>
      <c r="C2501">
        <v>2</v>
      </c>
      <c r="D2501" s="5" t="s">
        <v>35</v>
      </c>
      <c r="E2501" s="5" t="s">
        <v>36</v>
      </c>
      <c r="F2501" s="5" t="s">
        <v>37</v>
      </c>
      <c r="G2501" s="5" t="s">
        <v>38</v>
      </c>
      <c r="H2501" s="5" t="s">
        <v>57</v>
      </c>
      <c r="I2501" s="5" t="s">
        <v>58</v>
      </c>
      <c r="J2501" s="5" t="s">
        <v>59</v>
      </c>
      <c r="K2501">
        <v>55</v>
      </c>
      <c r="L2501">
        <v>1391951</v>
      </c>
      <c r="M2501" s="26">
        <v>76557305</v>
      </c>
      <c r="N2501">
        <v>18978</v>
      </c>
      <c r="O2501" s="26">
        <v>10954886.039999999</v>
      </c>
      <c r="P2501" s="5" t="s">
        <v>50</v>
      </c>
      <c r="Q2501" s="5" t="s">
        <v>43</v>
      </c>
      <c r="R2501">
        <v>4.3</v>
      </c>
      <c r="S2501">
        <v>4</v>
      </c>
      <c r="T2501">
        <f t="shared" si="39"/>
        <v>0</v>
      </c>
    </row>
    <row r="2502" spans="1:20">
      <c r="A2502" s="4">
        <v>45741</v>
      </c>
      <c r="B2502">
        <v>2025</v>
      </c>
      <c r="C2502">
        <v>3</v>
      </c>
      <c r="D2502" s="5" t="s">
        <v>54</v>
      </c>
      <c r="E2502" s="5" t="s">
        <v>55</v>
      </c>
      <c r="F2502" s="5" t="s">
        <v>55</v>
      </c>
      <c r="G2502" s="5" t="s">
        <v>56</v>
      </c>
      <c r="H2502" s="5" t="s">
        <v>39</v>
      </c>
      <c r="I2502" s="5" t="s">
        <v>40</v>
      </c>
      <c r="J2502" s="5" t="s">
        <v>41</v>
      </c>
      <c r="K2502">
        <v>6</v>
      </c>
      <c r="L2502">
        <v>599190</v>
      </c>
      <c r="M2502" s="26">
        <v>3595140</v>
      </c>
      <c r="N2502">
        <v>29374</v>
      </c>
      <c r="O2502" s="26">
        <v>407435.45</v>
      </c>
      <c r="P2502" s="5" t="s">
        <v>42</v>
      </c>
      <c r="Q2502" s="5" t="s">
        <v>43</v>
      </c>
      <c r="R2502">
        <v>4.0999999999999996</v>
      </c>
      <c r="S2502">
        <v>16</v>
      </c>
      <c r="T2502">
        <f t="shared" si="39"/>
        <v>1</v>
      </c>
    </row>
    <row r="2503" spans="1:20">
      <c r="A2503" s="4">
        <v>45722</v>
      </c>
      <c r="B2503">
        <v>2025</v>
      </c>
      <c r="C2503">
        <v>3</v>
      </c>
      <c r="D2503" s="5" t="s">
        <v>35</v>
      </c>
      <c r="E2503" s="5" t="s">
        <v>76</v>
      </c>
      <c r="F2503" s="5" t="s">
        <v>77</v>
      </c>
      <c r="G2503" s="5" t="s">
        <v>78</v>
      </c>
      <c r="H2503" s="5" t="s">
        <v>73</v>
      </c>
      <c r="I2503" s="5" t="s">
        <v>40</v>
      </c>
      <c r="J2503" s="5" t="s">
        <v>49</v>
      </c>
      <c r="K2503">
        <v>44</v>
      </c>
      <c r="L2503">
        <v>716558</v>
      </c>
      <c r="M2503" s="26">
        <v>31528552</v>
      </c>
      <c r="N2503">
        <v>28278</v>
      </c>
      <c r="O2503" s="26">
        <v>3933095.78</v>
      </c>
      <c r="P2503" s="5" t="s">
        <v>50</v>
      </c>
      <c r="Q2503" s="5" t="s">
        <v>43</v>
      </c>
      <c r="R2503">
        <v>4</v>
      </c>
      <c r="S2503">
        <v>20</v>
      </c>
      <c r="T2503">
        <f t="shared" si="39"/>
        <v>0</v>
      </c>
    </row>
    <row r="2504" spans="1:20">
      <c r="A2504" s="4">
        <v>45720</v>
      </c>
      <c r="B2504">
        <v>2025</v>
      </c>
      <c r="C2504">
        <v>3</v>
      </c>
      <c r="D2504" s="5" t="s">
        <v>35</v>
      </c>
      <c r="E2504" s="5" t="s">
        <v>60</v>
      </c>
      <c r="F2504" s="5" t="s">
        <v>61</v>
      </c>
      <c r="G2504" s="5" t="s">
        <v>62</v>
      </c>
      <c r="H2504" s="5" t="s">
        <v>52</v>
      </c>
      <c r="I2504" s="5" t="s">
        <v>53</v>
      </c>
      <c r="J2504" s="5" t="s">
        <v>41</v>
      </c>
      <c r="K2504">
        <v>37</v>
      </c>
      <c r="L2504">
        <v>954360</v>
      </c>
      <c r="M2504" s="26">
        <v>35311320</v>
      </c>
      <c r="N2504">
        <v>32097</v>
      </c>
      <c r="O2504" s="26">
        <v>5532232.8200000003</v>
      </c>
      <c r="P2504" s="5" t="s">
        <v>42</v>
      </c>
      <c r="Q2504" s="5" t="s">
        <v>51</v>
      </c>
      <c r="R2504">
        <v>4.4000000000000004</v>
      </c>
      <c r="S2504">
        <v>11</v>
      </c>
      <c r="T2504">
        <f t="shared" si="39"/>
        <v>1</v>
      </c>
    </row>
    <row r="2505" spans="1:20">
      <c r="A2505" s="4">
        <v>45723</v>
      </c>
      <c r="B2505">
        <v>2025</v>
      </c>
      <c r="C2505">
        <v>3</v>
      </c>
      <c r="D2505" s="5" t="s">
        <v>35</v>
      </c>
      <c r="E2505" s="5" t="s">
        <v>60</v>
      </c>
      <c r="F2505" s="5" t="s">
        <v>61</v>
      </c>
      <c r="G2505" s="5" t="s">
        <v>62</v>
      </c>
      <c r="H2505" s="5" t="s">
        <v>57</v>
      </c>
      <c r="I2505" s="5" t="s">
        <v>58</v>
      </c>
      <c r="J2505" s="5" t="s">
        <v>59</v>
      </c>
      <c r="K2505">
        <v>12</v>
      </c>
      <c r="L2505">
        <v>1387603</v>
      </c>
      <c r="M2505" s="26">
        <v>16651236</v>
      </c>
      <c r="N2505">
        <v>37954</v>
      </c>
      <c r="O2505" s="26">
        <v>1427089.9</v>
      </c>
      <c r="P2505" s="5" t="s">
        <v>50</v>
      </c>
      <c r="Q2505" s="5" t="s">
        <v>51</v>
      </c>
      <c r="R2505">
        <v>5</v>
      </c>
      <c r="S2505">
        <v>15</v>
      </c>
      <c r="T2505">
        <f t="shared" si="39"/>
        <v>0</v>
      </c>
    </row>
    <row r="2506" spans="1:20">
      <c r="A2506" s="4">
        <v>45739</v>
      </c>
      <c r="B2506">
        <v>2025</v>
      </c>
      <c r="C2506">
        <v>3</v>
      </c>
      <c r="D2506" s="5" t="s">
        <v>35</v>
      </c>
      <c r="E2506" s="5" t="s">
        <v>76</v>
      </c>
      <c r="F2506" s="5" t="s">
        <v>77</v>
      </c>
      <c r="G2506" s="5" t="s">
        <v>78</v>
      </c>
      <c r="H2506" s="5" t="s">
        <v>86</v>
      </c>
      <c r="I2506" s="5" t="s">
        <v>40</v>
      </c>
      <c r="J2506" s="5" t="s">
        <v>41</v>
      </c>
      <c r="K2506">
        <v>34</v>
      </c>
      <c r="L2506">
        <v>587043</v>
      </c>
      <c r="M2506" s="26">
        <v>19959462</v>
      </c>
      <c r="N2506">
        <v>14292</v>
      </c>
      <c r="O2506" s="26">
        <v>2538344.91</v>
      </c>
      <c r="P2506" s="5" t="s">
        <v>42</v>
      </c>
      <c r="Q2506" s="5" t="s">
        <v>75</v>
      </c>
      <c r="R2506">
        <v>4.4000000000000004</v>
      </c>
      <c r="S2506">
        <v>17</v>
      </c>
      <c r="T2506">
        <f t="shared" si="39"/>
        <v>1</v>
      </c>
    </row>
    <row r="2507" spans="1:20">
      <c r="A2507" s="4">
        <v>45737</v>
      </c>
      <c r="B2507">
        <v>2025</v>
      </c>
      <c r="C2507">
        <v>3</v>
      </c>
      <c r="D2507" s="5" t="s">
        <v>54</v>
      </c>
      <c r="E2507" s="5" t="s">
        <v>70</v>
      </c>
      <c r="F2507" s="5" t="s">
        <v>71</v>
      </c>
      <c r="G2507" s="5" t="s">
        <v>72</v>
      </c>
      <c r="H2507" s="5" t="s">
        <v>85</v>
      </c>
      <c r="I2507" s="5" t="s">
        <v>58</v>
      </c>
      <c r="J2507" s="5" t="s">
        <v>49</v>
      </c>
      <c r="K2507">
        <v>36</v>
      </c>
      <c r="L2507">
        <v>982806</v>
      </c>
      <c r="M2507" s="26">
        <v>35381016</v>
      </c>
      <c r="N2507">
        <v>28528</v>
      </c>
      <c r="O2507" s="26">
        <v>4939125.46</v>
      </c>
      <c r="P2507" s="5" t="s">
        <v>42</v>
      </c>
      <c r="Q2507" s="5" t="s">
        <v>75</v>
      </c>
      <c r="R2507">
        <v>4.5999999999999996</v>
      </c>
      <c r="S2507">
        <v>15</v>
      </c>
      <c r="T2507">
        <f t="shared" si="39"/>
        <v>1</v>
      </c>
    </row>
    <row r="2508" spans="1:20">
      <c r="A2508" s="4">
        <v>45722</v>
      </c>
      <c r="B2508">
        <v>2025</v>
      </c>
      <c r="C2508">
        <v>3</v>
      </c>
      <c r="D2508" s="5" t="s">
        <v>54</v>
      </c>
      <c r="E2508" s="5" t="s">
        <v>70</v>
      </c>
      <c r="F2508" s="5" t="s">
        <v>71</v>
      </c>
      <c r="G2508" s="5" t="s">
        <v>72</v>
      </c>
      <c r="H2508" s="5" t="s">
        <v>86</v>
      </c>
      <c r="I2508" s="5" t="s">
        <v>40</v>
      </c>
      <c r="J2508" s="5" t="s">
        <v>41</v>
      </c>
      <c r="K2508">
        <v>43</v>
      </c>
      <c r="L2508">
        <v>603778</v>
      </c>
      <c r="M2508" s="26">
        <v>25962454</v>
      </c>
      <c r="N2508">
        <v>35769</v>
      </c>
      <c r="O2508" s="26">
        <v>2909876.75</v>
      </c>
      <c r="P2508" s="5" t="s">
        <v>42</v>
      </c>
      <c r="Q2508" s="5" t="s">
        <v>75</v>
      </c>
      <c r="R2508">
        <v>4.7</v>
      </c>
      <c r="S2508">
        <v>7</v>
      </c>
      <c r="T2508">
        <f t="shared" si="39"/>
        <v>1</v>
      </c>
    </row>
    <row r="2509" spans="1:20">
      <c r="A2509" s="4">
        <v>45731</v>
      </c>
      <c r="B2509">
        <v>2025</v>
      </c>
      <c r="C2509">
        <v>3</v>
      </c>
      <c r="D2509" s="5" t="s">
        <v>44</v>
      </c>
      <c r="E2509" s="5" t="s">
        <v>45</v>
      </c>
      <c r="F2509" s="5" t="s">
        <v>46</v>
      </c>
      <c r="G2509" s="5" t="s">
        <v>47</v>
      </c>
      <c r="H2509" s="5" t="s">
        <v>86</v>
      </c>
      <c r="I2509" s="5" t="s">
        <v>40</v>
      </c>
      <c r="J2509" s="5" t="s">
        <v>41</v>
      </c>
      <c r="K2509">
        <v>15</v>
      </c>
      <c r="L2509">
        <v>589967</v>
      </c>
      <c r="M2509" s="26">
        <v>8849505</v>
      </c>
      <c r="N2509">
        <v>18241</v>
      </c>
      <c r="O2509" s="26">
        <v>837366.05</v>
      </c>
      <c r="P2509" s="5" t="s">
        <v>50</v>
      </c>
      <c r="Q2509" s="5" t="s">
        <v>43</v>
      </c>
      <c r="R2509">
        <v>4</v>
      </c>
      <c r="S2509">
        <v>15</v>
      </c>
      <c r="T2509">
        <f t="shared" si="39"/>
        <v>0</v>
      </c>
    </row>
    <row r="2510" spans="1:20">
      <c r="A2510" s="4">
        <v>45728</v>
      </c>
      <c r="B2510">
        <v>2025</v>
      </c>
      <c r="C2510">
        <v>3</v>
      </c>
      <c r="D2510" s="5" t="s">
        <v>35</v>
      </c>
      <c r="E2510" s="5" t="s">
        <v>76</v>
      </c>
      <c r="F2510" s="5" t="s">
        <v>77</v>
      </c>
      <c r="G2510" s="5" t="s">
        <v>78</v>
      </c>
      <c r="H2510" s="5" t="s">
        <v>80</v>
      </c>
      <c r="I2510" s="5" t="s">
        <v>81</v>
      </c>
      <c r="J2510" s="5" t="s">
        <v>41</v>
      </c>
      <c r="K2510">
        <v>51</v>
      </c>
      <c r="L2510">
        <v>559257</v>
      </c>
      <c r="M2510" s="26">
        <v>28522107</v>
      </c>
      <c r="N2510">
        <v>36363</v>
      </c>
      <c r="O2510" s="26">
        <v>3667261.98</v>
      </c>
      <c r="P2510" s="5" t="s">
        <v>50</v>
      </c>
      <c r="Q2510" s="5" t="s">
        <v>43</v>
      </c>
      <c r="R2510">
        <v>4</v>
      </c>
      <c r="S2510">
        <v>3</v>
      </c>
      <c r="T2510">
        <f t="shared" si="39"/>
        <v>0</v>
      </c>
    </row>
    <row r="2511" spans="1:20">
      <c r="A2511" s="4">
        <v>45733</v>
      </c>
      <c r="B2511">
        <v>2025</v>
      </c>
      <c r="C2511">
        <v>3</v>
      </c>
      <c r="D2511" s="5" t="s">
        <v>44</v>
      </c>
      <c r="E2511" s="5" t="s">
        <v>82</v>
      </c>
      <c r="F2511" s="5" t="s">
        <v>83</v>
      </c>
      <c r="G2511" s="5" t="s">
        <v>84</v>
      </c>
      <c r="H2511" s="5" t="s">
        <v>48</v>
      </c>
      <c r="I2511" s="5" t="s">
        <v>40</v>
      </c>
      <c r="J2511" s="5" t="s">
        <v>49</v>
      </c>
      <c r="K2511">
        <v>58</v>
      </c>
      <c r="L2511">
        <v>427472</v>
      </c>
      <c r="M2511" s="26">
        <v>24793376</v>
      </c>
      <c r="N2511">
        <v>48127</v>
      </c>
      <c r="O2511" s="26">
        <v>3592572.87</v>
      </c>
      <c r="P2511" s="5" t="s">
        <v>42</v>
      </c>
      <c r="Q2511" s="5" t="s">
        <v>51</v>
      </c>
      <c r="R2511">
        <v>3.7</v>
      </c>
      <c r="S2511">
        <v>11</v>
      </c>
      <c r="T2511">
        <f t="shared" si="39"/>
        <v>1</v>
      </c>
    </row>
    <row r="2512" spans="1:20">
      <c r="A2512" s="4">
        <v>45742</v>
      </c>
      <c r="B2512">
        <v>2025</v>
      </c>
      <c r="C2512">
        <v>3</v>
      </c>
      <c r="D2512" s="5" t="s">
        <v>35</v>
      </c>
      <c r="E2512" s="5" t="s">
        <v>60</v>
      </c>
      <c r="F2512" s="5" t="s">
        <v>61</v>
      </c>
      <c r="G2512" s="5" t="s">
        <v>62</v>
      </c>
      <c r="H2512" s="5" t="s">
        <v>80</v>
      </c>
      <c r="I2512" s="5" t="s">
        <v>81</v>
      </c>
      <c r="J2512" s="5" t="s">
        <v>41</v>
      </c>
      <c r="K2512">
        <v>10</v>
      </c>
      <c r="L2512">
        <v>553768</v>
      </c>
      <c r="M2512" s="26">
        <v>5537680</v>
      </c>
      <c r="N2512">
        <v>38601</v>
      </c>
      <c r="O2512" s="26">
        <v>778848.18</v>
      </c>
      <c r="P2512" s="5" t="s">
        <v>42</v>
      </c>
      <c r="Q2512" s="5" t="s">
        <v>75</v>
      </c>
      <c r="R2512">
        <v>4.5999999999999996</v>
      </c>
      <c r="S2512">
        <v>5</v>
      </c>
      <c r="T2512">
        <f t="shared" si="39"/>
        <v>1</v>
      </c>
    </row>
    <row r="2513" spans="1:20">
      <c r="A2513" s="4">
        <v>45739</v>
      </c>
      <c r="B2513">
        <v>2025</v>
      </c>
      <c r="C2513">
        <v>3</v>
      </c>
      <c r="D2513" s="5" t="s">
        <v>35</v>
      </c>
      <c r="E2513" s="5" t="s">
        <v>60</v>
      </c>
      <c r="F2513" s="5" t="s">
        <v>61</v>
      </c>
      <c r="G2513" s="5" t="s">
        <v>62</v>
      </c>
      <c r="H2513" s="5" t="s">
        <v>86</v>
      </c>
      <c r="I2513" s="5" t="s">
        <v>40</v>
      </c>
      <c r="J2513" s="5" t="s">
        <v>41</v>
      </c>
      <c r="K2513">
        <v>57</v>
      </c>
      <c r="L2513">
        <v>627851</v>
      </c>
      <c r="M2513" s="26">
        <v>35787507</v>
      </c>
      <c r="N2513">
        <v>6891</v>
      </c>
      <c r="O2513" s="26">
        <v>4886871.76</v>
      </c>
      <c r="P2513" s="5" t="s">
        <v>50</v>
      </c>
      <c r="Q2513" s="5" t="s">
        <v>51</v>
      </c>
      <c r="R2513">
        <v>3.7</v>
      </c>
      <c r="S2513">
        <v>18</v>
      </c>
      <c r="T2513">
        <f t="shared" si="39"/>
        <v>0</v>
      </c>
    </row>
    <row r="2514" spans="1:20">
      <c r="A2514" s="4">
        <v>45719</v>
      </c>
      <c r="B2514">
        <v>2025</v>
      </c>
      <c r="C2514">
        <v>3</v>
      </c>
      <c r="D2514" s="5" t="s">
        <v>35</v>
      </c>
      <c r="E2514" s="5" t="s">
        <v>60</v>
      </c>
      <c r="F2514" s="5" t="s">
        <v>61</v>
      </c>
      <c r="G2514" s="5" t="s">
        <v>62</v>
      </c>
      <c r="H2514" s="5" t="s">
        <v>39</v>
      </c>
      <c r="I2514" s="5" t="s">
        <v>40</v>
      </c>
      <c r="J2514" s="5" t="s">
        <v>41</v>
      </c>
      <c r="K2514">
        <v>6</v>
      </c>
      <c r="L2514">
        <v>553071</v>
      </c>
      <c r="M2514" s="26">
        <v>3318426</v>
      </c>
      <c r="N2514">
        <v>22264</v>
      </c>
      <c r="O2514" s="26">
        <v>377317.48</v>
      </c>
      <c r="P2514" s="5" t="s">
        <v>50</v>
      </c>
      <c r="Q2514" s="5" t="s">
        <v>43</v>
      </c>
      <c r="R2514">
        <v>4.0999999999999996</v>
      </c>
      <c r="S2514">
        <v>7</v>
      </c>
      <c r="T2514">
        <f t="shared" si="39"/>
        <v>0</v>
      </c>
    </row>
    <row r="2515" spans="1:20">
      <c r="A2515" s="4">
        <v>45736</v>
      </c>
      <c r="B2515">
        <v>2025</v>
      </c>
      <c r="C2515">
        <v>3</v>
      </c>
      <c r="D2515" s="5" t="s">
        <v>35</v>
      </c>
      <c r="E2515" s="5" t="s">
        <v>36</v>
      </c>
      <c r="F2515" s="5" t="s">
        <v>37</v>
      </c>
      <c r="G2515" s="5" t="s">
        <v>38</v>
      </c>
      <c r="H2515" s="5" t="s">
        <v>79</v>
      </c>
      <c r="I2515" s="5" t="s">
        <v>58</v>
      </c>
      <c r="J2515" s="5" t="s">
        <v>49</v>
      </c>
      <c r="K2515">
        <v>57</v>
      </c>
      <c r="L2515">
        <v>929090</v>
      </c>
      <c r="M2515" s="26">
        <v>52958130</v>
      </c>
      <c r="N2515">
        <v>49297</v>
      </c>
      <c r="O2515" s="26">
        <v>6100140.8399999999</v>
      </c>
      <c r="P2515" s="5" t="s">
        <v>42</v>
      </c>
      <c r="Q2515" s="5" t="s">
        <v>51</v>
      </c>
      <c r="R2515">
        <v>5</v>
      </c>
      <c r="S2515">
        <v>18</v>
      </c>
      <c r="T2515">
        <f t="shared" si="39"/>
        <v>1</v>
      </c>
    </row>
    <row r="2516" spans="1:20">
      <c r="A2516" s="4">
        <v>45738</v>
      </c>
      <c r="B2516">
        <v>2025</v>
      </c>
      <c r="C2516">
        <v>3</v>
      </c>
      <c r="D2516" s="5" t="s">
        <v>44</v>
      </c>
      <c r="E2516" s="5" t="s">
        <v>82</v>
      </c>
      <c r="F2516" s="5" t="s">
        <v>83</v>
      </c>
      <c r="G2516" s="5" t="s">
        <v>84</v>
      </c>
      <c r="H2516" s="5" t="s">
        <v>73</v>
      </c>
      <c r="I2516" s="5" t="s">
        <v>40</v>
      </c>
      <c r="J2516" s="5" t="s">
        <v>49</v>
      </c>
      <c r="K2516">
        <v>47</v>
      </c>
      <c r="L2516">
        <v>720148</v>
      </c>
      <c r="M2516" s="26">
        <v>33846956</v>
      </c>
      <c r="N2516">
        <v>19713</v>
      </c>
      <c r="O2516" s="26">
        <v>3596762.32</v>
      </c>
      <c r="P2516" s="5" t="s">
        <v>50</v>
      </c>
      <c r="Q2516" s="5" t="s">
        <v>51</v>
      </c>
      <c r="R2516">
        <v>4.2</v>
      </c>
      <c r="S2516">
        <v>13</v>
      </c>
      <c r="T2516">
        <f t="shared" si="39"/>
        <v>0</v>
      </c>
    </row>
    <row r="2517" spans="1:20">
      <c r="A2517" s="4">
        <v>45744</v>
      </c>
      <c r="B2517">
        <v>2025</v>
      </c>
      <c r="C2517">
        <v>3</v>
      </c>
      <c r="D2517" s="5" t="s">
        <v>35</v>
      </c>
      <c r="E2517" s="5" t="s">
        <v>76</v>
      </c>
      <c r="F2517" s="5" t="s">
        <v>77</v>
      </c>
      <c r="G2517" s="5" t="s">
        <v>78</v>
      </c>
      <c r="H2517" s="5" t="s">
        <v>74</v>
      </c>
      <c r="I2517" s="5" t="s">
        <v>40</v>
      </c>
      <c r="J2517" s="5" t="s">
        <v>49</v>
      </c>
      <c r="K2517">
        <v>37</v>
      </c>
      <c r="L2517">
        <v>631697</v>
      </c>
      <c r="M2517" s="26">
        <v>23372789</v>
      </c>
      <c r="N2517">
        <v>42239</v>
      </c>
      <c r="O2517" s="26">
        <v>1918520.12</v>
      </c>
      <c r="P2517" s="5" t="s">
        <v>50</v>
      </c>
      <c r="Q2517" s="5" t="s">
        <v>43</v>
      </c>
      <c r="R2517">
        <v>3.6</v>
      </c>
      <c r="S2517">
        <v>10</v>
      </c>
      <c r="T2517">
        <f t="shared" si="39"/>
        <v>0</v>
      </c>
    </row>
    <row r="2518" spans="1:20">
      <c r="A2518" s="4">
        <v>45719</v>
      </c>
      <c r="B2518">
        <v>2025</v>
      </c>
      <c r="C2518">
        <v>3</v>
      </c>
      <c r="D2518" s="5" t="s">
        <v>66</v>
      </c>
      <c r="E2518" s="5" t="s">
        <v>67</v>
      </c>
      <c r="F2518" s="5" t="s">
        <v>68</v>
      </c>
      <c r="G2518" s="5" t="s">
        <v>69</v>
      </c>
      <c r="H2518" s="5" t="s">
        <v>57</v>
      </c>
      <c r="I2518" s="5" t="s">
        <v>58</v>
      </c>
      <c r="J2518" s="5" t="s">
        <v>59</v>
      </c>
      <c r="K2518">
        <v>28</v>
      </c>
      <c r="L2518">
        <v>1421260</v>
      </c>
      <c r="M2518" s="26">
        <v>39795280</v>
      </c>
      <c r="N2518">
        <v>41141</v>
      </c>
      <c r="O2518" s="26">
        <v>4228616.57</v>
      </c>
      <c r="P2518" s="5" t="s">
        <v>42</v>
      </c>
      <c r="Q2518" s="5" t="s">
        <v>43</v>
      </c>
      <c r="R2518">
        <v>4.2</v>
      </c>
      <c r="S2518">
        <v>9</v>
      </c>
      <c r="T2518">
        <f t="shared" si="39"/>
        <v>1</v>
      </c>
    </row>
    <row r="2519" spans="1:20">
      <c r="A2519" s="4">
        <v>45730</v>
      </c>
      <c r="B2519">
        <v>2025</v>
      </c>
      <c r="C2519">
        <v>3</v>
      </c>
      <c r="D2519" s="5" t="s">
        <v>66</v>
      </c>
      <c r="E2519" s="5" t="s">
        <v>67</v>
      </c>
      <c r="F2519" s="5" t="s">
        <v>68</v>
      </c>
      <c r="G2519" s="5" t="s">
        <v>69</v>
      </c>
      <c r="H2519" s="5" t="s">
        <v>65</v>
      </c>
      <c r="I2519" s="5" t="s">
        <v>53</v>
      </c>
      <c r="J2519" s="5" t="s">
        <v>49</v>
      </c>
      <c r="K2519">
        <v>42</v>
      </c>
      <c r="L2519">
        <v>1235241</v>
      </c>
      <c r="M2519" s="26">
        <v>51880122</v>
      </c>
      <c r="N2519">
        <v>42838</v>
      </c>
      <c r="O2519" s="26">
        <v>5543977.9500000002</v>
      </c>
      <c r="P2519" s="5" t="s">
        <v>50</v>
      </c>
      <c r="Q2519" s="5" t="s">
        <v>43</v>
      </c>
      <c r="R2519">
        <v>4.7</v>
      </c>
      <c r="S2519">
        <v>19</v>
      </c>
      <c r="T2519">
        <f t="shared" si="39"/>
        <v>0</v>
      </c>
    </row>
    <row r="2520" spans="1:20">
      <c r="A2520" s="4">
        <v>45735</v>
      </c>
      <c r="B2520">
        <v>2025</v>
      </c>
      <c r="C2520">
        <v>3</v>
      </c>
      <c r="D2520" s="5" t="s">
        <v>44</v>
      </c>
      <c r="E2520" s="5" t="s">
        <v>45</v>
      </c>
      <c r="F2520" s="5" t="s">
        <v>46</v>
      </c>
      <c r="G2520" s="5" t="s">
        <v>47</v>
      </c>
      <c r="H2520" s="5" t="s">
        <v>86</v>
      </c>
      <c r="I2520" s="5" t="s">
        <v>40</v>
      </c>
      <c r="J2520" s="5" t="s">
        <v>41</v>
      </c>
      <c r="K2520">
        <v>56</v>
      </c>
      <c r="L2520">
        <v>572063</v>
      </c>
      <c r="M2520" s="26">
        <v>32035528</v>
      </c>
      <c r="N2520">
        <v>34201</v>
      </c>
      <c r="O2520" s="26">
        <v>3942965.64</v>
      </c>
      <c r="P2520" s="5" t="s">
        <v>42</v>
      </c>
      <c r="Q2520" s="5" t="s">
        <v>43</v>
      </c>
      <c r="R2520">
        <v>3.9</v>
      </c>
      <c r="S2520">
        <v>12</v>
      </c>
      <c r="T2520">
        <f t="shared" si="39"/>
        <v>1</v>
      </c>
    </row>
    <row r="2521" spans="1:20">
      <c r="A2521" s="4">
        <v>45743</v>
      </c>
      <c r="B2521">
        <v>2025</v>
      </c>
      <c r="C2521">
        <v>3</v>
      </c>
      <c r="D2521" s="5" t="s">
        <v>54</v>
      </c>
      <c r="E2521" s="5" t="s">
        <v>55</v>
      </c>
      <c r="F2521" s="5" t="s">
        <v>55</v>
      </c>
      <c r="G2521" s="5" t="s">
        <v>56</v>
      </c>
      <c r="H2521" s="5" t="s">
        <v>39</v>
      </c>
      <c r="I2521" s="5" t="s">
        <v>40</v>
      </c>
      <c r="J2521" s="5" t="s">
        <v>41</v>
      </c>
      <c r="K2521">
        <v>48</v>
      </c>
      <c r="L2521">
        <v>575017</v>
      </c>
      <c r="M2521" s="26">
        <v>27600816</v>
      </c>
      <c r="N2521">
        <v>44883</v>
      </c>
      <c r="O2521" s="26">
        <v>2783944.59</v>
      </c>
      <c r="P2521" s="5" t="s">
        <v>42</v>
      </c>
      <c r="Q2521" s="5" t="s">
        <v>43</v>
      </c>
      <c r="R2521">
        <v>4.0999999999999996</v>
      </c>
      <c r="S2521">
        <v>21</v>
      </c>
      <c r="T2521">
        <f t="shared" si="39"/>
        <v>1</v>
      </c>
    </row>
    <row r="2522" spans="1:20">
      <c r="A2522" s="4">
        <v>45737</v>
      </c>
      <c r="B2522">
        <v>2025</v>
      </c>
      <c r="C2522">
        <v>3</v>
      </c>
      <c r="D2522" s="5" t="s">
        <v>35</v>
      </c>
      <c r="E2522" s="5" t="s">
        <v>60</v>
      </c>
      <c r="F2522" s="5" t="s">
        <v>61</v>
      </c>
      <c r="G2522" s="5" t="s">
        <v>62</v>
      </c>
      <c r="H2522" s="5" t="s">
        <v>63</v>
      </c>
      <c r="I2522" s="5" t="s">
        <v>64</v>
      </c>
      <c r="J2522" s="5" t="s">
        <v>41</v>
      </c>
      <c r="K2522">
        <v>57</v>
      </c>
      <c r="L2522">
        <v>783970</v>
      </c>
      <c r="M2522" s="26">
        <v>44686290</v>
      </c>
      <c r="N2522">
        <v>37629</v>
      </c>
      <c r="O2522" s="26">
        <v>4085306.25</v>
      </c>
      <c r="P2522" s="5" t="s">
        <v>42</v>
      </c>
      <c r="Q2522" s="5" t="s">
        <v>43</v>
      </c>
      <c r="R2522">
        <v>4</v>
      </c>
      <c r="S2522">
        <v>2</v>
      </c>
      <c r="T2522">
        <f t="shared" si="39"/>
        <v>1</v>
      </c>
    </row>
    <row r="2523" spans="1:20">
      <c r="A2523" s="4">
        <v>45742</v>
      </c>
      <c r="B2523">
        <v>2025</v>
      </c>
      <c r="C2523">
        <v>3</v>
      </c>
      <c r="D2523" s="5" t="s">
        <v>44</v>
      </c>
      <c r="E2523" s="5" t="s">
        <v>45</v>
      </c>
      <c r="F2523" s="5" t="s">
        <v>46</v>
      </c>
      <c r="G2523" s="5" t="s">
        <v>47</v>
      </c>
      <c r="H2523" s="5" t="s">
        <v>79</v>
      </c>
      <c r="I2523" s="5" t="s">
        <v>58</v>
      </c>
      <c r="J2523" s="5" t="s">
        <v>49</v>
      </c>
      <c r="K2523">
        <v>21</v>
      </c>
      <c r="L2523">
        <v>890730</v>
      </c>
      <c r="M2523" s="26">
        <v>18705330</v>
      </c>
      <c r="N2523">
        <v>40041</v>
      </c>
      <c r="O2523" s="26">
        <v>2282852.7400000002</v>
      </c>
      <c r="P2523" s="5" t="s">
        <v>50</v>
      </c>
      <c r="Q2523" s="5" t="s">
        <v>75</v>
      </c>
      <c r="R2523">
        <v>4</v>
      </c>
      <c r="S2523">
        <v>16</v>
      </c>
      <c r="T2523">
        <f t="shared" si="39"/>
        <v>0</v>
      </c>
    </row>
    <row r="2524" spans="1:20">
      <c r="A2524" s="4">
        <v>45717</v>
      </c>
      <c r="B2524">
        <v>2025</v>
      </c>
      <c r="C2524">
        <v>3</v>
      </c>
      <c r="D2524" s="5" t="s">
        <v>44</v>
      </c>
      <c r="E2524" s="5" t="s">
        <v>45</v>
      </c>
      <c r="F2524" s="5" t="s">
        <v>46</v>
      </c>
      <c r="G2524" s="5" t="s">
        <v>47</v>
      </c>
      <c r="H2524" s="5" t="s">
        <v>63</v>
      </c>
      <c r="I2524" s="5" t="s">
        <v>64</v>
      </c>
      <c r="J2524" s="5" t="s">
        <v>41</v>
      </c>
      <c r="K2524">
        <v>14</v>
      </c>
      <c r="L2524">
        <v>786671</v>
      </c>
      <c r="M2524" s="26">
        <v>11013394</v>
      </c>
      <c r="N2524">
        <v>29808</v>
      </c>
      <c r="O2524" s="26">
        <v>1435084.7</v>
      </c>
      <c r="P2524" s="5" t="s">
        <v>42</v>
      </c>
      <c r="Q2524" s="5" t="s">
        <v>51</v>
      </c>
      <c r="R2524">
        <v>3.6</v>
      </c>
      <c r="S2524">
        <v>21</v>
      </c>
      <c r="T2524">
        <f t="shared" si="39"/>
        <v>1</v>
      </c>
    </row>
    <row r="2525" spans="1:20">
      <c r="A2525" s="4">
        <v>45744</v>
      </c>
      <c r="B2525">
        <v>2025</v>
      </c>
      <c r="C2525">
        <v>3</v>
      </c>
      <c r="D2525" s="5" t="s">
        <v>54</v>
      </c>
      <c r="E2525" s="5" t="s">
        <v>55</v>
      </c>
      <c r="F2525" s="5" t="s">
        <v>55</v>
      </c>
      <c r="G2525" s="5" t="s">
        <v>56</v>
      </c>
      <c r="H2525" s="5" t="s">
        <v>52</v>
      </c>
      <c r="I2525" s="5" t="s">
        <v>53</v>
      </c>
      <c r="J2525" s="5" t="s">
        <v>41</v>
      </c>
      <c r="K2525">
        <v>11</v>
      </c>
      <c r="L2525">
        <v>944341</v>
      </c>
      <c r="M2525" s="26">
        <v>10387751</v>
      </c>
      <c r="N2525">
        <v>27147</v>
      </c>
      <c r="O2525" s="26">
        <v>839684.48</v>
      </c>
      <c r="P2525" s="5" t="s">
        <v>50</v>
      </c>
      <c r="Q2525" s="5" t="s">
        <v>51</v>
      </c>
      <c r="R2525">
        <v>3.7</v>
      </c>
      <c r="S2525">
        <v>17</v>
      </c>
      <c r="T2525">
        <f t="shared" si="39"/>
        <v>0</v>
      </c>
    </row>
    <row r="2526" spans="1:20">
      <c r="A2526" s="4">
        <v>45717</v>
      </c>
      <c r="B2526">
        <v>2025</v>
      </c>
      <c r="C2526">
        <v>3</v>
      </c>
      <c r="D2526" s="5" t="s">
        <v>66</v>
      </c>
      <c r="E2526" s="5" t="s">
        <v>67</v>
      </c>
      <c r="F2526" s="5" t="s">
        <v>68</v>
      </c>
      <c r="G2526" s="5" t="s">
        <v>69</v>
      </c>
      <c r="H2526" s="5" t="s">
        <v>85</v>
      </c>
      <c r="I2526" s="5" t="s">
        <v>58</v>
      </c>
      <c r="J2526" s="5" t="s">
        <v>49</v>
      </c>
      <c r="K2526">
        <v>47</v>
      </c>
      <c r="L2526">
        <v>961611</v>
      </c>
      <c r="M2526" s="26">
        <v>45195717</v>
      </c>
      <c r="N2526">
        <v>49621</v>
      </c>
      <c r="O2526" s="26">
        <v>6432273.0599999996</v>
      </c>
      <c r="P2526" s="5" t="s">
        <v>50</v>
      </c>
      <c r="Q2526" s="5" t="s">
        <v>43</v>
      </c>
      <c r="R2526">
        <v>4.2</v>
      </c>
      <c r="S2526">
        <v>9</v>
      </c>
      <c r="T2526">
        <f t="shared" si="39"/>
        <v>0</v>
      </c>
    </row>
    <row r="2527" spans="1:20">
      <c r="A2527" s="4">
        <v>45721</v>
      </c>
      <c r="B2527">
        <v>2025</v>
      </c>
      <c r="C2527">
        <v>3</v>
      </c>
      <c r="D2527" s="5" t="s">
        <v>54</v>
      </c>
      <c r="E2527" s="5" t="s">
        <v>55</v>
      </c>
      <c r="F2527" s="5" t="s">
        <v>55</v>
      </c>
      <c r="G2527" s="5" t="s">
        <v>56</v>
      </c>
      <c r="H2527" s="5" t="s">
        <v>79</v>
      </c>
      <c r="I2527" s="5" t="s">
        <v>58</v>
      </c>
      <c r="J2527" s="5" t="s">
        <v>49</v>
      </c>
      <c r="K2527">
        <v>9</v>
      </c>
      <c r="L2527">
        <v>911185</v>
      </c>
      <c r="M2527" s="26">
        <v>8200665</v>
      </c>
      <c r="N2527">
        <v>13364</v>
      </c>
      <c r="O2527" s="26">
        <v>1295188.76</v>
      </c>
      <c r="P2527" s="5" t="s">
        <v>42</v>
      </c>
      <c r="Q2527" s="5" t="s">
        <v>51</v>
      </c>
      <c r="R2527">
        <v>4.8</v>
      </c>
      <c r="S2527">
        <v>2</v>
      </c>
      <c r="T2527">
        <f t="shared" si="39"/>
        <v>1</v>
      </c>
    </row>
    <row r="2528" spans="1:20">
      <c r="A2528" s="4">
        <v>45743</v>
      </c>
      <c r="B2528">
        <v>2025</v>
      </c>
      <c r="C2528">
        <v>3</v>
      </c>
      <c r="D2528" s="5" t="s">
        <v>54</v>
      </c>
      <c r="E2528" s="5" t="s">
        <v>70</v>
      </c>
      <c r="F2528" s="5" t="s">
        <v>71</v>
      </c>
      <c r="G2528" s="5" t="s">
        <v>72</v>
      </c>
      <c r="H2528" s="5" t="s">
        <v>86</v>
      </c>
      <c r="I2528" s="5" t="s">
        <v>40</v>
      </c>
      <c r="J2528" s="5" t="s">
        <v>41</v>
      </c>
      <c r="K2528">
        <v>26</v>
      </c>
      <c r="L2528">
        <v>587953</v>
      </c>
      <c r="M2528" s="26">
        <v>15286778</v>
      </c>
      <c r="N2528">
        <v>15760</v>
      </c>
      <c r="O2528" s="26">
        <v>2424042.0099999998</v>
      </c>
      <c r="P2528" s="5" t="s">
        <v>42</v>
      </c>
      <c r="Q2528" s="5" t="s">
        <v>51</v>
      </c>
      <c r="R2528">
        <v>4</v>
      </c>
      <c r="S2528">
        <v>3</v>
      </c>
      <c r="T2528">
        <f t="shared" si="39"/>
        <v>1</v>
      </c>
    </row>
    <row r="2529" spans="1:20">
      <c r="A2529" s="4">
        <v>45743</v>
      </c>
      <c r="B2529">
        <v>2025</v>
      </c>
      <c r="C2529">
        <v>3</v>
      </c>
      <c r="D2529" s="5" t="s">
        <v>44</v>
      </c>
      <c r="E2529" s="5" t="s">
        <v>82</v>
      </c>
      <c r="F2529" s="5" t="s">
        <v>83</v>
      </c>
      <c r="G2529" s="5" t="s">
        <v>84</v>
      </c>
      <c r="H2529" s="5" t="s">
        <v>48</v>
      </c>
      <c r="I2529" s="5" t="s">
        <v>40</v>
      </c>
      <c r="J2529" s="5" t="s">
        <v>49</v>
      </c>
      <c r="K2529">
        <v>30</v>
      </c>
      <c r="L2529">
        <v>454617</v>
      </c>
      <c r="M2529" s="26">
        <v>13638510</v>
      </c>
      <c r="N2529">
        <v>47588</v>
      </c>
      <c r="O2529" s="26">
        <v>2046815.77</v>
      </c>
      <c r="P2529" s="5" t="s">
        <v>50</v>
      </c>
      <c r="Q2529" s="5" t="s">
        <v>43</v>
      </c>
      <c r="R2529">
        <v>4</v>
      </c>
      <c r="S2529">
        <v>21</v>
      </c>
      <c r="T2529">
        <f t="shared" si="39"/>
        <v>0</v>
      </c>
    </row>
    <row r="2530" spans="1:20">
      <c r="A2530" s="4">
        <v>45744</v>
      </c>
      <c r="B2530">
        <v>2025</v>
      </c>
      <c r="C2530">
        <v>3</v>
      </c>
      <c r="D2530" s="5" t="s">
        <v>66</v>
      </c>
      <c r="E2530" s="5" t="s">
        <v>67</v>
      </c>
      <c r="F2530" s="5" t="s">
        <v>68</v>
      </c>
      <c r="G2530" s="5" t="s">
        <v>69</v>
      </c>
      <c r="H2530" s="5" t="s">
        <v>39</v>
      </c>
      <c r="I2530" s="5" t="s">
        <v>40</v>
      </c>
      <c r="J2530" s="5" t="s">
        <v>41</v>
      </c>
      <c r="K2530">
        <v>18</v>
      </c>
      <c r="L2530">
        <v>563473</v>
      </c>
      <c r="M2530" s="26">
        <v>10142514</v>
      </c>
      <c r="N2530">
        <v>41820</v>
      </c>
      <c r="O2530" s="26">
        <v>1078865.28</v>
      </c>
      <c r="P2530" s="5" t="s">
        <v>50</v>
      </c>
      <c r="Q2530" s="5" t="s">
        <v>51</v>
      </c>
      <c r="R2530">
        <v>3.8</v>
      </c>
      <c r="S2530">
        <v>18</v>
      </c>
      <c r="T2530">
        <f t="shared" si="39"/>
        <v>0</v>
      </c>
    </row>
    <row r="2531" spans="1:20">
      <c r="A2531" s="4">
        <v>45728</v>
      </c>
      <c r="B2531">
        <v>2025</v>
      </c>
      <c r="C2531">
        <v>3</v>
      </c>
      <c r="D2531" s="5" t="s">
        <v>35</v>
      </c>
      <c r="E2531" s="5" t="s">
        <v>60</v>
      </c>
      <c r="F2531" s="5" t="s">
        <v>61</v>
      </c>
      <c r="G2531" s="5" t="s">
        <v>62</v>
      </c>
      <c r="H2531" s="5" t="s">
        <v>63</v>
      </c>
      <c r="I2531" s="5" t="s">
        <v>64</v>
      </c>
      <c r="J2531" s="5" t="s">
        <v>41</v>
      </c>
      <c r="K2531">
        <v>59</v>
      </c>
      <c r="L2531">
        <v>762345</v>
      </c>
      <c r="M2531" s="26">
        <v>44978355</v>
      </c>
      <c r="N2531">
        <v>36117</v>
      </c>
      <c r="O2531" s="26">
        <v>4905018.07</v>
      </c>
      <c r="P2531" s="5" t="s">
        <v>42</v>
      </c>
      <c r="Q2531" s="5" t="s">
        <v>75</v>
      </c>
      <c r="R2531">
        <v>3.9</v>
      </c>
      <c r="S2531">
        <v>8</v>
      </c>
      <c r="T2531">
        <f t="shared" si="39"/>
        <v>1</v>
      </c>
    </row>
    <row r="2532" spans="1:20">
      <c r="A2532" s="4">
        <v>45730</v>
      </c>
      <c r="B2532">
        <v>2025</v>
      </c>
      <c r="C2532">
        <v>3</v>
      </c>
      <c r="D2532" s="5" t="s">
        <v>35</v>
      </c>
      <c r="E2532" s="5" t="s">
        <v>60</v>
      </c>
      <c r="F2532" s="5" t="s">
        <v>61</v>
      </c>
      <c r="G2532" s="5" t="s">
        <v>62</v>
      </c>
      <c r="H2532" s="5" t="s">
        <v>52</v>
      </c>
      <c r="I2532" s="5" t="s">
        <v>53</v>
      </c>
      <c r="J2532" s="5" t="s">
        <v>41</v>
      </c>
      <c r="K2532">
        <v>7</v>
      </c>
      <c r="L2532">
        <v>961528</v>
      </c>
      <c r="M2532" s="26">
        <v>6730696</v>
      </c>
      <c r="N2532">
        <v>41342</v>
      </c>
      <c r="O2532" s="26">
        <v>810632.67</v>
      </c>
      <c r="P2532" s="5" t="s">
        <v>42</v>
      </c>
      <c r="Q2532" s="5" t="s">
        <v>75</v>
      </c>
      <c r="R2532">
        <v>3.8</v>
      </c>
      <c r="S2532">
        <v>5</v>
      </c>
      <c r="T2532">
        <f t="shared" si="39"/>
        <v>1</v>
      </c>
    </row>
    <row r="2533" spans="1:20">
      <c r="A2533" s="4">
        <v>45722</v>
      </c>
      <c r="B2533">
        <v>2025</v>
      </c>
      <c r="C2533">
        <v>3</v>
      </c>
      <c r="D2533" s="5" t="s">
        <v>66</v>
      </c>
      <c r="E2533" s="5" t="s">
        <v>67</v>
      </c>
      <c r="F2533" s="5" t="s">
        <v>68</v>
      </c>
      <c r="G2533" s="5" t="s">
        <v>69</v>
      </c>
      <c r="H2533" s="5" t="s">
        <v>79</v>
      </c>
      <c r="I2533" s="5" t="s">
        <v>58</v>
      </c>
      <c r="J2533" s="5" t="s">
        <v>49</v>
      </c>
      <c r="K2533">
        <v>12</v>
      </c>
      <c r="L2533">
        <v>883120</v>
      </c>
      <c r="M2533" s="26">
        <v>10597440</v>
      </c>
      <c r="N2533">
        <v>8872</v>
      </c>
      <c r="O2533" s="26">
        <v>1128495.23</v>
      </c>
      <c r="P2533" s="5" t="s">
        <v>50</v>
      </c>
      <c r="Q2533" s="5" t="s">
        <v>43</v>
      </c>
      <c r="R2533">
        <v>4.0999999999999996</v>
      </c>
      <c r="S2533">
        <v>4</v>
      </c>
      <c r="T2533">
        <f t="shared" si="39"/>
        <v>0</v>
      </c>
    </row>
    <row r="2534" spans="1:20">
      <c r="A2534" s="4">
        <v>45729</v>
      </c>
      <c r="B2534">
        <v>2025</v>
      </c>
      <c r="C2534">
        <v>3</v>
      </c>
      <c r="D2534" s="5" t="s">
        <v>44</v>
      </c>
      <c r="E2534" s="5" t="s">
        <v>45</v>
      </c>
      <c r="F2534" s="5" t="s">
        <v>46</v>
      </c>
      <c r="G2534" s="5" t="s">
        <v>47</v>
      </c>
      <c r="H2534" s="5" t="s">
        <v>39</v>
      </c>
      <c r="I2534" s="5" t="s">
        <v>40</v>
      </c>
      <c r="J2534" s="5" t="s">
        <v>41</v>
      </c>
      <c r="K2534">
        <v>52</v>
      </c>
      <c r="L2534">
        <v>553788</v>
      </c>
      <c r="M2534" s="26">
        <v>28796976</v>
      </c>
      <c r="N2534">
        <v>47972</v>
      </c>
      <c r="O2534" s="26">
        <v>2321341.54</v>
      </c>
      <c r="P2534" s="5" t="s">
        <v>42</v>
      </c>
      <c r="Q2534" s="5" t="s">
        <v>43</v>
      </c>
      <c r="R2534">
        <v>4.7</v>
      </c>
      <c r="S2534">
        <v>19</v>
      </c>
      <c r="T2534">
        <f t="shared" si="39"/>
        <v>1</v>
      </c>
    </row>
    <row r="2535" spans="1:20">
      <c r="A2535" s="4">
        <v>45727</v>
      </c>
      <c r="B2535">
        <v>2025</v>
      </c>
      <c r="C2535">
        <v>3</v>
      </c>
      <c r="D2535" s="5" t="s">
        <v>44</v>
      </c>
      <c r="E2535" s="5" t="s">
        <v>45</v>
      </c>
      <c r="F2535" s="5" t="s">
        <v>46</v>
      </c>
      <c r="G2535" s="5" t="s">
        <v>47</v>
      </c>
      <c r="H2535" s="5" t="s">
        <v>79</v>
      </c>
      <c r="I2535" s="5" t="s">
        <v>58</v>
      </c>
      <c r="J2535" s="5" t="s">
        <v>49</v>
      </c>
      <c r="K2535">
        <v>25</v>
      </c>
      <c r="L2535">
        <v>919279</v>
      </c>
      <c r="M2535" s="26">
        <v>22981975</v>
      </c>
      <c r="N2535">
        <v>21922</v>
      </c>
      <c r="O2535" s="26">
        <v>2264868.19</v>
      </c>
      <c r="P2535" s="5" t="s">
        <v>42</v>
      </c>
      <c r="Q2535" s="5" t="s">
        <v>51</v>
      </c>
      <c r="R2535">
        <v>4.7</v>
      </c>
      <c r="S2535">
        <v>14</v>
      </c>
      <c r="T2535">
        <f t="shared" si="39"/>
        <v>1</v>
      </c>
    </row>
    <row r="2536" spans="1:20">
      <c r="A2536" s="4">
        <v>45743</v>
      </c>
      <c r="B2536">
        <v>2025</v>
      </c>
      <c r="C2536">
        <v>3</v>
      </c>
      <c r="D2536" s="5" t="s">
        <v>54</v>
      </c>
      <c r="E2536" s="5" t="s">
        <v>55</v>
      </c>
      <c r="F2536" s="5" t="s">
        <v>55</v>
      </c>
      <c r="G2536" s="5" t="s">
        <v>56</v>
      </c>
      <c r="H2536" s="5" t="s">
        <v>57</v>
      </c>
      <c r="I2536" s="5" t="s">
        <v>58</v>
      </c>
      <c r="J2536" s="5" t="s">
        <v>59</v>
      </c>
      <c r="K2536">
        <v>40</v>
      </c>
      <c r="L2536">
        <v>1410766</v>
      </c>
      <c r="M2536" s="26">
        <v>56430640</v>
      </c>
      <c r="N2536">
        <v>27443</v>
      </c>
      <c r="O2536" s="26">
        <v>4672888.83</v>
      </c>
      <c r="P2536" s="5" t="s">
        <v>42</v>
      </c>
      <c r="Q2536" s="5" t="s">
        <v>51</v>
      </c>
      <c r="R2536">
        <v>4.5</v>
      </c>
      <c r="S2536">
        <v>8</v>
      </c>
      <c r="T2536">
        <f t="shared" si="39"/>
        <v>1</v>
      </c>
    </row>
    <row r="2537" spans="1:20">
      <c r="A2537" s="4">
        <v>45720</v>
      </c>
      <c r="B2537">
        <v>2025</v>
      </c>
      <c r="C2537">
        <v>3</v>
      </c>
      <c r="D2537" s="5" t="s">
        <v>54</v>
      </c>
      <c r="E2537" s="5" t="s">
        <v>70</v>
      </c>
      <c r="F2537" s="5" t="s">
        <v>71</v>
      </c>
      <c r="G2537" s="5" t="s">
        <v>72</v>
      </c>
      <c r="H2537" s="5" t="s">
        <v>63</v>
      </c>
      <c r="I2537" s="5" t="s">
        <v>64</v>
      </c>
      <c r="J2537" s="5" t="s">
        <v>41</v>
      </c>
      <c r="K2537">
        <v>15</v>
      </c>
      <c r="L2537">
        <v>745421</v>
      </c>
      <c r="M2537" s="26">
        <v>11181315</v>
      </c>
      <c r="N2537">
        <v>26839</v>
      </c>
      <c r="O2537" s="26">
        <v>1130252.3</v>
      </c>
      <c r="P2537" s="5" t="s">
        <v>42</v>
      </c>
      <c r="Q2537" s="5" t="s">
        <v>43</v>
      </c>
      <c r="R2537">
        <v>4.0999999999999996</v>
      </c>
      <c r="S2537">
        <v>16</v>
      </c>
      <c r="T2537">
        <f t="shared" si="39"/>
        <v>1</v>
      </c>
    </row>
    <row r="2538" spans="1:20">
      <c r="A2538" s="4">
        <v>45720</v>
      </c>
      <c r="B2538">
        <v>2025</v>
      </c>
      <c r="C2538">
        <v>3</v>
      </c>
      <c r="D2538" s="5" t="s">
        <v>54</v>
      </c>
      <c r="E2538" s="5" t="s">
        <v>70</v>
      </c>
      <c r="F2538" s="5" t="s">
        <v>71</v>
      </c>
      <c r="G2538" s="5" t="s">
        <v>72</v>
      </c>
      <c r="H2538" s="5" t="s">
        <v>39</v>
      </c>
      <c r="I2538" s="5" t="s">
        <v>40</v>
      </c>
      <c r="J2538" s="5" t="s">
        <v>41</v>
      </c>
      <c r="K2538">
        <v>21</v>
      </c>
      <c r="L2538">
        <v>580401</v>
      </c>
      <c r="M2538" s="26">
        <v>12188421</v>
      </c>
      <c r="N2538">
        <v>39363</v>
      </c>
      <c r="O2538" s="26">
        <v>1225809.23</v>
      </c>
      <c r="P2538" s="5" t="s">
        <v>42</v>
      </c>
      <c r="Q2538" s="5" t="s">
        <v>75</v>
      </c>
      <c r="R2538">
        <v>4.7</v>
      </c>
      <c r="S2538">
        <v>18</v>
      </c>
      <c r="T2538">
        <f t="shared" si="39"/>
        <v>1</v>
      </c>
    </row>
    <row r="2539" spans="1:20">
      <c r="A2539" s="4">
        <v>45738</v>
      </c>
      <c r="B2539">
        <v>2025</v>
      </c>
      <c r="C2539">
        <v>3</v>
      </c>
      <c r="D2539" s="5" t="s">
        <v>44</v>
      </c>
      <c r="E2539" s="5" t="s">
        <v>82</v>
      </c>
      <c r="F2539" s="5" t="s">
        <v>83</v>
      </c>
      <c r="G2539" s="5" t="s">
        <v>84</v>
      </c>
      <c r="H2539" s="5" t="s">
        <v>65</v>
      </c>
      <c r="I2539" s="5" t="s">
        <v>53</v>
      </c>
      <c r="J2539" s="5" t="s">
        <v>49</v>
      </c>
      <c r="K2539">
        <v>54</v>
      </c>
      <c r="L2539">
        <v>1251878</v>
      </c>
      <c r="M2539" s="26">
        <v>67601412</v>
      </c>
      <c r="N2539">
        <v>36171</v>
      </c>
      <c r="O2539" s="26">
        <v>10500843.75</v>
      </c>
      <c r="P2539" s="5" t="s">
        <v>42</v>
      </c>
      <c r="Q2539" s="5" t="s">
        <v>43</v>
      </c>
      <c r="R2539">
        <v>4.8</v>
      </c>
      <c r="S2539">
        <v>18</v>
      </c>
      <c r="T2539">
        <f t="shared" si="39"/>
        <v>1</v>
      </c>
    </row>
    <row r="2540" spans="1:20">
      <c r="A2540" s="4">
        <v>45719</v>
      </c>
      <c r="B2540">
        <v>2025</v>
      </c>
      <c r="C2540">
        <v>3</v>
      </c>
      <c r="D2540" s="5" t="s">
        <v>35</v>
      </c>
      <c r="E2540" s="5" t="s">
        <v>36</v>
      </c>
      <c r="F2540" s="5" t="s">
        <v>37</v>
      </c>
      <c r="G2540" s="5" t="s">
        <v>38</v>
      </c>
      <c r="H2540" s="5" t="s">
        <v>79</v>
      </c>
      <c r="I2540" s="5" t="s">
        <v>58</v>
      </c>
      <c r="J2540" s="5" t="s">
        <v>49</v>
      </c>
      <c r="K2540">
        <v>6</v>
      </c>
      <c r="L2540">
        <v>886194</v>
      </c>
      <c r="M2540" s="26">
        <v>5317164</v>
      </c>
      <c r="N2540">
        <v>24353</v>
      </c>
      <c r="O2540" s="26">
        <v>431206.5</v>
      </c>
      <c r="P2540" s="5" t="s">
        <v>42</v>
      </c>
      <c r="Q2540" s="5" t="s">
        <v>51</v>
      </c>
      <c r="R2540">
        <v>5</v>
      </c>
      <c r="S2540">
        <v>7</v>
      </c>
      <c r="T2540">
        <f t="shared" si="39"/>
        <v>1</v>
      </c>
    </row>
    <row r="2541" spans="1:20">
      <c r="A2541" s="4">
        <v>45721</v>
      </c>
      <c r="B2541">
        <v>2025</v>
      </c>
      <c r="C2541">
        <v>3</v>
      </c>
      <c r="D2541" s="5" t="s">
        <v>35</v>
      </c>
      <c r="E2541" s="5" t="s">
        <v>60</v>
      </c>
      <c r="F2541" s="5" t="s">
        <v>61</v>
      </c>
      <c r="G2541" s="5" t="s">
        <v>62</v>
      </c>
      <c r="H2541" s="5" t="s">
        <v>65</v>
      </c>
      <c r="I2541" s="5" t="s">
        <v>53</v>
      </c>
      <c r="J2541" s="5" t="s">
        <v>49</v>
      </c>
      <c r="K2541">
        <v>47</v>
      </c>
      <c r="L2541">
        <v>1230224</v>
      </c>
      <c r="M2541" s="26">
        <v>57820528</v>
      </c>
      <c r="N2541">
        <v>26384</v>
      </c>
      <c r="O2541" s="26">
        <v>5600601.4100000001</v>
      </c>
      <c r="P2541" s="5" t="s">
        <v>42</v>
      </c>
      <c r="Q2541" s="5" t="s">
        <v>43</v>
      </c>
      <c r="R2541">
        <v>4.2</v>
      </c>
      <c r="S2541">
        <v>12</v>
      </c>
      <c r="T2541">
        <f t="shared" si="39"/>
        <v>1</v>
      </c>
    </row>
    <row r="2542" spans="1:20">
      <c r="A2542" s="4">
        <v>45739</v>
      </c>
      <c r="B2542">
        <v>2025</v>
      </c>
      <c r="C2542">
        <v>3</v>
      </c>
      <c r="D2542" s="5" t="s">
        <v>35</v>
      </c>
      <c r="E2542" s="5" t="s">
        <v>76</v>
      </c>
      <c r="F2542" s="5" t="s">
        <v>77</v>
      </c>
      <c r="G2542" s="5" t="s">
        <v>78</v>
      </c>
      <c r="H2542" s="5" t="s">
        <v>86</v>
      </c>
      <c r="I2542" s="5" t="s">
        <v>40</v>
      </c>
      <c r="J2542" s="5" t="s">
        <v>41</v>
      </c>
      <c r="K2542">
        <v>10</v>
      </c>
      <c r="L2542">
        <v>570567</v>
      </c>
      <c r="M2542" s="26">
        <v>5705670</v>
      </c>
      <c r="N2542">
        <v>11070</v>
      </c>
      <c r="O2542" s="26">
        <v>788067.53</v>
      </c>
      <c r="P2542" s="5" t="s">
        <v>42</v>
      </c>
      <c r="Q2542" s="5" t="s">
        <v>51</v>
      </c>
      <c r="R2542">
        <v>3.9</v>
      </c>
      <c r="S2542">
        <v>15</v>
      </c>
      <c r="T2542">
        <f t="shared" si="39"/>
        <v>1</v>
      </c>
    </row>
    <row r="2543" spans="1:20">
      <c r="A2543" s="4">
        <v>45744</v>
      </c>
      <c r="B2543">
        <v>2025</v>
      </c>
      <c r="C2543">
        <v>3</v>
      </c>
      <c r="D2543" s="5" t="s">
        <v>35</v>
      </c>
      <c r="E2543" s="5" t="s">
        <v>36</v>
      </c>
      <c r="F2543" s="5" t="s">
        <v>37</v>
      </c>
      <c r="G2543" s="5" t="s">
        <v>38</v>
      </c>
      <c r="H2543" s="5" t="s">
        <v>85</v>
      </c>
      <c r="I2543" s="5" t="s">
        <v>58</v>
      </c>
      <c r="J2543" s="5" t="s">
        <v>49</v>
      </c>
      <c r="K2543">
        <v>26</v>
      </c>
      <c r="L2543">
        <v>975862</v>
      </c>
      <c r="M2543" s="26">
        <v>25372412</v>
      </c>
      <c r="N2543">
        <v>36769</v>
      </c>
      <c r="O2543" s="26">
        <v>3148241.83</v>
      </c>
      <c r="P2543" s="5" t="s">
        <v>50</v>
      </c>
      <c r="Q2543" s="5" t="s">
        <v>43</v>
      </c>
      <c r="R2543">
        <v>4.5</v>
      </c>
      <c r="S2543">
        <v>8</v>
      </c>
      <c r="T2543">
        <f t="shared" si="39"/>
        <v>0</v>
      </c>
    </row>
    <row r="2544" spans="1:20">
      <c r="A2544" s="4">
        <v>45730</v>
      </c>
      <c r="B2544">
        <v>2025</v>
      </c>
      <c r="C2544">
        <v>3</v>
      </c>
      <c r="D2544" s="5" t="s">
        <v>66</v>
      </c>
      <c r="E2544" s="5" t="s">
        <v>67</v>
      </c>
      <c r="F2544" s="5" t="s">
        <v>68</v>
      </c>
      <c r="G2544" s="5" t="s">
        <v>69</v>
      </c>
      <c r="H2544" s="5" t="s">
        <v>73</v>
      </c>
      <c r="I2544" s="5" t="s">
        <v>40</v>
      </c>
      <c r="J2544" s="5" t="s">
        <v>49</v>
      </c>
      <c r="K2544">
        <v>33</v>
      </c>
      <c r="L2544">
        <v>699579</v>
      </c>
      <c r="M2544" s="26">
        <v>23086107</v>
      </c>
      <c r="N2544">
        <v>48051</v>
      </c>
      <c r="O2544" s="26">
        <v>2697006.44</v>
      </c>
      <c r="P2544" s="5" t="s">
        <v>50</v>
      </c>
      <c r="Q2544" s="5" t="s">
        <v>75</v>
      </c>
      <c r="R2544">
        <v>4.4000000000000004</v>
      </c>
      <c r="S2544">
        <v>12</v>
      </c>
      <c r="T2544">
        <f t="shared" si="39"/>
        <v>0</v>
      </c>
    </row>
    <row r="2545" spans="1:20">
      <c r="A2545" s="4">
        <v>45721</v>
      </c>
      <c r="B2545">
        <v>2025</v>
      </c>
      <c r="C2545">
        <v>3</v>
      </c>
      <c r="D2545" s="5" t="s">
        <v>54</v>
      </c>
      <c r="E2545" s="5" t="s">
        <v>70</v>
      </c>
      <c r="F2545" s="5" t="s">
        <v>71</v>
      </c>
      <c r="G2545" s="5" t="s">
        <v>72</v>
      </c>
      <c r="H2545" s="5" t="s">
        <v>74</v>
      </c>
      <c r="I2545" s="5" t="s">
        <v>40</v>
      </c>
      <c r="J2545" s="5" t="s">
        <v>49</v>
      </c>
      <c r="K2545">
        <v>49</v>
      </c>
      <c r="L2545">
        <v>622746</v>
      </c>
      <c r="M2545" s="26">
        <v>30514554</v>
      </c>
      <c r="N2545">
        <v>40110</v>
      </c>
      <c r="O2545" s="26">
        <v>4513797.5199999996</v>
      </c>
      <c r="P2545" s="5" t="s">
        <v>50</v>
      </c>
      <c r="Q2545" s="5" t="s">
        <v>75</v>
      </c>
      <c r="R2545">
        <v>4</v>
      </c>
      <c r="S2545">
        <v>3</v>
      </c>
      <c r="T2545">
        <f t="shared" si="39"/>
        <v>0</v>
      </c>
    </row>
    <row r="2546" spans="1:20">
      <c r="A2546" s="4">
        <v>45729</v>
      </c>
      <c r="B2546">
        <v>2025</v>
      </c>
      <c r="C2546">
        <v>3</v>
      </c>
      <c r="D2546" s="5" t="s">
        <v>54</v>
      </c>
      <c r="E2546" s="5" t="s">
        <v>70</v>
      </c>
      <c r="F2546" s="5" t="s">
        <v>71</v>
      </c>
      <c r="G2546" s="5" t="s">
        <v>72</v>
      </c>
      <c r="H2546" s="5" t="s">
        <v>85</v>
      </c>
      <c r="I2546" s="5" t="s">
        <v>58</v>
      </c>
      <c r="J2546" s="5" t="s">
        <v>49</v>
      </c>
      <c r="K2546">
        <v>7</v>
      </c>
      <c r="L2546">
        <v>960631</v>
      </c>
      <c r="M2546" s="26">
        <v>6724417</v>
      </c>
      <c r="N2546">
        <v>14180</v>
      </c>
      <c r="O2546" s="26">
        <v>766236.73</v>
      </c>
      <c r="P2546" s="5" t="s">
        <v>42</v>
      </c>
      <c r="Q2546" s="5" t="s">
        <v>51</v>
      </c>
      <c r="R2546">
        <v>4.5</v>
      </c>
      <c r="S2546">
        <v>17</v>
      </c>
      <c r="T2546">
        <f t="shared" si="39"/>
        <v>1</v>
      </c>
    </row>
    <row r="2547" spans="1:20">
      <c r="A2547" s="4">
        <v>45736</v>
      </c>
      <c r="B2547">
        <v>2025</v>
      </c>
      <c r="C2547">
        <v>3</v>
      </c>
      <c r="D2547" s="5" t="s">
        <v>44</v>
      </c>
      <c r="E2547" s="5" t="s">
        <v>82</v>
      </c>
      <c r="F2547" s="5" t="s">
        <v>83</v>
      </c>
      <c r="G2547" s="5" t="s">
        <v>84</v>
      </c>
      <c r="H2547" s="5" t="s">
        <v>57</v>
      </c>
      <c r="I2547" s="5" t="s">
        <v>58</v>
      </c>
      <c r="J2547" s="5" t="s">
        <v>59</v>
      </c>
      <c r="K2547">
        <v>23</v>
      </c>
      <c r="L2547">
        <v>1390213</v>
      </c>
      <c r="M2547" s="26">
        <v>31974899</v>
      </c>
      <c r="N2547">
        <v>40538</v>
      </c>
      <c r="O2547" s="26">
        <v>4943365.17</v>
      </c>
      <c r="P2547" s="5" t="s">
        <v>50</v>
      </c>
      <c r="Q2547" s="5" t="s">
        <v>43</v>
      </c>
      <c r="R2547">
        <v>4.4000000000000004</v>
      </c>
      <c r="S2547">
        <v>3</v>
      </c>
      <c r="T2547">
        <f t="shared" si="39"/>
        <v>0</v>
      </c>
    </row>
    <row r="2548" spans="1:20">
      <c r="A2548" s="4">
        <v>45727</v>
      </c>
      <c r="B2548">
        <v>2025</v>
      </c>
      <c r="C2548">
        <v>3</v>
      </c>
      <c r="D2548" s="5" t="s">
        <v>44</v>
      </c>
      <c r="E2548" s="5" t="s">
        <v>82</v>
      </c>
      <c r="F2548" s="5" t="s">
        <v>83</v>
      </c>
      <c r="G2548" s="5" t="s">
        <v>84</v>
      </c>
      <c r="H2548" s="5" t="s">
        <v>39</v>
      </c>
      <c r="I2548" s="5" t="s">
        <v>40</v>
      </c>
      <c r="J2548" s="5" t="s">
        <v>41</v>
      </c>
      <c r="K2548">
        <v>27</v>
      </c>
      <c r="L2548">
        <v>581281</v>
      </c>
      <c r="M2548" s="26">
        <v>15694587</v>
      </c>
      <c r="N2548">
        <v>7660</v>
      </c>
      <c r="O2548" s="26">
        <v>1872325.69</v>
      </c>
      <c r="P2548" s="5" t="s">
        <v>50</v>
      </c>
      <c r="Q2548" s="5" t="s">
        <v>75</v>
      </c>
      <c r="R2548">
        <v>3.8</v>
      </c>
      <c r="S2548">
        <v>17</v>
      </c>
      <c r="T2548">
        <f t="shared" si="39"/>
        <v>0</v>
      </c>
    </row>
    <row r="2549" spans="1:20">
      <c r="A2549" s="4">
        <v>45720</v>
      </c>
      <c r="B2549">
        <v>2025</v>
      </c>
      <c r="C2549">
        <v>3</v>
      </c>
      <c r="D2549" s="5" t="s">
        <v>35</v>
      </c>
      <c r="E2549" s="5" t="s">
        <v>60</v>
      </c>
      <c r="F2549" s="5" t="s">
        <v>61</v>
      </c>
      <c r="G2549" s="5" t="s">
        <v>62</v>
      </c>
      <c r="H2549" s="5" t="s">
        <v>86</v>
      </c>
      <c r="I2549" s="5" t="s">
        <v>40</v>
      </c>
      <c r="J2549" s="5" t="s">
        <v>41</v>
      </c>
      <c r="K2549">
        <v>31</v>
      </c>
      <c r="L2549">
        <v>626912</v>
      </c>
      <c r="M2549" s="26">
        <v>19434272</v>
      </c>
      <c r="N2549">
        <v>43073</v>
      </c>
      <c r="O2549" s="26">
        <v>2474156.3199999998</v>
      </c>
      <c r="P2549" s="5" t="s">
        <v>50</v>
      </c>
      <c r="Q2549" s="5" t="s">
        <v>75</v>
      </c>
      <c r="R2549">
        <v>3.6</v>
      </c>
      <c r="S2549">
        <v>9</v>
      </c>
      <c r="T2549">
        <f t="shared" si="39"/>
        <v>0</v>
      </c>
    </row>
    <row r="2550" spans="1:20">
      <c r="A2550" s="4">
        <v>45722</v>
      </c>
      <c r="B2550">
        <v>2025</v>
      </c>
      <c r="C2550">
        <v>3</v>
      </c>
      <c r="D2550" s="5" t="s">
        <v>35</v>
      </c>
      <c r="E2550" s="5" t="s">
        <v>60</v>
      </c>
      <c r="F2550" s="5" t="s">
        <v>61</v>
      </c>
      <c r="G2550" s="5" t="s">
        <v>62</v>
      </c>
      <c r="H2550" s="5" t="s">
        <v>57</v>
      </c>
      <c r="I2550" s="5" t="s">
        <v>58</v>
      </c>
      <c r="J2550" s="5" t="s">
        <v>59</v>
      </c>
      <c r="K2550">
        <v>50</v>
      </c>
      <c r="L2550">
        <v>1393402</v>
      </c>
      <c r="M2550" s="26">
        <v>69670100</v>
      </c>
      <c r="N2550">
        <v>18354</v>
      </c>
      <c r="O2550" s="26">
        <v>8485244.7699999996</v>
      </c>
      <c r="P2550" s="5" t="s">
        <v>50</v>
      </c>
      <c r="Q2550" s="5" t="s">
        <v>75</v>
      </c>
      <c r="R2550">
        <v>3.9</v>
      </c>
      <c r="S2550">
        <v>10</v>
      </c>
      <c r="T2550">
        <f t="shared" si="39"/>
        <v>0</v>
      </c>
    </row>
    <row r="2551" spans="1:20">
      <c r="A2551" s="4">
        <v>45732</v>
      </c>
      <c r="B2551">
        <v>2025</v>
      </c>
      <c r="C2551">
        <v>3</v>
      </c>
      <c r="D2551" s="5" t="s">
        <v>54</v>
      </c>
      <c r="E2551" s="5" t="s">
        <v>55</v>
      </c>
      <c r="F2551" s="5" t="s">
        <v>55</v>
      </c>
      <c r="G2551" s="5" t="s">
        <v>56</v>
      </c>
      <c r="H2551" s="5" t="s">
        <v>79</v>
      </c>
      <c r="I2551" s="5" t="s">
        <v>58</v>
      </c>
      <c r="J2551" s="5" t="s">
        <v>49</v>
      </c>
      <c r="K2551">
        <v>47</v>
      </c>
      <c r="L2551">
        <v>887009</v>
      </c>
      <c r="M2551" s="26">
        <v>41689423</v>
      </c>
      <c r="N2551">
        <v>30226</v>
      </c>
      <c r="O2551" s="26">
        <v>6162576.5700000003</v>
      </c>
      <c r="P2551" s="5" t="s">
        <v>42</v>
      </c>
      <c r="Q2551" s="5" t="s">
        <v>75</v>
      </c>
      <c r="R2551">
        <v>4.5</v>
      </c>
      <c r="S2551">
        <v>17</v>
      </c>
      <c r="T2551">
        <f t="shared" si="39"/>
        <v>1</v>
      </c>
    </row>
    <row r="2552" spans="1:20">
      <c r="A2552" s="4">
        <v>45774</v>
      </c>
      <c r="B2552">
        <v>2025</v>
      </c>
      <c r="C2552">
        <v>4</v>
      </c>
      <c r="D2552" s="5" t="s">
        <v>66</v>
      </c>
      <c r="E2552" s="5" t="s">
        <v>67</v>
      </c>
      <c r="F2552" s="5" t="s">
        <v>68</v>
      </c>
      <c r="G2552" s="5" t="s">
        <v>69</v>
      </c>
      <c r="H2552" s="5" t="s">
        <v>52</v>
      </c>
      <c r="I2552" s="5" t="s">
        <v>53</v>
      </c>
      <c r="J2552" s="5" t="s">
        <v>41</v>
      </c>
      <c r="K2552">
        <v>24</v>
      </c>
      <c r="L2552">
        <v>965417</v>
      </c>
      <c r="M2552" s="26">
        <v>23170008</v>
      </c>
      <c r="N2552">
        <v>24884</v>
      </c>
      <c r="O2552" s="26">
        <v>2804733.57</v>
      </c>
      <c r="P2552" s="5" t="s">
        <v>42</v>
      </c>
      <c r="Q2552" s="5" t="s">
        <v>43</v>
      </c>
      <c r="R2552">
        <v>4.2</v>
      </c>
      <c r="S2552">
        <v>3</v>
      </c>
      <c r="T2552">
        <f t="shared" si="39"/>
        <v>1</v>
      </c>
    </row>
    <row r="2553" spans="1:20">
      <c r="A2553" s="4">
        <v>45768</v>
      </c>
      <c r="B2553">
        <v>2025</v>
      </c>
      <c r="C2553">
        <v>4</v>
      </c>
      <c r="D2553" s="5" t="s">
        <v>54</v>
      </c>
      <c r="E2553" s="5" t="s">
        <v>70</v>
      </c>
      <c r="F2553" s="5" t="s">
        <v>71</v>
      </c>
      <c r="G2553" s="5" t="s">
        <v>72</v>
      </c>
      <c r="H2553" s="5" t="s">
        <v>74</v>
      </c>
      <c r="I2553" s="5" t="s">
        <v>40</v>
      </c>
      <c r="J2553" s="5" t="s">
        <v>49</v>
      </c>
      <c r="K2553">
        <v>25</v>
      </c>
      <c r="L2553">
        <v>679387</v>
      </c>
      <c r="M2553" s="26">
        <v>16984675</v>
      </c>
      <c r="N2553">
        <v>35004</v>
      </c>
      <c r="O2553" s="26">
        <v>2156895.21</v>
      </c>
      <c r="P2553" s="5" t="s">
        <v>42</v>
      </c>
      <c r="Q2553" s="5" t="s">
        <v>43</v>
      </c>
      <c r="R2553">
        <v>5</v>
      </c>
      <c r="S2553">
        <v>17</v>
      </c>
      <c r="T2553">
        <f t="shared" si="39"/>
        <v>1</v>
      </c>
    </row>
    <row r="2554" spans="1:20">
      <c r="A2554" s="4">
        <v>45753</v>
      </c>
      <c r="B2554">
        <v>2025</v>
      </c>
      <c r="C2554">
        <v>4</v>
      </c>
      <c r="D2554" s="5" t="s">
        <v>44</v>
      </c>
      <c r="E2554" s="5" t="s">
        <v>45</v>
      </c>
      <c r="F2554" s="5" t="s">
        <v>46</v>
      </c>
      <c r="G2554" s="5" t="s">
        <v>47</v>
      </c>
      <c r="H2554" s="5" t="s">
        <v>86</v>
      </c>
      <c r="I2554" s="5" t="s">
        <v>40</v>
      </c>
      <c r="J2554" s="5" t="s">
        <v>41</v>
      </c>
      <c r="K2554">
        <v>46</v>
      </c>
      <c r="L2554">
        <v>589238</v>
      </c>
      <c r="M2554" s="26">
        <v>27104948</v>
      </c>
      <c r="N2554">
        <v>32983</v>
      </c>
      <c r="O2554" s="26">
        <v>3354487.12</v>
      </c>
      <c r="P2554" s="5" t="s">
        <v>42</v>
      </c>
      <c r="Q2554" s="5" t="s">
        <v>51</v>
      </c>
      <c r="R2554">
        <v>3.7</v>
      </c>
      <c r="S2554">
        <v>21</v>
      </c>
      <c r="T2554">
        <f t="shared" si="39"/>
        <v>1</v>
      </c>
    </row>
    <row r="2555" spans="1:20">
      <c r="A2555" s="4">
        <v>45762</v>
      </c>
      <c r="B2555">
        <v>2025</v>
      </c>
      <c r="C2555">
        <v>4</v>
      </c>
      <c r="D2555" s="5" t="s">
        <v>54</v>
      </c>
      <c r="E2555" s="5" t="s">
        <v>70</v>
      </c>
      <c r="F2555" s="5" t="s">
        <v>71</v>
      </c>
      <c r="G2555" s="5" t="s">
        <v>72</v>
      </c>
      <c r="H2555" s="5" t="s">
        <v>48</v>
      </c>
      <c r="I2555" s="5" t="s">
        <v>40</v>
      </c>
      <c r="J2555" s="5" t="s">
        <v>49</v>
      </c>
      <c r="K2555">
        <v>28</v>
      </c>
      <c r="L2555">
        <v>463103</v>
      </c>
      <c r="M2555" s="26">
        <v>12966884</v>
      </c>
      <c r="N2555">
        <v>34874</v>
      </c>
      <c r="O2555" s="26">
        <v>1075276.46</v>
      </c>
      <c r="P2555" s="5" t="s">
        <v>50</v>
      </c>
      <c r="Q2555" s="5" t="s">
        <v>51</v>
      </c>
      <c r="R2555">
        <v>3.9</v>
      </c>
      <c r="S2555">
        <v>9</v>
      </c>
      <c r="T2555">
        <f t="shared" si="39"/>
        <v>0</v>
      </c>
    </row>
    <row r="2556" spans="1:20">
      <c r="A2556" s="4">
        <v>45761</v>
      </c>
      <c r="B2556">
        <v>2025</v>
      </c>
      <c r="C2556">
        <v>4</v>
      </c>
      <c r="D2556" s="5" t="s">
        <v>54</v>
      </c>
      <c r="E2556" s="5" t="s">
        <v>55</v>
      </c>
      <c r="F2556" s="5" t="s">
        <v>55</v>
      </c>
      <c r="G2556" s="5" t="s">
        <v>56</v>
      </c>
      <c r="H2556" s="5" t="s">
        <v>85</v>
      </c>
      <c r="I2556" s="5" t="s">
        <v>58</v>
      </c>
      <c r="J2556" s="5" t="s">
        <v>49</v>
      </c>
      <c r="K2556">
        <v>13</v>
      </c>
      <c r="L2556">
        <v>977252</v>
      </c>
      <c r="M2556" s="26">
        <v>12704276</v>
      </c>
      <c r="N2556">
        <v>11868</v>
      </c>
      <c r="O2556" s="26">
        <v>1992885.45</v>
      </c>
      <c r="P2556" s="5" t="s">
        <v>50</v>
      </c>
      <c r="Q2556" s="5" t="s">
        <v>75</v>
      </c>
      <c r="R2556">
        <v>4.9000000000000004</v>
      </c>
      <c r="S2556">
        <v>15</v>
      </c>
      <c r="T2556">
        <f t="shared" si="39"/>
        <v>0</v>
      </c>
    </row>
    <row r="2557" spans="1:20">
      <c r="A2557" s="4">
        <v>45774</v>
      </c>
      <c r="B2557">
        <v>2025</v>
      </c>
      <c r="C2557">
        <v>4</v>
      </c>
      <c r="D2557" s="5" t="s">
        <v>54</v>
      </c>
      <c r="E2557" s="5" t="s">
        <v>55</v>
      </c>
      <c r="F2557" s="5" t="s">
        <v>55</v>
      </c>
      <c r="G2557" s="5" t="s">
        <v>56</v>
      </c>
      <c r="H2557" s="5" t="s">
        <v>86</v>
      </c>
      <c r="I2557" s="5" t="s">
        <v>40</v>
      </c>
      <c r="J2557" s="5" t="s">
        <v>41</v>
      </c>
      <c r="K2557">
        <v>16</v>
      </c>
      <c r="L2557">
        <v>609243</v>
      </c>
      <c r="M2557" s="26">
        <v>9747888</v>
      </c>
      <c r="N2557">
        <v>34263</v>
      </c>
      <c r="O2557" s="26">
        <v>1449411.51</v>
      </c>
      <c r="P2557" s="5" t="s">
        <v>50</v>
      </c>
      <c r="Q2557" s="5" t="s">
        <v>43</v>
      </c>
      <c r="R2557">
        <v>3.5</v>
      </c>
      <c r="S2557">
        <v>17</v>
      </c>
      <c r="T2557">
        <f t="shared" si="39"/>
        <v>0</v>
      </c>
    </row>
    <row r="2558" spans="1:20">
      <c r="A2558" s="4">
        <v>45748</v>
      </c>
      <c r="B2558">
        <v>2025</v>
      </c>
      <c r="C2558">
        <v>4</v>
      </c>
      <c r="D2558" s="5" t="s">
        <v>54</v>
      </c>
      <c r="E2558" s="5" t="s">
        <v>55</v>
      </c>
      <c r="F2558" s="5" t="s">
        <v>55</v>
      </c>
      <c r="G2558" s="5" t="s">
        <v>56</v>
      </c>
      <c r="H2558" s="5" t="s">
        <v>65</v>
      </c>
      <c r="I2558" s="5" t="s">
        <v>53</v>
      </c>
      <c r="J2558" s="5" t="s">
        <v>49</v>
      </c>
      <c r="K2558">
        <v>21</v>
      </c>
      <c r="L2558">
        <v>1238844</v>
      </c>
      <c r="M2558" s="26">
        <v>26015724</v>
      </c>
      <c r="N2558">
        <v>5436</v>
      </c>
      <c r="O2558" s="26">
        <v>3649786.74</v>
      </c>
      <c r="P2558" s="5" t="s">
        <v>50</v>
      </c>
      <c r="Q2558" s="5" t="s">
        <v>51</v>
      </c>
      <c r="R2558">
        <v>3.9</v>
      </c>
      <c r="S2558">
        <v>16</v>
      </c>
      <c r="T2558">
        <f t="shared" si="39"/>
        <v>0</v>
      </c>
    </row>
    <row r="2559" spans="1:20">
      <c r="A2559" s="4">
        <v>45769</v>
      </c>
      <c r="B2559">
        <v>2025</v>
      </c>
      <c r="C2559">
        <v>4</v>
      </c>
      <c r="D2559" s="5" t="s">
        <v>54</v>
      </c>
      <c r="E2559" s="5" t="s">
        <v>55</v>
      </c>
      <c r="F2559" s="5" t="s">
        <v>55</v>
      </c>
      <c r="G2559" s="5" t="s">
        <v>56</v>
      </c>
      <c r="H2559" s="5" t="s">
        <v>52</v>
      </c>
      <c r="I2559" s="5" t="s">
        <v>53</v>
      </c>
      <c r="J2559" s="5" t="s">
        <v>41</v>
      </c>
      <c r="K2559">
        <v>59</v>
      </c>
      <c r="L2559">
        <v>959482</v>
      </c>
      <c r="M2559" s="26">
        <v>56609438</v>
      </c>
      <c r="N2559">
        <v>10524</v>
      </c>
      <c r="O2559" s="26">
        <v>6194716.5700000003</v>
      </c>
      <c r="P2559" s="5" t="s">
        <v>42</v>
      </c>
      <c r="Q2559" s="5" t="s">
        <v>75</v>
      </c>
      <c r="R2559">
        <v>3.9</v>
      </c>
      <c r="S2559">
        <v>17</v>
      </c>
      <c r="T2559">
        <f t="shared" si="39"/>
        <v>1</v>
      </c>
    </row>
    <row r="2560" spans="1:20">
      <c r="A2560" s="4">
        <v>45758</v>
      </c>
      <c r="B2560">
        <v>2025</v>
      </c>
      <c r="C2560">
        <v>4</v>
      </c>
      <c r="D2560" s="5" t="s">
        <v>35</v>
      </c>
      <c r="E2560" s="5" t="s">
        <v>36</v>
      </c>
      <c r="F2560" s="5" t="s">
        <v>37</v>
      </c>
      <c r="G2560" s="5" t="s">
        <v>38</v>
      </c>
      <c r="H2560" s="5" t="s">
        <v>39</v>
      </c>
      <c r="I2560" s="5" t="s">
        <v>40</v>
      </c>
      <c r="J2560" s="5" t="s">
        <v>41</v>
      </c>
      <c r="K2560">
        <v>37</v>
      </c>
      <c r="L2560">
        <v>594359</v>
      </c>
      <c r="M2560" s="26">
        <v>21991283</v>
      </c>
      <c r="N2560">
        <v>26747</v>
      </c>
      <c r="O2560" s="26">
        <v>1918379.49</v>
      </c>
      <c r="P2560" s="5" t="s">
        <v>50</v>
      </c>
      <c r="Q2560" s="5" t="s">
        <v>43</v>
      </c>
      <c r="R2560">
        <v>3.7</v>
      </c>
      <c r="S2560">
        <v>11</v>
      </c>
      <c r="T2560">
        <f t="shared" si="39"/>
        <v>0</v>
      </c>
    </row>
    <row r="2561" spans="1:20">
      <c r="A2561" s="4">
        <v>45748</v>
      </c>
      <c r="B2561">
        <v>2025</v>
      </c>
      <c r="C2561">
        <v>4</v>
      </c>
      <c r="D2561" s="5" t="s">
        <v>44</v>
      </c>
      <c r="E2561" s="5" t="s">
        <v>82</v>
      </c>
      <c r="F2561" s="5" t="s">
        <v>83</v>
      </c>
      <c r="G2561" s="5" t="s">
        <v>84</v>
      </c>
      <c r="H2561" s="5" t="s">
        <v>39</v>
      </c>
      <c r="I2561" s="5" t="s">
        <v>40</v>
      </c>
      <c r="J2561" s="5" t="s">
        <v>41</v>
      </c>
      <c r="K2561">
        <v>58</v>
      </c>
      <c r="L2561">
        <v>581283</v>
      </c>
      <c r="M2561" s="26">
        <v>33714414</v>
      </c>
      <c r="N2561">
        <v>39182</v>
      </c>
      <c r="O2561" s="26">
        <v>5251665.3</v>
      </c>
      <c r="P2561" s="5" t="s">
        <v>50</v>
      </c>
      <c r="Q2561" s="5" t="s">
        <v>75</v>
      </c>
      <c r="R2561">
        <v>4.5</v>
      </c>
      <c r="S2561">
        <v>4</v>
      </c>
      <c r="T2561">
        <f t="shared" si="39"/>
        <v>0</v>
      </c>
    </row>
    <row r="2562" spans="1:20">
      <c r="A2562" s="4">
        <v>45753</v>
      </c>
      <c r="B2562">
        <v>2025</v>
      </c>
      <c r="C2562">
        <v>4</v>
      </c>
      <c r="D2562" s="5" t="s">
        <v>54</v>
      </c>
      <c r="E2562" s="5" t="s">
        <v>70</v>
      </c>
      <c r="F2562" s="5" t="s">
        <v>71</v>
      </c>
      <c r="G2562" s="5" t="s">
        <v>72</v>
      </c>
      <c r="H2562" s="5" t="s">
        <v>48</v>
      </c>
      <c r="I2562" s="5" t="s">
        <v>40</v>
      </c>
      <c r="J2562" s="5" t="s">
        <v>49</v>
      </c>
      <c r="K2562">
        <v>13</v>
      </c>
      <c r="L2562">
        <v>477046</v>
      </c>
      <c r="M2562" s="26">
        <v>6201598</v>
      </c>
      <c r="N2562">
        <v>41245</v>
      </c>
      <c r="O2562" s="26">
        <v>940414.85</v>
      </c>
      <c r="P2562" s="5" t="s">
        <v>50</v>
      </c>
      <c r="Q2562" s="5" t="s">
        <v>75</v>
      </c>
      <c r="R2562">
        <v>3.7</v>
      </c>
      <c r="S2562">
        <v>4</v>
      </c>
      <c r="T2562">
        <f t="shared" ref="T2562:T2625" si="40">IF(AND(OR($B2562=Sel_Year,Sel_Year="All"),OR($C2562=Sel_Month,Sel_Month="All"),OR($D2562=Sel_Region,Sel_Region="All"),OR($E2562=Sel_State,Sel_State="All"),OR($F2562=Sel_City,Sel_City="All"),OR($G2562=Sel_Dealer,Sel_Dealer="All"),OR($H2562=Sel_Model,Sel_Model="All"),OR($I2562=Sel_Segment,Sel_Segment="All"),OR($J2562=Sel_Fuel,Sel_Fuel="All"),OR($P2562=Sel_CustType,Sel_CustType="All"),OR($Q2562=Sel_Payment,Sel_Payment="All")),1,0)</f>
        <v>0</v>
      </c>
    </row>
    <row r="2563" spans="1:20">
      <c r="A2563" s="4">
        <v>45759</v>
      </c>
      <c r="B2563">
        <v>2025</v>
      </c>
      <c r="C2563">
        <v>4</v>
      </c>
      <c r="D2563" s="5" t="s">
        <v>54</v>
      </c>
      <c r="E2563" s="5" t="s">
        <v>70</v>
      </c>
      <c r="F2563" s="5" t="s">
        <v>71</v>
      </c>
      <c r="G2563" s="5" t="s">
        <v>72</v>
      </c>
      <c r="H2563" s="5" t="s">
        <v>85</v>
      </c>
      <c r="I2563" s="5" t="s">
        <v>58</v>
      </c>
      <c r="J2563" s="5" t="s">
        <v>49</v>
      </c>
      <c r="K2563">
        <v>44</v>
      </c>
      <c r="L2563">
        <v>955526</v>
      </c>
      <c r="M2563" s="26">
        <v>42043144</v>
      </c>
      <c r="N2563">
        <v>11324</v>
      </c>
      <c r="O2563" s="26">
        <v>4178070.81</v>
      </c>
      <c r="P2563" s="5" t="s">
        <v>42</v>
      </c>
      <c r="Q2563" s="5" t="s">
        <v>75</v>
      </c>
      <c r="R2563">
        <v>4</v>
      </c>
      <c r="S2563">
        <v>11</v>
      </c>
      <c r="T2563">
        <f t="shared" si="40"/>
        <v>1</v>
      </c>
    </row>
    <row r="2564" spans="1:20">
      <c r="A2564" s="4">
        <v>45775</v>
      </c>
      <c r="B2564">
        <v>2025</v>
      </c>
      <c r="C2564">
        <v>4</v>
      </c>
      <c r="D2564" s="5" t="s">
        <v>44</v>
      </c>
      <c r="E2564" s="5" t="s">
        <v>45</v>
      </c>
      <c r="F2564" s="5" t="s">
        <v>46</v>
      </c>
      <c r="G2564" s="5" t="s">
        <v>47</v>
      </c>
      <c r="H2564" s="5" t="s">
        <v>63</v>
      </c>
      <c r="I2564" s="5" t="s">
        <v>64</v>
      </c>
      <c r="J2564" s="5" t="s">
        <v>41</v>
      </c>
      <c r="K2564">
        <v>7</v>
      </c>
      <c r="L2564">
        <v>777754</v>
      </c>
      <c r="M2564" s="26">
        <v>5444278</v>
      </c>
      <c r="N2564">
        <v>19296</v>
      </c>
      <c r="O2564" s="26">
        <v>599225.44999999995</v>
      </c>
      <c r="P2564" s="5" t="s">
        <v>50</v>
      </c>
      <c r="Q2564" s="5" t="s">
        <v>51</v>
      </c>
      <c r="R2564">
        <v>4.2</v>
      </c>
      <c r="S2564">
        <v>10</v>
      </c>
      <c r="T2564">
        <f t="shared" si="40"/>
        <v>0</v>
      </c>
    </row>
    <row r="2565" spans="1:20">
      <c r="A2565" s="4">
        <v>45768</v>
      </c>
      <c r="B2565">
        <v>2025</v>
      </c>
      <c r="C2565">
        <v>4</v>
      </c>
      <c r="D2565" s="5" t="s">
        <v>66</v>
      </c>
      <c r="E2565" s="5" t="s">
        <v>67</v>
      </c>
      <c r="F2565" s="5" t="s">
        <v>68</v>
      </c>
      <c r="G2565" s="5" t="s">
        <v>69</v>
      </c>
      <c r="H2565" s="5" t="s">
        <v>86</v>
      </c>
      <c r="I2565" s="5" t="s">
        <v>40</v>
      </c>
      <c r="J2565" s="5" t="s">
        <v>41</v>
      </c>
      <c r="K2565">
        <v>37</v>
      </c>
      <c r="L2565">
        <v>570612</v>
      </c>
      <c r="M2565" s="26">
        <v>21112644</v>
      </c>
      <c r="N2565">
        <v>42434</v>
      </c>
      <c r="O2565" s="26">
        <v>2977233.68</v>
      </c>
      <c r="P2565" s="5" t="s">
        <v>42</v>
      </c>
      <c r="Q2565" s="5" t="s">
        <v>75</v>
      </c>
      <c r="R2565">
        <v>3.5</v>
      </c>
      <c r="S2565">
        <v>14</v>
      </c>
      <c r="T2565">
        <f t="shared" si="40"/>
        <v>1</v>
      </c>
    </row>
    <row r="2566" spans="1:20">
      <c r="A2566" s="4">
        <v>45757</v>
      </c>
      <c r="B2566">
        <v>2025</v>
      </c>
      <c r="C2566">
        <v>4</v>
      </c>
      <c r="D2566" s="5" t="s">
        <v>44</v>
      </c>
      <c r="E2566" s="5" t="s">
        <v>45</v>
      </c>
      <c r="F2566" s="5" t="s">
        <v>46</v>
      </c>
      <c r="G2566" s="5" t="s">
        <v>47</v>
      </c>
      <c r="H2566" s="5" t="s">
        <v>52</v>
      </c>
      <c r="I2566" s="5" t="s">
        <v>53</v>
      </c>
      <c r="J2566" s="5" t="s">
        <v>41</v>
      </c>
      <c r="K2566">
        <v>42</v>
      </c>
      <c r="L2566">
        <v>927785</v>
      </c>
      <c r="M2566" s="26">
        <v>38966970</v>
      </c>
      <c r="N2566">
        <v>40028</v>
      </c>
      <c r="O2566" s="26">
        <v>5654457.4800000004</v>
      </c>
      <c r="P2566" s="5" t="s">
        <v>42</v>
      </c>
      <c r="Q2566" s="5" t="s">
        <v>75</v>
      </c>
      <c r="R2566">
        <v>4.8</v>
      </c>
      <c r="S2566">
        <v>5</v>
      </c>
      <c r="T2566">
        <f t="shared" si="40"/>
        <v>1</v>
      </c>
    </row>
    <row r="2567" spans="1:20">
      <c r="A2567" s="4">
        <v>45752</v>
      </c>
      <c r="B2567">
        <v>2025</v>
      </c>
      <c r="C2567">
        <v>4</v>
      </c>
      <c r="D2567" s="5" t="s">
        <v>35</v>
      </c>
      <c r="E2567" s="5" t="s">
        <v>76</v>
      </c>
      <c r="F2567" s="5" t="s">
        <v>77</v>
      </c>
      <c r="G2567" s="5" t="s">
        <v>78</v>
      </c>
      <c r="H2567" s="5" t="s">
        <v>57</v>
      </c>
      <c r="I2567" s="5" t="s">
        <v>58</v>
      </c>
      <c r="J2567" s="5" t="s">
        <v>59</v>
      </c>
      <c r="K2567">
        <v>20</v>
      </c>
      <c r="L2567">
        <v>1372183</v>
      </c>
      <c r="M2567" s="26">
        <v>27443660</v>
      </c>
      <c r="N2567">
        <v>6572</v>
      </c>
      <c r="O2567" s="26">
        <v>2356372.2599999998</v>
      </c>
      <c r="P2567" s="5" t="s">
        <v>50</v>
      </c>
      <c r="Q2567" s="5" t="s">
        <v>51</v>
      </c>
      <c r="R2567">
        <v>4.5999999999999996</v>
      </c>
      <c r="S2567">
        <v>4</v>
      </c>
      <c r="T2567">
        <f t="shared" si="40"/>
        <v>0</v>
      </c>
    </row>
    <row r="2568" spans="1:20">
      <c r="A2568" s="4">
        <v>45769</v>
      </c>
      <c r="B2568">
        <v>2025</v>
      </c>
      <c r="C2568">
        <v>4</v>
      </c>
      <c r="D2568" s="5" t="s">
        <v>44</v>
      </c>
      <c r="E2568" s="5" t="s">
        <v>82</v>
      </c>
      <c r="F2568" s="5" t="s">
        <v>83</v>
      </c>
      <c r="G2568" s="5" t="s">
        <v>84</v>
      </c>
      <c r="H2568" s="5" t="s">
        <v>86</v>
      </c>
      <c r="I2568" s="5" t="s">
        <v>40</v>
      </c>
      <c r="J2568" s="5" t="s">
        <v>41</v>
      </c>
      <c r="K2568">
        <v>47</v>
      </c>
      <c r="L2568">
        <v>624119</v>
      </c>
      <c r="M2568" s="26">
        <v>29333593</v>
      </c>
      <c r="N2568">
        <v>22968</v>
      </c>
      <c r="O2568" s="26">
        <v>4673820.7300000004</v>
      </c>
      <c r="P2568" s="5" t="s">
        <v>42</v>
      </c>
      <c r="Q2568" s="5" t="s">
        <v>51</v>
      </c>
      <c r="R2568">
        <v>4</v>
      </c>
      <c r="S2568">
        <v>12</v>
      </c>
      <c r="T2568">
        <f t="shared" si="40"/>
        <v>1</v>
      </c>
    </row>
    <row r="2569" spans="1:20">
      <c r="A2569" s="4">
        <v>45767</v>
      </c>
      <c r="B2569">
        <v>2025</v>
      </c>
      <c r="C2569">
        <v>4</v>
      </c>
      <c r="D2569" s="5" t="s">
        <v>66</v>
      </c>
      <c r="E2569" s="5" t="s">
        <v>67</v>
      </c>
      <c r="F2569" s="5" t="s">
        <v>68</v>
      </c>
      <c r="G2569" s="5" t="s">
        <v>69</v>
      </c>
      <c r="H2569" s="5" t="s">
        <v>39</v>
      </c>
      <c r="I2569" s="5" t="s">
        <v>40</v>
      </c>
      <c r="J2569" s="5" t="s">
        <v>41</v>
      </c>
      <c r="K2569">
        <v>25</v>
      </c>
      <c r="L2569">
        <v>583678</v>
      </c>
      <c r="M2569" s="26">
        <v>14591950</v>
      </c>
      <c r="N2569">
        <v>37056</v>
      </c>
      <c r="O2569" s="26">
        <v>2157068.2400000002</v>
      </c>
      <c r="P2569" s="5" t="s">
        <v>42</v>
      </c>
      <c r="Q2569" s="5" t="s">
        <v>51</v>
      </c>
      <c r="R2569">
        <v>3.8</v>
      </c>
      <c r="S2569">
        <v>19</v>
      </c>
      <c r="T2569">
        <f t="shared" si="40"/>
        <v>1</v>
      </c>
    </row>
    <row r="2570" spans="1:20">
      <c r="A2570" s="4">
        <v>45767</v>
      </c>
      <c r="B2570">
        <v>2025</v>
      </c>
      <c r="C2570">
        <v>4</v>
      </c>
      <c r="D2570" s="5" t="s">
        <v>44</v>
      </c>
      <c r="E2570" s="5" t="s">
        <v>82</v>
      </c>
      <c r="F2570" s="5" t="s">
        <v>83</v>
      </c>
      <c r="G2570" s="5" t="s">
        <v>84</v>
      </c>
      <c r="H2570" s="5" t="s">
        <v>39</v>
      </c>
      <c r="I2570" s="5" t="s">
        <v>40</v>
      </c>
      <c r="J2570" s="5" t="s">
        <v>41</v>
      </c>
      <c r="K2570">
        <v>48</v>
      </c>
      <c r="L2570">
        <v>558546</v>
      </c>
      <c r="M2570" s="26">
        <v>26810208</v>
      </c>
      <c r="N2570">
        <v>37762</v>
      </c>
      <c r="O2570" s="26">
        <v>3103743.08</v>
      </c>
      <c r="P2570" s="5" t="s">
        <v>42</v>
      </c>
      <c r="Q2570" s="5" t="s">
        <v>75</v>
      </c>
      <c r="R2570">
        <v>3.9</v>
      </c>
      <c r="S2570">
        <v>20</v>
      </c>
      <c r="T2570">
        <f t="shared" si="40"/>
        <v>1</v>
      </c>
    </row>
    <row r="2571" spans="1:20">
      <c r="A2571" s="4">
        <v>45766</v>
      </c>
      <c r="B2571">
        <v>2025</v>
      </c>
      <c r="C2571">
        <v>4</v>
      </c>
      <c r="D2571" s="5" t="s">
        <v>44</v>
      </c>
      <c r="E2571" s="5" t="s">
        <v>82</v>
      </c>
      <c r="F2571" s="5" t="s">
        <v>83</v>
      </c>
      <c r="G2571" s="5" t="s">
        <v>84</v>
      </c>
      <c r="H2571" s="5" t="s">
        <v>79</v>
      </c>
      <c r="I2571" s="5" t="s">
        <v>58</v>
      </c>
      <c r="J2571" s="5" t="s">
        <v>49</v>
      </c>
      <c r="K2571">
        <v>31</v>
      </c>
      <c r="L2571">
        <v>895566</v>
      </c>
      <c r="M2571" s="26">
        <v>27762546</v>
      </c>
      <c r="N2571">
        <v>15194</v>
      </c>
      <c r="O2571" s="26">
        <v>2735026</v>
      </c>
      <c r="P2571" s="5" t="s">
        <v>42</v>
      </c>
      <c r="Q2571" s="5" t="s">
        <v>75</v>
      </c>
      <c r="R2571">
        <v>4.8</v>
      </c>
      <c r="S2571">
        <v>3</v>
      </c>
      <c r="T2571">
        <f t="shared" si="40"/>
        <v>1</v>
      </c>
    </row>
    <row r="2572" spans="1:20">
      <c r="A2572" s="4">
        <v>45752</v>
      </c>
      <c r="B2572">
        <v>2025</v>
      </c>
      <c r="C2572">
        <v>4</v>
      </c>
      <c r="D2572" s="5" t="s">
        <v>44</v>
      </c>
      <c r="E2572" s="5" t="s">
        <v>82</v>
      </c>
      <c r="F2572" s="5" t="s">
        <v>83</v>
      </c>
      <c r="G2572" s="5" t="s">
        <v>84</v>
      </c>
      <c r="H2572" s="5" t="s">
        <v>85</v>
      </c>
      <c r="I2572" s="5" t="s">
        <v>58</v>
      </c>
      <c r="J2572" s="5" t="s">
        <v>49</v>
      </c>
      <c r="K2572">
        <v>30</v>
      </c>
      <c r="L2572">
        <v>1002393</v>
      </c>
      <c r="M2572" s="26">
        <v>30071790</v>
      </c>
      <c r="N2572">
        <v>28029</v>
      </c>
      <c r="O2572" s="26">
        <v>4153250.59</v>
      </c>
      <c r="P2572" s="5" t="s">
        <v>50</v>
      </c>
      <c r="Q2572" s="5" t="s">
        <v>43</v>
      </c>
      <c r="R2572">
        <v>4.8</v>
      </c>
      <c r="S2572">
        <v>15</v>
      </c>
      <c r="T2572">
        <f t="shared" si="40"/>
        <v>0</v>
      </c>
    </row>
    <row r="2573" spans="1:20">
      <c r="A2573" s="4">
        <v>45763</v>
      </c>
      <c r="B2573">
        <v>2025</v>
      </c>
      <c r="C2573">
        <v>4</v>
      </c>
      <c r="D2573" s="5" t="s">
        <v>44</v>
      </c>
      <c r="E2573" s="5" t="s">
        <v>82</v>
      </c>
      <c r="F2573" s="5" t="s">
        <v>83</v>
      </c>
      <c r="G2573" s="5" t="s">
        <v>84</v>
      </c>
      <c r="H2573" s="5" t="s">
        <v>39</v>
      </c>
      <c r="I2573" s="5" t="s">
        <v>40</v>
      </c>
      <c r="J2573" s="5" t="s">
        <v>41</v>
      </c>
      <c r="K2573">
        <v>46</v>
      </c>
      <c r="L2573">
        <v>565351</v>
      </c>
      <c r="M2573" s="26">
        <v>26006146</v>
      </c>
      <c r="N2573">
        <v>11282</v>
      </c>
      <c r="O2573" s="26">
        <v>3199567.94</v>
      </c>
      <c r="P2573" s="5" t="s">
        <v>50</v>
      </c>
      <c r="Q2573" s="5" t="s">
        <v>75</v>
      </c>
      <c r="R2573">
        <v>4.3</v>
      </c>
      <c r="S2573">
        <v>8</v>
      </c>
      <c r="T2573">
        <f t="shared" si="40"/>
        <v>0</v>
      </c>
    </row>
    <row r="2574" spans="1:20">
      <c r="A2574" s="4">
        <v>45749</v>
      </c>
      <c r="B2574">
        <v>2025</v>
      </c>
      <c r="C2574">
        <v>4</v>
      </c>
      <c r="D2574" s="5" t="s">
        <v>54</v>
      </c>
      <c r="E2574" s="5" t="s">
        <v>55</v>
      </c>
      <c r="F2574" s="5" t="s">
        <v>55</v>
      </c>
      <c r="G2574" s="5" t="s">
        <v>56</v>
      </c>
      <c r="H2574" s="5" t="s">
        <v>85</v>
      </c>
      <c r="I2574" s="5" t="s">
        <v>58</v>
      </c>
      <c r="J2574" s="5" t="s">
        <v>49</v>
      </c>
      <c r="K2574">
        <v>29</v>
      </c>
      <c r="L2574">
        <v>998055</v>
      </c>
      <c r="M2574" s="26">
        <v>28943595</v>
      </c>
      <c r="N2574">
        <v>20443</v>
      </c>
      <c r="O2574" s="26">
        <v>4059212.53</v>
      </c>
      <c r="P2574" s="5" t="s">
        <v>42</v>
      </c>
      <c r="Q2574" s="5" t="s">
        <v>51</v>
      </c>
      <c r="R2574">
        <v>4.5</v>
      </c>
      <c r="S2574">
        <v>11</v>
      </c>
      <c r="T2574">
        <f t="shared" si="40"/>
        <v>1</v>
      </c>
    </row>
    <row r="2575" spans="1:20">
      <c r="A2575" s="4">
        <v>45765</v>
      </c>
      <c r="B2575">
        <v>2025</v>
      </c>
      <c r="C2575">
        <v>4</v>
      </c>
      <c r="D2575" s="5" t="s">
        <v>54</v>
      </c>
      <c r="E2575" s="5" t="s">
        <v>70</v>
      </c>
      <c r="F2575" s="5" t="s">
        <v>71</v>
      </c>
      <c r="G2575" s="5" t="s">
        <v>72</v>
      </c>
      <c r="H2575" s="5" t="s">
        <v>86</v>
      </c>
      <c r="I2575" s="5" t="s">
        <v>40</v>
      </c>
      <c r="J2575" s="5" t="s">
        <v>41</v>
      </c>
      <c r="K2575">
        <v>27</v>
      </c>
      <c r="L2575">
        <v>573071</v>
      </c>
      <c r="M2575" s="26">
        <v>15472917</v>
      </c>
      <c r="N2575">
        <v>49099</v>
      </c>
      <c r="O2575" s="26">
        <v>2249553.4900000002</v>
      </c>
      <c r="P2575" s="5" t="s">
        <v>42</v>
      </c>
      <c r="Q2575" s="5" t="s">
        <v>75</v>
      </c>
      <c r="R2575">
        <v>4.5</v>
      </c>
      <c r="S2575">
        <v>16</v>
      </c>
      <c r="T2575">
        <f t="shared" si="40"/>
        <v>1</v>
      </c>
    </row>
    <row r="2576" spans="1:20">
      <c r="A2576" s="4">
        <v>45759</v>
      </c>
      <c r="B2576">
        <v>2025</v>
      </c>
      <c r="C2576">
        <v>4</v>
      </c>
      <c r="D2576" s="5" t="s">
        <v>35</v>
      </c>
      <c r="E2576" s="5" t="s">
        <v>60</v>
      </c>
      <c r="F2576" s="5" t="s">
        <v>61</v>
      </c>
      <c r="G2576" s="5" t="s">
        <v>62</v>
      </c>
      <c r="H2576" s="5" t="s">
        <v>73</v>
      </c>
      <c r="I2576" s="5" t="s">
        <v>40</v>
      </c>
      <c r="J2576" s="5" t="s">
        <v>49</v>
      </c>
      <c r="K2576">
        <v>9</v>
      </c>
      <c r="L2576">
        <v>717985</v>
      </c>
      <c r="M2576" s="26">
        <v>6461865</v>
      </c>
      <c r="N2576">
        <v>48720</v>
      </c>
      <c r="O2576" s="26">
        <v>609772.64</v>
      </c>
      <c r="P2576" s="5" t="s">
        <v>42</v>
      </c>
      <c r="Q2576" s="5" t="s">
        <v>75</v>
      </c>
      <c r="R2576">
        <v>3.9</v>
      </c>
      <c r="S2576">
        <v>6</v>
      </c>
      <c r="T2576">
        <f t="shared" si="40"/>
        <v>1</v>
      </c>
    </row>
    <row r="2577" spans="1:20">
      <c r="A2577" s="4">
        <v>45755</v>
      </c>
      <c r="B2577">
        <v>2025</v>
      </c>
      <c r="C2577">
        <v>4</v>
      </c>
      <c r="D2577" s="5" t="s">
        <v>35</v>
      </c>
      <c r="E2577" s="5" t="s">
        <v>76</v>
      </c>
      <c r="F2577" s="5" t="s">
        <v>77</v>
      </c>
      <c r="G2577" s="5" t="s">
        <v>78</v>
      </c>
      <c r="H2577" s="5" t="s">
        <v>85</v>
      </c>
      <c r="I2577" s="5" t="s">
        <v>58</v>
      </c>
      <c r="J2577" s="5" t="s">
        <v>49</v>
      </c>
      <c r="K2577">
        <v>10</v>
      </c>
      <c r="L2577">
        <v>956026</v>
      </c>
      <c r="M2577" s="26">
        <v>9560260</v>
      </c>
      <c r="N2577">
        <v>37639</v>
      </c>
      <c r="O2577" s="26">
        <v>1004376.39</v>
      </c>
      <c r="P2577" s="5" t="s">
        <v>42</v>
      </c>
      <c r="Q2577" s="5" t="s">
        <v>51</v>
      </c>
      <c r="R2577">
        <v>4.0999999999999996</v>
      </c>
      <c r="S2577">
        <v>20</v>
      </c>
      <c r="T2577">
        <f t="shared" si="40"/>
        <v>1</v>
      </c>
    </row>
    <row r="2578" spans="1:20">
      <c r="A2578" s="4">
        <v>45775</v>
      </c>
      <c r="B2578">
        <v>2025</v>
      </c>
      <c r="C2578">
        <v>4</v>
      </c>
      <c r="D2578" s="5" t="s">
        <v>54</v>
      </c>
      <c r="E2578" s="5" t="s">
        <v>70</v>
      </c>
      <c r="F2578" s="5" t="s">
        <v>71</v>
      </c>
      <c r="G2578" s="5" t="s">
        <v>72</v>
      </c>
      <c r="H2578" s="5" t="s">
        <v>79</v>
      </c>
      <c r="I2578" s="5" t="s">
        <v>58</v>
      </c>
      <c r="J2578" s="5" t="s">
        <v>49</v>
      </c>
      <c r="K2578">
        <v>6</v>
      </c>
      <c r="L2578">
        <v>885805</v>
      </c>
      <c r="M2578" s="26">
        <v>5314830</v>
      </c>
      <c r="N2578">
        <v>30219</v>
      </c>
      <c r="O2578" s="26">
        <v>449052.59</v>
      </c>
      <c r="P2578" s="5" t="s">
        <v>50</v>
      </c>
      <c r="Q2578" s="5" t="s">
        <v>43</v>
      </c>
      <c r="R2578">
        <v>3.8</v>
      </c>
      <c r="S2578">
        <v>5</v>
      </c>
      <c r="T2578">
        <f t="shared" si="40"/>
        <v>0</v>
      </c>
    </row>
    <row r="2579" spans="1:20">
      <c r="A2579" s="4">
        <v>45750</v>
      </c>
      <c r="B2579">
        <v>2025</v>
      </c>
      <c r="C2579">
        <v>4</v>
      </c>
      <c r="D2579" s="5" t="s">
        <v>54</v>
      </c>
      <c r="E2579" s="5" t="s">
        <v>70</v>
      </c>
      <c r="F2579" s="5" t="s">
        <v>71</v>
      </c>
      <c r="G2579" s="5" t="s">
        <v>72</v>
      </c>
      <c r="H2579" s="5" t="s">
        <v>74</v>
      </c>
      <c r="I2579" s="5" t="s">
        <v>40</v>
      </c>
      <c r="J2579" s="5" t="s">
        <v>49</v>
      </c>
      <c r="K2579">
        <v>27</v>
      </c>
      <c r="L2579">
        <v>623717</v>
      </c>
      <c r="M2579" s="26">
        <v>16840359</v>
      </c>
      <c r="N2579">
        <v>15043</v>
      </c>
      <c r="O2579" s="26">
        <v>1988914.75</v>
      </c>
      <c r="P2579" s="5" t="s">
        <v>50</v>
      </c>
      <c r="Q2579" s="5" t="s">
        <v>51</v>
      </c>
      <c r="R2579">
        <v>4.8</v>
      </c>
      <c r="S2579">
        <v>5</v>
      </c>
      <c r="T2579">
        <f t="shared" si="40"/>
        <v>0</v>
      </c>
    </row>
    <row r="2580" spans="1:20">
      <c r="A2580" s="4">
        <v>45764</v>
      </c>
      <c r="B2580">
        <v>2025</v>
      </c>
      <c r="C2580">
        <v>4</v>
      </c>
      <c r="D2580" s="5" t="s">
        <v>66</v>
      </c>
      <c r="E2580" s="5" t="s">
        <v>67</v>
      </c>
      <c r="F2580" s="5" t="s">
        <v>68</v>
      </c>
      <c r="G2580" s="5" t="s">
        <v>69</v>
      </c>
      <c r="H2580" s="5" t="s">
        <v>57</v>
      </c>
      <c r="I2580" s="5" t="s">
        <v>58</v>
      </c>
      <c r="J2580" s="5" t="s">
        <v>59</v>
      </c>
      <c r="K2580">
        <v>5</v>
      </c>
      <c r="L2580">
        <v>1391185</v>
      </c>
      <c r="M2580" s="26">
        <v>6955925</v>
      </c>
      <c r="N2580">
        <v>45771</v>
      </c>
      <c r="O2580" s="26">
        <v>1086534.6499999999</v>
      </c>
      <c r="P2580" s="5" t="s">
        <v>42</v>
      </c>
      <c r="Q2580" s="5" t="s">
        <v>75</v>
      </c>
      <c r="R2580">
        <v>3.8</v>
      </c>
      <c r="S2580">
        <v>20</v>
      </c>
      <c r="T2580">
        <f t="shared" si="40"/>
        <v>1</v>
      </c>
    </row>
    <row r="2581" spans="1:20">
      <c r="A2581" s="4">
        <v>45752</v>
      </c>
      <c r="B2581">
        <v>2025</v>
      </c>
      <c r="C2581">
        <v>4</v>
      </c>
      <c r="D2581" s="5" t="s">
        <v>54</v>
      </c>
      <c r="E2581" s="5" t="s">
        <v>55</v>
      </c>
      <c r="F2581" s="5" t="s">
        <v>55</v>
      </c>
      <c r="G2581" s="5" t="s">
        <v>56</v>
      </c>
      <c r="H2581" s="5" t="s">
        <v>74</v>
      </c>
      <c r="I2581" s="5" t="s">
        <v>40</v>
      </c>
      <c r="J2581" s="5" t="s">
        <v>49</v>
      </c>
      <c r="K2581">
        <v>24</v>
      </c>
      <c r="L2581">
        <v>668274</v>
      </c>
      <c r="M2581" s="26">
        <v>16038576</v>
      </c>
      <c r="N2581">
        <v>33317</v>
      </c>
      <c r="O2581" s="26">
        <v>2413702.89</v>
      </c>
      <c r="P2581" s="5" t="s">
        <v>42</v>
      </c>
      <c r="Q2581" s="5" t="s">
        <v>75</v>
      </c>
      <c r="R2581">
        <v>3.7</v>
      </c>
      <c r="S2581">
        <v>10</v>
      </c>
      <c r="T2581">
        <f t="shared" si="40"/>
        <v>1</v>
      </c>
    </row>
    <row r="2582" spans="1:20">
      <c r="A2582" s="4">
        <v>45764</v>
      </c>
      <c r="B2582">
        <v>2025</v>
      </c>
      <c r="C2582">
        <v>4</v>
      </c>
      <c r="D2582" s="5" t="s">
        <v>35</v>
      </c>
      <c r="E2582" s="5" t="s">
        <v>36</v>
      </c>
      <c r="F2582" s="5" t="s">
        <v>37</v>
      </c>
      <c r="G2582" s="5" t="s">
        <v>38</v>
      </c>
      <c r="H2582" s="5" t="s">
        <v>39</v>
      </c>
      <c r="I2582" s="5" t="s">
        <v>40</v>
      </c>
      <c r="J2582" s="5" t="s">
        <v>41</v>
      </c>
      <c r="K2582">
        <v>58</v>
      </c>
      <c r="L2582">
        <v>591136</v>
      </c>
      <c r="M2582" s="26">
        <v>34285888</v>
      </c>
      <c r="N2582">
        <v>47292</v>
      </c>
      <c r="O2582" s="26">
        <v>3621652.87</v>
      </c>
      <c r="P2582" s="5" t="s">
        <v>42</v>
      </c>
      <c r="Q2582" s="5" t="s">
        <v>43</v>
      </c>
      <c r="R2582">
        <v>4.7</v>
      </c>
      <c r="S2582">
        <v>19</v>
      </c>
      <c r="T2582">
        <f t="shared" si="40"/>
        <v>1</v>
      </c>
    </row>
    <row r="2583" spans="1:20">
      <c r="A2583" s="4">
        <v>45770</v>
      </c>
      <c r="B2583">
        <v>2025</v>
      </c>
      <c r="C2583">
        <v>4</v>
      </c>
      <c r="D2583" s="5" t="s">
        <v>54</v>
      </c>
      <c r="E2583" s="5" t="s">
        <v>70</v>
      </c>
      <c r="F2583" s="5" t="s">
        <v>71</v>
      </c>
      <c r="G2583" s="5" t="s">
        <v>72</v>
      </c>
      <c r="H2583" s="5" t="s">
        <v>80</v>
      </c>
      <c r="I2583" s="5" t="s">
        <v>81</v>
      </c>
      <c r="J2583" s="5" t="s">
        <v>41</v>
      </c>
      <c r="K2583">
        <v>6</v>
      </c>
      <c r="L2583">
        <v>560384</v>
      </c>
      <c r="M2583" s="26">
        <v>3362304</v>
      </c>
      <c r="N2583">
        <v>33143</v>
      </c>
      <c r="O2583" s="26">
        <v>446454.05</v>
      </c>
      <c r="P2583" s="5" t="s">
        <v>42</v>
      </c>
      <c r="Q2583" s="5" t="s">
        <v>51</v>
      </c>
      <c r="R2583">
        <v>3.5</v>
      </c>
      <c r="S2583">
        <v>11</v>
      </c>
      <c r="T2583">
        <f t="shared" si="40"/>
        <v>1</v>
      </c>
    </row>
    <row r="2584" spans="1:20">
      <c r="A2584" s="4">
        <v>45775</v>
      </c>
      <c r="B2584">
        <v>2025</v>
      </c>
      <c r="C2584">
        <v>4</v>
      </c>
      <c r="D2584" s="5" t="s">
        <v>44</v>
      </c>
      <c r="E2584" s="5" t="s">
        <v>82</v>
      </c>
      <c r="F2584" s="5" t="s">
        <v>83</v>
      </c>
      <c r="G2584" s="5" t="s">
        <v>84</v>
      </c>
      <c r="H2584" s="5" t="s">
        <v>63</v>
      </c>
      <c r="I2584" s="5" t="s">
        <v>64</v>
      </c>
      <c r="J2584" s="5" t="s">
        <v>41</v>
      </c>
      <c r="K2584">
        <v>8</v>
      </c>
      <c r="L2584">
        <v>751349</v>
      </c>
      <c r="M2584" s="26">
        <v>6010792</v>
      </c>
      <c r="N2584">
        <v>49753</v>
      </c>
      <c r="O2584" s="26">
        <v>838986.88</v>
      </c>
      <c r="P2584" s="5" t="s">
        <v>42</v>
      </c>
      <c r="Q2584" s="5" t="s">
        <v>51</v>
      </c>
      <c r="R2584">
        <v>4</v>
      </c>
      <c r="S2584">
        <v>13</v>
      </c>
      <c r="T2584">
        <f t="shared" si="40"/>
        <v>1</v>
      </c>
    </row>
    <row r="2585" spans="1:20">
      <c r="A2585" s="4">
        <v>45771</v>
      </c>
      <c r="B2585">
        <v>2025</v>
      </c>
      <c r="C2585">
        <v>4</v>
      </c>
      <c r="D2585" s="5" t="s">
        <v>54</v>
      </c>
      <c r="E2585" s="5" t="s">
        <v>55</v>
      </c>
      <c r="F2585" s="5" t="s">
        <v>55</v>
      </c>
      <c r="G2585" s="5" t="s">
        <v>56</v>
      </c>
      <c r="H2585" s="5" t="s">
        <v>86</v>
      </c>
      <c r="I2585" s="5" t="s">
        <v>40</v>
      </c>
      <c r="J2585" s="5" t="s">
        <v>41</v>
      </c>
      <c r="K2585">
        <v>33</v>
      </c>
      <c r="L2585">
        <v>626074</v>
      </c>
      <c r="M2585" s="26">
        <v>20660442</v>
      </c>
      <c r="N2585">
        <v>28443</v>
      </c>
      <c r="O2585" s="26">
        <v>3115029.05</v>
      </c>
      <c r="P2585" s="5" t="s">
        <v>42</v>
      </c>
      <c r="Q2585" s="5" t="s">
        <v>75</v>
      </c>
      <c r="R2585">
        <v>4.9000000000000004</v>
      </c>
      <c r="S2585">
        <v>15</v>
      </c>
      <c r="T2585">
        <f t="shared" si="40"/>
        <v>1</v>
      </c>
    </row>
    <row r="2586" spans="1:20">
      <c r="A2586" s="4">
        <v>45749</v>
      </c>
      <c r="B2586">
        <v>2025</v>
      </c>
      <c r="C2586">
        <v>4</v>
      </c>
      <c r="D2586" s="5" t="s">
        <v>35</v>
      </c>
      <c r="E2586" s="5" t="s">
        <v>60</v>
      </c>
      <c r="F2586" s="5" t="s">
        <v>61</v>
      </c>
      <c r="G2586" s="5" t="s">
        <v>62</v>
      </c>
      <c r="H2586" s="5" t="s">
        <v>74</v>
      </c>
      <c r="I2586" s="5" t="s">
        <v>40</v>
      </c>
      <c r="J2586" s="5" t="s">
        <v>49</v>
      </c>
      <c r="K2586">
        <v>22</v>
      </c>
      <c r="L2586">
        <v>628420</v>
      </c>
      <c r="M2586" s="26">
        <v>13825240</v>
      </c>
      <c r="N2586">
        <v>27002</v>
      </c>
      <c r="O2586" s="26">
        <v>1633480.65</v>
      </c>
      <c r="P2586" s="5" t="s">
        <v>50</v>
      </c>
      <c r="Q2586" s="5" t="s">
        <v>51</v>
      </c>
      <c r="R2586">
        <v>4.0999999999999996</v>
      </c>
      <c r="S2586">
        <v>13</v>
      </c>
      <c r="T2586">
        <f t="shared" si="40"/>
        <v>0</v>
      </c>
    </row>
    <row r="2587" spans="1:20">
      <c r="A2587" s="4">
        <v>45763</v>
      </c>
      <c r="B2587">
        <v>2025</v>
      </c>
      <c r="C2587">
        <v>4</v>
      </c>
      <c r="D2587" s="5" t="s">
        <v>66</v>
      </c>
      <c r="E2587" s="5" t="s">
        <v>67</v>
      </c>
      <c r="F2587" s="5" t="s">
        <v>68</v>
      </c>
      <c r="G2587" s="5" t="s">
        <v>69</v>
      </c>
      <c r="H2587" s="5" t="s">
        <v>57</v>
      </c>
      <c r="I2587" s="5" t="s">
        <v>58</v>
      </c>
      <c r="J2587" s="5" t="s">
        <v>59</v>
      </c>
      <c r="K2587">
        <v>35</v>
      </c>
      <c r="L2587">
        <v>1384680</v>
      </c>
      <c r="M2587" s="26">
        <v>48463800</v>
      </c>
      <c r="N2587">
        <v>21234</v>
      </c>
      <c r="O2587" s="26">
        <v>3895810.34</v>
      </c>
      <c r="P2587" s="5" t="s">
        <v>42</v>
      </c>
      <c r="Q2587" s="5" t="s">
        <v>51</v>
      </c>
      <c r="R2587">
        <v>4.5</v>
      </c>
      <c r="S2587">
        <v>17</v>
      </c>
      <c r="T2587">
        <f t="shared" si="40"/>
        <v>1</v>
      </c>
    </row>
    <row r="2588" spans="1:20">
      <c r="A2588" s="4">
        <v>45749</v>
      </c>
      <c r="B2588">
        <v>2025</v>
      </c>
      <c r="C2588">
        <v>4</v>
      </c>
      <c r="D2588" s="5" t="s">
        <v>44</v>
      </c>
      <c r="E2588" s="5" t="s">
        <v>45</v>
      </c>
      <c r="F2588" s="5" t="s">
        <v>46</v>
      </c>
      <c r="G2588" s="5" t="s">
        <v>47</v>
      </c>
      <c r="H2588" s="5" t="s">
        <v>86</v>
      </c>
      <c r="I2588" s="5" t="s">
        <v>40</v>
      </c>
      <c r="J2588" s="5" t="s">
        <v>41</v>
      </c>
      <c r="K2588">
        <v>40</v>
      </c>
      <c r="L2588">
        <v>582600</v>
      </c>
      <c r="M2588" s="26">
        <v>23304000</v>
      </c>
      <c r="N2588">
        <v>35038</v>
      </c>
      <c r="O2588" s="26">
        <v>1949937.34</v>
      </c>
      <c r="P2588" s="5" t="s">
        <v>42</v>
      </c>
      <c r="Q2588" s="5" t="s">
        <v>75</v>
      </c>
      <c r="R2588">
        <v>4.9000000000000004</v>
      </c>
      <c r="S2588">
        <v>5</v>
      </c>
      <c r="T2588">
        <f t="shared" si="40"/>
        <v>1</v>
      </c>
    </row>
    <row r="2589" spans="1:20">
      <c r="A2589" s="4">
        <v>45757</v>
      </c>
      <c r="B2589">
        <v>2025</v>
      </c>
      <c r="C2589">
        <v>4</v>
      </c>
      <c r="D2589" s="5" t="s">
        <v>35</v>
      </c>
      <c r="E2589" s="5" t="s">
        <v>76</v>
      </c>
      <c r="F2589" s="5" t="s">
        <v>77</v>
      </c>
      <c r="G2589" s="5" t="s">
        <v>78</v>
      </c>
      <c r="H2589" s="5" t="s">
        <v>48</v>
      </c>
      <c r="I2589" s="5" t="s">
        <v>40</v>
      </c>
      <c r="J2589" s="5" t="s">
        <v>49</v>
      </c>
      <c r="K2589">
        <v>48</v>
      </c>
      <c r="L2589">
        <v>451857</v>
      </c>
      <c r="M2589" s="26">
        <v>21689136</v>
      </c>
      <c r="N2589">
        <v>19978</v>
      </c>
      <c r="O2589" s="26">
        <v>1775213.6</v>
      </c>
      <c r="P2589" s="5" t="s">
        <v>50</v>
      </c>
      <c r="Q2589" s="5" t="s">
        <v>75</v>
      </c>
      <c r="R2589">
        <v>3.5</v>
      </c>
      <c r="S2589">
        <v>2</v>
      </c>
      <c r="T2589">
        <f t="shared" si="40"/>
        <v>0</v>
      </c>
    </row>
    <row r="2590" spans="1:20">
      <c r="A2590" s="4">
        <v>45765</v>
      </c>
      <c r="B2590">
        <v>2025</v>
      </c>
      <c r="C2590">
        <v>4</v>
      </c>
      <c r="D2590" s="5" t="s">
        <v>35</v>
      </c>
      <c r="E2590" s="5" t="s">
        <v>60</v>
      </c>
      <c r="F2590" s="5" t="s">
        <v>61</v>
      </c>
      <c r="G2590" s="5" t="s">
        <v>62</v>
      </c>
      <c r="H2590" s="5" t="s">
        <v>86</v>
      </c>
      <c r="I2590" s="5" t="s">
        <v>40</v>
      </c>
      <c r="J2590" s="5" t="s">
        <v>41</v>
      </c>
      <c r="K2590">
        <v>29</v>
      </c>
      <c r="L2590">
        <v>584755</v>
      </c>
      <c r="M2590" s="26">
        <v>16957895</v>
      </c>
      <c r="N2590">
        <v>29074</v>
      </c>
      <c r="O2590" s="26">
        <v>2583134.65</v>
      </c>
      <c r="P2590" s="5" t="s">
        <v>42</v>
      </c>
      <c r="Q2590" s="5" t="s">
        <v>75</v>
      </c>
      <c r="R2590">
        <v>4.2</v>
      </c>
      <c r="S2590">
        <v>6</v>
      </c>
      <c r="T2590">
        <f t="shared" si="40"/>
        <v>1</v>
      </c>
    </row>
    <row r="2591" spans="1:20">
      <c r="A2591" s="4">
        <v>45767</v>
      </c>
      <c r="B2591">
        <v>2025</v>
      </c>
      <c r="C2591">
        <v>4</v>
      </c>
      <c r="D2591" s="5" t="s">
        <v>35</v>
      </c>
      <c r="E2591" s="5" t="s">
        <v>36</v>
      </c>
      <c r="F2591" s="5" t="s">
        <v>37</v>
      </c>
      <c r="G2591" s="5" t="s">
        <v>38</v>
      </c>
      <c r="H2591" s="5" t="s">
        <v>52</v>
      </c>
      <c r="I2591" s="5" t="s">
        <v>53</v>
      </c>
      <c r="J2591" s="5" t="s">
        <v>41</v>
      </c>
      <c r="K2591">
        <v>13</v>
      </c>
      <c r="L2591">
        <v>942484</v>
      </c>
      <c r="M2591" s="26">
        <v>12252292</v>
      </c>
      <c r="N2591">
        <v>39926</v>
      </c>
      <c r="O2591" s="26">
        <v>1708136.45</v>
      </c>
      <c r="P2591" s="5" t="s">
        <v>50</v>
      </c>
      <c r="Q2591" s="5" t="s">
        <v>43</v>
      </c>
      <c r="R2591">
        <v>4.5</v>
      </c>
      <c r="S2591">
        <v>13</v>
      </c>
      <c r="T2591">
        <f t="shared" si="40"/>
        <v>0</v>
      </c>
    </row>
    <row r="2592" spans="1:20">
      <c r="A2592" s="4">
        <v>45759</v>
      </c>
      <c r="B2592">
        <v>2025</v>
      </c>
      <c r="C2592">
        <v>4</v>
      </c>
      <c r="D2592" s="5" t="s">
        <v>35</v>
      </c>
      <c r="E2592" s="5" t="s">
        <v>76</v>
      </c>
      <c r="F2592" s="5" t="s">
        <v>77</v>
      </c>
      <c r="G2592" s="5" t="s">
        <v>78</v>
      </c>
      <c r="H2592" s="5" t="s">
        <v>48</v>
      </c>
      <c r="I2592" s="5" t="s">
        <v>40</v>
      </c>
      <c r="J2592" s="5" t="s">
        <v>49</v>
      </c>
      <c r="K2592">
        <v>9</v>
      </c>
      <c r="L2592">
        <v>446901</v>
      </c>
      <c r="M2592" s="26">
        <v>4022109</v>
      </c>
      <c r="N2592">
        <v>29311</v>
      </c>
      <c r="O2592" s="26">
        <v>482523.45</v>
      </c>
      <c r="P2592" s="5" t="s">
        <v>50</v>
      </c>
      <c r="Q2592" s="5" t="s">
        <v>51</v>
      </c>
      <c r="R2592">
        <v>3.9</v>
      </c>
      <c r="S2592">
        <v>11</v>
      </c>
      <c r="T2592">
        <f t="shared" si="40"/>
        <v>0</v>
      </c>
    </row>
    <row r="2593" spans="1:20">
      <c r="A2593" s="4">
        <v>45771</v>
      </c>
      <c r="B2593">
        <v>2025</v>
      </c>
      <c r="C2593">
        <v>4</v>
      </c>
      <c r="D2593" s="5" t="s">
        <v>54</v>
      </c>
      <c r="E2593" s="5" t="s">
        <v>70</v>
      </c>
      <c r="F2593" s="5" t="s">
        <v>71</v>
      </c>
      <c r="G2593" s="5" t="s">
        <v>72</v>
      </c>
      <c r="H2593" s="5" t="s">
        <v>73</v>
      </c>
      <c r="I2593" s="5" t="s">
        <v>40</v>
      </c>
      <c r="J2593" s="5" t="s">
        <v>49</v>
      </c>
      <c r="K2593">
        <v>13</v>
      </c>
      <c r="L2593">
        <v>727461</v>
      </c>
      <c r="M2593" s="26">
        <v>9456993</v>
      </c>
      <c r="N2593">
        <v>11042</v>
      </c>
      <c r="O2593" s="26">
        <v>972552.53</v>
      </c>
      <c r="P2593" s="5" t="s">
        <v>42</v>
      </c>
      <c r="Q2593" s="5" t="s">
        <v>43</v>
      </c>
      <c r="R2593">
        <v>4.2</v>
      </c>
      <c r="S2593">
        <v>12</v>
      </c>
      <c r="T2593">
        <f t="shared" si="40"/>
        <v>1</v>
      </c>
    </row>
    <row r="2594" spans="1:20">
      <c r="A2594" s="4">
        <v>45748</v>
      </c>
      <c r="B2594">
        <v>2025</v>
      </c>
      <c r="C2594">
        <v>4</v>
      </c>
      <c r="D2594" s="5" t="s">
        <v>35</v>
      </c>
      <c r="E2594" s="5" t="s">
        <v>36</v>
      </c>
      <c r="F2594" s="5" t="s">
        <v>37</v>
      </c>
      <c r="G2594" s="5" t="s">
        <v>38</v>
      </c>
      <c r="H2594" s="5" t="s">
        <v>48</v>
      </c>
      <c r="I2594" s="5" t="s">
        <v>40</v>
      </c>
      <c r="J2594" s="5" t="s">
        <v>49</v>
      </c>
      <c r="K2594">
        <v>39</v>
      </c>
      <c r="L2594">
        <v>447991</v>
      </c>
      <c r="M2594" s="26">
        <v>17471649</v>
      </c>
      <c r="N2594">
        <v>33258</v>
      </c>
      <c r="O2594" s="26">
        <v>2285179.58</v>
      </c>
      <c r="P2594" s="5" t="s">
        <v>42</v>
      </c>
      <c r="Q2594" s="5" t="s">
        <v>43</v>
      </c>
      <c r="R2594">
        <v>4.7</v>
      </c>
      <c r="S2594">
        <v>10</v>
      </c>
      <c r="T2594">
        <f t="shared" si="40"/>
        <v>1</v>
      </c>
    </row>
    <row r="2595" spans="1:20">
      <c r="A2595" s="4">
        <v>45756</v>
      </c>
      <c r="B2595">
        <v>2025</v>
      </c>
      <c r="C2595">
        <v>4</v>
      </c>
      <c r="D2595" s="5" t="s">
        <v>44</v>
      </c>
      <c r="E2595" s="5" t="s">
        <v>82</v>
      </c>
      <c r="F2595" s="5" t="s">
        <v>83</v>
      </c>
      <c r="G2595" s="5" t="s">
        <v>84</v>
      </c>
      <c r="H2595" s="5" t="s">
        <v>57</v>
      </c>
      <c r="I2595" s="5" t="s">
        <v>58</v>
      </c>
      <c r="J2595" s="5" t="s">
        <v>59</v>
      </c>
      <c r="K2595">
        <v>39</v>
      </c>
      <c r="L2595">
        <v>1417526</v>
      </c>
      <c r="M2595" s="26">
        <v>55283514</v>
      </c>
      <c r="N2595">
        <v>10956</v>
      </c>
      <c r="O2595" s="26">
        <v>7820096.4699999997</v>
      </c>
      <c r="P2595" s="5" t="s">
        <v>50</v>
      </c>
      <c r="Q2595" s="5" t="s">
        <v>51</v>
      </c>
      <c r="R2595">
        <v>4.9000000000000004</v>
      </c>
      <c r="S2595">
        <v>16</v>
      </c>
      <c r="T2595">
        <f t="shared" si="40"/>
        <v>0</v>
      </c>
    </row>
    <row r="2596" spans="1:20">
      <c r="A2596" s="4">
        <v>45748</v>
      </c>
      <c r="B2596">
        <v>2025</v>
      </c>
      <c r="C2596">
        <v>4</v>
      </c>
      <c r="D2596" s="5" t="s">
        <v>44</v>
      </c>
      <c r="E2596" s="5" t="s">
        <v>82</v>
      </c>
      <c r="F2596" s="5" t="s">
        <v>83</v>
      </c>
      <c r="G2596" s="5" t="s">
        <v>84</v>
      </c>
      <c r="H2596" s="5" t="s">
        <v>57</v>
      </c>
      <c r="I2596" s="5" t="s">
        <v>58</v>
      </c>
      <c r="J2596" s="5" t="s">
        <v>59</v>
      </c>
      <c r="K2596">
        <v>50</v>
      </c>
      <c r="L2596">
        <v>1375782</v>
      </c>
      <c r="M2596" s="26">
        <v>68789100</v>
      </c>
      <c r="N2596">
        <v>5125</v>
      </c>
      <c r="O2596" s="26">
        <v>9522543.6999999993</v>
      </c>
      <c r="P2596" s="5" t="s">
        <v>50</v>
      </c>
      <c r="Q2596" s="5" t="s">
        <v>43</v>
      </c>
      <c r="R2596">
        <v>4.5</v>
      </c>
      <c r="S2596">
        <v>17</v>
      </c>
      <c r="T2596">
        <f t="shared" si="40"/>
        <v>0</v>
      </c>
    </row>
    <row r="2597" spans="1:20">
      <c r="A2597" s="4">
        <v>45763</v>
      </c>
      <c r="B2597">
        <v>2025</v>
      </c>
      <c r="C2597">
        <v>4</v>
      </c>
      <c r="D2597" s="5" t="s">
        <v>66</v>
      </c>
      <c r="E2597" s="5" t="s">
        <v>67</v>
      </c>
      <c r="F2597" s="5" t="s">
        <v>68</v>
      </c>
      <c r="G2597" s="5" t="s">
        <v>69</v>
      </c>
      <c r="H2597" s="5" t="s">
        <v>39</v>
      </c>
      <c r="I2597" s="5" t="s">
        <v>40</v>
      </c>
      <c r="J2597" s="5" t="s">
        <v>41</v>
      </c>
      <c r="K2597">
        <v>15</v>
      </c>
      <c r="L2597">
        <v>602640</v>
      </c>
      <c r="M2597" s="26">
        <v>9039600</v>
      </c>
      <c r="N2597">
        <v>42667</v>
      </c>
      <c r="O2597" s="26">
        <v>1210687.6599999999</v>
      </c>
      <c r="P2597" s="5" t="s">
        <v>50</v>
      </c>
      <c r="Q2597" s="5" t="s">
        <v>43</v>
      </c>
      <c r="R2597">
        <v>4</v>
      </c>
      <c r="S2597">
        <v>6</v>
      </c>
      <c r="T2597">
        <f t="shared" si="40"/>
        <v>0</v>
      </c>
    </row>
    <row r="2598" spans="1:20">
      <c r="A2598" s="4">
        <v>45759</v>
      </c>
      <c r="B2598">
        <v>2025</v>
      </c>
      <c r="C2598">
        <v>4</v>
      </c>
      <c r="D2598" s="5" t="s">
        <v>44</v>
      </c>
      <c r="E2598" s="5" t="s">
        <v>45</v>
      </c>
      <c r="F2598" s="5" t="s">
        <v>46</v>
      </c>
      <c r="G2598" s="5" t="s">
        <v>47</v>
      </c>
      <c r="H2598" s="5" t="s">
        <v>52</v>
      </c>
      <c r="I2598" s="5" t="s">
        <v>53</v>
      </c>
      <c r="J2598" s="5" t="s">
        <v>41</v>
      </c>
      <c r="K2598">
        <v>27</v>
      </c>
      <c r="L2598">
        <v>969463</v>
      </c>
      <c r="M2598" s="26">
        <v>26175501</v>
      </c>
      <c r="N2598">
        <v>15631</v>
      </c>
      <c r="O2598" s="26">
        <v>2872617.33</v>
      </c>
      <c r="P2598" s="5" t="s">
        <v>50</v>
      </c>
      <c r="Q2598" s="5" t="s">
        <v>51</v>
      </c>
      <c r="R2598">
        <v>4.3</v>
      </c>
      <c r="S2598">
        <v>2</v>
      </c>
      <c r="T2598">
        <f t="shared" si="40"/>
        <v>0</v>
      </c>
    </row>
    <row r="2599" spans="1:20">
      <c r="A2599" s="4">
        <v>45756</v>
      </c>
      <c r="B2599">
        <v>2025</v>
      </c>
      <c r="C2599">
        <v>4</v>
      </c>
      <c r="D2599" s="5" t="s">
        <v>35</v>
      </c>
      <c r="E2599" s="5" t="s">
        <v>60</v>
      </c>
      <c r="F2599" s="5" t="s">
        <v>61</v>
      </c>
      <c r="G2599" s="5" t="s">
        <v>62</v>
      </c>
      <c r="H2599" s="5" t="s">
        <v>52</v>
      </c>
      <c r="I2599" s="5" t="s">
        <v>53</v>
      </c>
      <c r="J2599" s="5" t="s">
        <v>41</v>
      </c>
      <c r="K2599">
        <v>25</v>
      </c>
      <c r="L2599">
        <v>936076</v>
      </c>
      <c r="M2599" s="26">
        <v>23401900</v>
      </c>
      <c r="N2599">
        <v>30487</v>
      </c>
      <c r="O2599" s="26">
        <v>3674332.23</v>
      </c>
      <c r="P2599" s="5" t="s">
        <v>42</v>
      </c>
      <c r="Q2599" s="5" t="s">
        <v>51</v>
      </c>
      <c r="R2599">
        <v>3.8</v>
      </c>
      <c r="S2599">
        <v>21</v>
      </c>
      <c r="T2599">
        <f t="shared" si="40"/>
        <v>1</v>
      </c>
    </row>
    <row r="2600" spans="1:20">
      <c r="A2600" s="4">
        <v>45764</v>
      </c>
      <c r="B2600">
        <v>2025</v>
      </c>
      <c r="C2600">
        <v>4</v>
      </c>
      <c r="D2600" s="5" t="s">
        <v>44</v>
      </c>
      <c r="E2600" s="5" t="s">
        <v>45</v>
      </c>
      <c r="F2600" s="5" t="s">
        <v>46</v>
      </c>
      <c r="G2600" s="5" t="s">
        <v>47</v>
      </c>
      <c r="H2600" s="5" t="s">
        <v>85</v>
      </c>
      <c r="I2600" s="5" t="s">
        <v>58</v>
      </c>
      <c r="J2600" s="5" t="s">
        <v>49</v>
      </c>
      <c r="K2600">
        <v>8</v>
      </c>
      <c r="L2600">
        <v>997753</v>
      </c>
      <c r="M2600" s="26">
        <v>7982024</v>
      </c>
      <c r="N2600">
        <v>6045</v>
      </c>
      <c r="O2600" s="26">
        <v>870771.65</v>
      </c>
      <c r="P2600" s="5" t="s">
        <v>42</v>
      </c>
      <c r="Q2600" s="5" t="s">
        <v>51</v>
      </c>
      <c r="R2600">
        <v>4.5</v>
      </c>
      <c r="S2600">
        <v>11</v>
      </c>
      <c r="T2600">
        <f t="shared" si="40"/>
        <v>1</v>
      </c>
    </row>
    <row r="2601" spans="1:20">
      <c r="A2601" s="4">
        <v>45755</v>
      </c>
      <c r="B2601">
        <v>2025</v>
      </c>
      <c r="C2601">
        <v>4</v>
      </c>
      <c r="D2601" s="5" t="s">
        <v>35</v>
      </c>
      <c r="E2601" s="5" t="s">
        <v>76</v>
      </c>
      <c r="F2601" s="5" t="s">
        <v>77</v>
      </c>
      <c r="G2601" s="5" t="s">
        <v>78</v>
      </c>
      <c r="H2601" s="5" t="s">
        <v>80</v>
      </c>
      <c r="I2601" s="5" t="s">
        <v>81</v>
      </c>
      <c r="J2601" s="5" t="s">
        <v>41</v>
      </c>
      <c r="K2601">
        <v>7</v>
      </c>
      <c r="L2601">
        <v>556378</v>
      </c>
      <c r="M2601" s="26">
        <v>3894646</v>
      </c>
      <c r="N2601">
        <v>29462</v>
      </c>
      <c r="O2601" s="26">
        <v>454105.49</v>
      </c>
      <c r="P2601" s="5" t="s">
        <v>50</v>
      </c>
      <c r="Q2601" s="5" t="s">
        <v>75</v>
      </c>
      <c r="R2601">
        <v>4.4000000000000004</v>
      </c>
      <c r="S2601">
        <v>16</v>
      </c>
      <c r="T2601">
        <f t="shared" si="40"/>
        <v>0</v>
      </c>
    </row>
    <row r="2602" spans="1:20">
      <c r="A2602" s="4">
        <v>45784</v>
      </c>
      <c r="B2602">
        <v>2025</v>
      </c>
      <c r="C2602">
        <v>5</v>
      </c>
      <c r="D2602" s="5" t="s">
        <v>35</v>
      </c>
      <c r="E2602" s="5" t="s">
        <v>36</v>
      </c>
      <c r="F2602" s="5" t="s">
        <v>37</v>
      </c>
      <c r="G2602" s="5" t="s">
        <v>38</v>
      </c>
      <c r="H2602" s="5" t="s">
        <v>73</v>
      </c>
      <c r="I2602" s="5" t="s">
        <v>40</v>
      </c>
      <c r="J2602" s="5" t="s">
        <v>49</v>
      </c>
      <c r="K2602">
        <v>23</v>
      </c>
      <c r="L2602">
        <v>699695</v>
      </c>
      <c r="M2602" s="26">
        <v>16092985</v>
      </c>
      <c r="N2602">
        <v>18065</v>
      </c>
      <c r="O2602" s="26">
        <v>2345078.75</v>
      </c>
      <c r="P2602" s="5" t="s">
        <v>42</v>
      </c>
      <c r="Q2602" s="5" t="s">
        <v>43</v>
      </c>
      <c r="R2602">
        <v>4.2</v>
      </c>
      <c r="S2602">
        <v>13</v>
      </c>
      <c r="T2602">
        <f t="shared" si="40"/>
        <v>1</v>
      </c>
    </row>
    <row r="2603" spans="1:20">
      <c r="A2603" s="4">
        <v>45792</v>
      </c>
      <c r="B2603">
        <v>2025</v>
      </c>
      <c r="C2603">
        <v>5</v>
      </c>
      <c r="D2603" s="5" t="s">
        <v>44</v>
      </c>
      <c r="E2603" s="5" t="s">
        <v>45</v>
      </c>
      <c r="F2603" s="5" t="s">
        <v>46</v>
      </c>
      <c r="G2603" s="5" t="s">
        <v>47</v>
      </c>
      <c r="H2603" s="5" t="s">
        <v>65</v>
      </c>
      <c r="I2603" s="5" t="s">
        <v>53</v>
      </c>
      <c r="J2603" s="5" t="s">
        <v>49</v>
      </c>
      <c r="K2603">
        <v>60</v>
      </c>
      <c r="L2603">
        <v>1241112</v>
      </c>
      <c r="M2603" s="26">
        <v>74466720</v>
      </c>
      <c r="N2603">
        <v>48233</v>
      </c>
      <c r="O2603" s="26">
        <v>10479424.140000001</v>
      </c>
      <c r="P2603" s="5" t="s">
        <v>50</v>
      </c>
      <c r="Q2603" s="5" t="s">
        <v>51</v>
      </c>
      <c r="R2603">
        <v>3.8</v>
      </c>
      <c r="S2603">
        <v>3</v>
      </c>
      <c r="T2603">
        <f t="shared" si="40"/>
        <v>0</v>
      </c>
    </row>
    <row r="2604" spans="1:20">
      <c r="A2604" s="4">
        <v>45803</v>
      </c>
      <c r="B2604">
        <v>2025</v>
      </c>
      <c r="C2604">
        <v>5</v>
      </c>
      <c r="D2604" s="5" t="s">
        <v>44</v>
      </c>
      <c r="E2604" s="5" t="s">
        <v>45</v>
      </c>
      <c r="F2604" s="5" t="s">
        <v>46</v>
      </c>
      <c r="G2604" s="5" t="s">
        <v>47</v>
      </c>
      <c r="H2604" s="5" t="s">
        <v>48</v>
      </c>
      <c r="I2604" s="5" t="s">
        <v>40</v>
      </c>
      <c r="J2604" s="5" t="s">
        <v>49</v>
      </c>
      <c r="K2604">
        <v>9</v>
      </c>
      <c r="L2604">
        <v>458275</v>
      </c>
      <c r="M2604" s="26">
        <v>4124475</v>
      </c>
      <c r="N2604">
        <v>10680</v>
      </c>
      <c r="O2604" s="26">
        <v>646245.65</v>
      </c>
      <c r="P2604" s="5" t="s">
        <v>42</v>
      </c>
      <c r="Q2604" s="5" t="s">
        <v>43</v>
      </c>
      <c r="R2604">
        <v>4.3</v>
      </c>
      <c r="S2604">
        <v>15</v>
      </c>
      <c r="T2604">
        <f t="shared" si="40"/>
        <v>1</v>
      </c>
    </row>
    <row r="2605" spans="1:20">
      <c r="A2605" s="4">
        <v>45787</v>
      </c>
      <c r="B2605">
        <v>2025</v>
      </c>
      <c r="C2605">
        <v>5</v>
      </c>
      <c r="D2605" s="5" t="s">
        <v>54</v>
      </c>
      <c r="E2605" s="5" t="s">
        <v>55</v>
      </c>
      <c r="F2605" s="5" t="s">
        <v>55</v>
      </c>
      <c r="G2605" s="5" t="s">
        <v>56</v>
      </c>
      <c r="H2605" s="5" t="s">
        <v>73</v>
      </c>
      <c r="I2605" s="5" t="s">
        <v>40</v>
      </c>
      <c r="J2605" s="5" t="s">
        <v>49</v>
      </c>
      <c r="K2605">
        <v>17</v>
      </c>
      <c r="L2605">
        <v>729350</v>
      </c>
      <c r="M2605" s="26">
        <v>12398950</v>
      </c>
      <c r="N2605">
        <v>24847</v>
      </c>
      <c r="O2605" s="26">
        <v>1808896.75</v>
      </c>
      <c r="P2605" s="5" t="s">
        <v>50</v>
      </c>
      <c r="Q2605" s="5" t="s">
        <v>75</v>
      </c>
      <c r="R2605">
        <v>3.6</v>
      </c>
      <c r="S2605">
        <v>17</v>
      </c>
      <c r="T2605">
        <f t="shared" si="40"/>
        <v>0</v>
      </c>
    </row>
    <row r="2606" spans="1:20">
      <c r="A2606" s="4">
        <v>45797</v>
      </c>
      <c r="B2606">
        <v>2025</v>
      </c>
      <c r="C2606">
        <v>5</v>
      </c>
      <c r="D2606" s="5" t="s">
        <v>54</v>
      </c>
      <c r="E2606" s="5" t="s">
        <v>70</v>
      </c>
      <c r="F2606" s="5" t="s">
        <v>71</v>
      </c>
      <c r="G2606" s="5" t="s">
        <v>72</v>
      </c>
      <c r="H2606" s="5" t="s">
        <v>39</v>
      </c>
      <c r="I2606" s="5" t="s">
        <v>40</v>
      </c>
      <c r="J2606" s="5" t="s">
        <v>41</v>
      </c>
      <c r="K2606">
        <v>12</v>
      </c>
      <c r="L2606">
        <v>553342</v>
      </c>
      <c r="M2606" s="26">
        <v>6640104</v>
      </c>
      <c r="N2606">
        <v>5956</v>
      </c>
      <c r="O2606" s="26">
        <v>980894.62</v>
      </c>
      <c r="P2606" s="5" t="s">
        <v>50</v>
      </c>
      <c r="Q2606" s="5" t="s">
        <v>75</v>
      </c>
      <c r="R2606">
        <v>4.8</v>
      </c>
      <c r="S2606">
        <v>19</v>
      </c>
      <c r="T2606">
        <f t="shared" si="40"/>
        <v>0</v>
      </c>
    </row>
    <row r="2607" spans="1:20">
      <c r="A2607" s="4">
        <v>45790</v>
      </c>
      <c r="B2607">
        <v>2025</v>
      </c>
      <c r="C2607">
        <v>5</v>
      </c>
      <c r="D2607" s="5" t="s">
        <v>54</v>
      </c>
      <c r="E2607" s="5" t="s">
        <v>55</v>
      </c>
      <c r="F2607" s="5" t="s">
        <v>55</v>
      </c>
      <c r="G2607" s="5" t="s">
        <v>56</v>
      </c>
      <c r="H2607" s="5" t="s">
        <v>52</v>
      </c>
      <c r="I2607" s="5" t="s">
        <v>53</v>
      </c>
      <c r="J2607" s="5" t="s">
        <v>41</v>
      </c>
      <c r="K2607">
        <v>37</v>
      </c>
      <c r="L2607">
        <v>952146</v>
      </c>
      <c r="M2607" s="26">
        <v>35229402</v>
      </c>
      <c r="N2607">
        <v>38435</v>
      </c>
      <c r="O2607" s="26">
        <v>3869829.21</v>
      </c>
      <c r="P2607" s="5" t="s">
        <v>42</v>
      </c>
      <c r="Q2607" s="5" t="s">
        <v>51</v>
      </c>
      <c r="R2607">
        <v>4.2</v>
      </c>
      <c r="S2607">
        <v>13</v>
      </c>
      <c r="T2607">
        <f t="shared" si="40"/>
        <v>1</v>
      </c>
    </row>
    <row r="2608" spans="1:20">
      <c r="A2608" s="4">
        <v>45800</v>
      </c>
      <c r="B2608">
        <v>2025</v>
      </c>
      <c r="C2608">
        <v>5</v>
      </c>
      <c r="D2608" s="5" t="s">
        <v>35</v>
      </c>
      <c r="E2608" s="5" t="s">
        <v>60</v>
      </c>
      <c r="F2608" s="5" t="s">
        <v>61</v>
      </c>
      <c r="G2608" s="5" t="s">
        <v>62</v>
      </c>
      <c r="H2608" s="5" t="s">
        <v>79</v>
      </c>
      <c r="I2608" s="5" t="s">
        <v>58</v>
      </c>
      <c r="J2608" s="5" t="s">
        <v>49</v>
      </c>
      <c r="K2608">
        <v>17</v>
      </c>
      <c r="L2608">
        <v>871157</v>
      </c>
      <c r="M2608" s="26">
        <v>14809669</v>
      </c>
      <c r="N2608">
        <v>33268</v>
      </c>
      <c r="O2608" s="26">
        <v>1292436.44</v>
      </c>
      <c r="P2608" s="5" t="s">
        <v>42</v>
      </c>
      <c r="Q2608" s="5" t="s">
        <v>51</v>
      </c>
      <c r="R2608">
        <v>4</v>
      </c>
      <c r="S2608">
        <v>13</v>
      </c>
      <c r="T2608">
        <f t="shared" si="40"/>
        <v>1</v>
      </c>
    </row>
    <row r="2609" spans="1:20">
      <c r="A2609" s="4">
        <v>45802</v>
      </c>
      <c r="B2609">
        <v>2025</v>
      </c>
      <c r="C2609">
        <v>5</v>
      </c>
      <c r="D2609" s="5" t="s">
        <v>44</v>
      </c>
      <c r="E2609" s="5" t="s">
        <v>45</v>
      </c>
      <c r="F2609" s="5" t="s">
        <v>46</v>
      </c>
      <c r="G2609" s="5" t="s">
        <v>47</v>
      </c>
      <c r="H2609" s="5" t="s">
        <v>73</v>
      </c>
      <c r="I2609" s="5" t="s">
        <v>40</v>
      </c>
      <c r="J2609" s="5" t="s">
        <v>49</v>
      </c>
      <c r="K2609">
        <v>40</v>
      </c>
      <c r="L2609">
        <v>727328</v>
      </c>
      <c r="M2609" s="26">
        <v>29093120</v>
      </c>
      <c r="N2609">
        <v>6033</v>
      </c>
      <c r="O2609" s="26">
        <v>3819381.42</v>
      </c>
      <c r="P2609" s="5" t="s">
        <v>50</v>
      </c>
      <c r="Q2609" s="5" t="s">
        <v>75</v>
      </c>
      <c r="R2609">
        <v>3.9</v>
      </c>
      <c r="S2609">
        <v>13</v>
      </c>
      <c r="T2609">
        <f t="shared" si="40"/>
        <v>0</v>
      </c>
    </row>
    <row r="2610" spans="1:20">
      <c r="A2610" s="4">
        <v>45788</v>
      </c>
      <c r="B2610">
        <v>2025</v>
      </c>
      <c r="C2610">
        <v>5</v>
      </c>
      <c r="D2610" s="5" t="s">
        <v>35</v>
      </c>
      <c r="E2610" s="5" t="s">
        <v>36</v>
      </c>
      <c r="F2610" s="5" t="s">
        <v>37</v>
      </c>
      <c r="G2610" s="5" t="s">
        <v>38</v>
      </c>
      <c r="H2610" s="5" t="s">
        <v>39</v>
      </c>
      <c r="I2610" s="5" t="s">
        <v>40</v>
      </c>
      <c r="J2610" s="5" t="s">
        <v>41</v>
      </c>
      <c r="K2610">
        <v>26</v>
      </c>
      <c r="L2610">
        <v>553557</v>
      </c>
      <c r="M2610" s="26">
        <v>14392482</v>
      </c>
      <c r="N2610">
        <v>14319</v>
      </c>
      <c r="O2610" s="26">
        <v>2148893.88</v>
      </c>
      <c r="P2610" s="5" t="s">
        <v>42</v>
      </c>
      <c r="Q2610" s="5" t="s">
        <v>75</v>
      </c>
      <c r="R2610">
        <v>4.3</v>
      </c>
      <c r="S2610">
        <v>3</v>
      </c>
      <c r="T2610">
        <f t="shared" si="40"/>
        <v>1</v>
      </c>
    </row>
    <row r="2611" spans="1:20">
      <c r="A2611" s="4">
        <v>45796</v>
      </c>
      <c r="B2611">
        <v>2025</v>
      </c>
      <c r="C2611">
        <v>5</v>
      </c>
      <c r="D2611" s="5" t="s">
        <v>54</v>
      </c>
      <c r="E2611" s="5" t="s">
        <v>70</v>
      </c>
      <c r="F2611" s="5" t="s">
        <v>71</v>
      </c>
      <c r="G2611" s="5" t="s">
        <v>72</v>
      </c>
      <c r="H2611" s="5" t="s">
        <v>79</v>
      </c>
      <c r="I2611" s="5" t="s">
        <v>58</v>
      </c>
      <c r="J2611" s="5" t="s">
        <v>49</v>
      </c>
      <c r="K2611">
        <v>25</v>
      </c>
      <c r="L2611">
        <v>915280</v>
      </c>
      <c r="M2611" s="26">
        <v>22882000</v>
      </c>
      <c r="N2611">
        <v>26912</v>
      </c>
      <c r="O2611" s="26">
        <v>3591097.75</v>
      </c>
      <c r="P2611" s="5" t="s">
        <v>50</v>
      </c>
      <c r="Q2611" s="5" t="s">
        <v>43</v>
      </c>
      <c r="R2611">
        <v>5</v>
      </c>
      <c r="S2611">
        <v>4</v>
      </c>
      <c r="T2611">
        <f t="shared" si="40"/>
        <v>0</v>
      </c>
    </row>
    <row r="2612" spans="1:20">
      <c r="A2612" s="4">
        <v>45780</v>
      </c>
      <c r="B2612">
        <v>2025</v>
      </c>
      <c r="C2612">
        <v>5</v>
      </c>
      <c r="D2612" s="5" t="s">
        <v>35</v>
      </c>
      <c r="E2612" s="5" t="s">
        <v>60</v>
      </c>
      <c r="F2612" s="5" t="s">
        <v>61</v>
      </c>
      <c r="G2612" s="5" t="s">
        <v>62</v>
      </c>
      <c r="H2612" s="5" t="s">
        <v>86</v>
      </c>
      <c r="I2612" s="5" t="s">
        <v>40</v>
      </c>
      <c r="J2612" s="5" t="s">
        <v>41</v>
      </c>
      <c r="K2612">
        <v>7</v>
      </c>
      <c r="L2612">
        <v>610590</v>
      </c>
      <c r="M2612" s="26">
        <v>4274130</v>
      </c>
      <c r="N2612">
        <v>48517</v>
      </c>
      <c r="O2612" s="26">
        <v>598559.24</v>
      </c>
      <c r="P2612" s="5" t="s">
        <v>50</v>
      </c>
      <c r="Q2612" s="5" t="s">
        <v>75</v>
      </c>
      <c r="R2612">
        <v>4.8</v>
      </c>
      <c r="S2612">
        <v>9</v>
      </c>
      <c r="T2612">
        <f t="shared" si="40"/>
        <v>0</v>
      </c>
    </row>
    <row r="2613" spans="1:20">
      <c r="A2613" s="4">
        <v>45782</v>
      </c>
      <c r="B2613">
        <v>2025</v>
      </c>
      <c r="C2613">
        <v>5</v>
      </c>
      <c r="D2613" s="5" t="s">
        <v>35</v>
      </c>
      <c r="E2613" s="5" t="s">
        <v>76</v>
      </c>
      <c r="F2613" s="5" t="s">
        <v>77</v>
      </c>
      <c r="G2613" s="5" t="s">
        <v>78</v>
      </c>
      <c r="H2613" s="5" t="s">
        <v>63</v>
      </c>
      <c r="I2613" s="5" t="s">
        <v>64</v>
      </c>
      <c r="J2613" s="5" t="s">
        <v>41</v>
      </c>
      <c r="K2613">
        <v>53</v>
      </c>
      <c r="L2613">
        <v>768974</v>
      </c>
      <c r="M2613" s="26">
        <v>40755622</v>
      </c>
      <c r="N2613">
        <v>24389</v>
      </c>
      <c r="O2613" s="26">
        <v>4365664.62</v>
      </c>
      <c r="P2613" s="5" t="s">
        <v>42</v>
      </c>
      <c r="Q2613" s="5" t="s">
        <v>43</v>
      </c>
      <c r="R2613">
        <v>3.5</v>
      </c>
      <c r="S2613">
        <v>16</v>
      </c>
      <c r="T2613">
        <f t="shared" si="40"/>
        <v>1</v>
      </c>
    </row>
    <row r="2614" spans="1:20">
      <c r="A2614" s="4">
        <v>45786</v>
      </c>
      <c r="B2614">
        <v>2025</v>
      </c>
      <c r="C2614">
        <v>5</v>
      </c>
      <c r="D2614" s="5" t="s">
        <v>35</v>
      </c>
      <c r="E2614" s="5" t="s">
        <v>36</v>
      </c>
      <c r="F2614" s="5" t="s">
        <v>37</v>
      </c>
      <c r="G2614" s="5" t="s">
        <v>38</v>
      </c>
      <c r="H2614" s="5" t="s">
        <v>74</v>
      </c>
      <c r="I2614" s="5" t="s">
        <v>40</v>
      </c>
      <c r="J2614" s="5" t="s">
        <v>49</v>
      </c>
      <c r="K2614">
        <v>30</v>
      </c>
      <c r="L2614">
        <v>655063</v>
      </c>
      <c r="M2614" s="26">
        <v>19651890</v>
      </c>
      <c r="N2614">
        <v>7027</v>
      </c>
      <c r="O2614" s="26">
        <v>2528056.35</v>
      </c>
      <c r="P2614" s="5" t="s">
        <v>42</v>
      </c>
      <c r="Q2614" s="5" t="s">
        <v>51</v>
      </c>
      <c r="R2614">
        <v>3.7</v>
      </c>
      <c r="S2614">
        <v>5</v>
      </c>
      <c r="T2614">
        <f t="shared" si="40"/>
        <v>1</v>
      </c>
    </row>
    <row r="2615" spans="1:20">
      <c r="A2615" s="4">
        <v>45786</v>
      </c>
      <c r="B2615">
        <v>2025</v>
      </c>
      <c r="C2615">
        <v>5</v>
      </c>
      <c r="D2615" s="5" t="s">
        <v>35</v>
      </c>
      <c r="E2615" s="5" t="s">
        <v>36</v>
      </c>
      <c r="F2615" s="5" t="s">
        <v>37</v>
      </c>
      <c r="G2615" s="5" t="s">
        <v>38</v>
      </c>
      <c r="H2615" s="5" t="s">
        <v>52</v>
      </c>
      <c r="I2615" s="5" t="s">
        <v>53</v>
      </c>
      <c r="J2615" s="5" t="s">
        <v>41</v>
      </c>
      <c r="K2615">
        <v>44</v>
      </c>
      <c r="L2615">
        <v>938162</v>
      </c>
      <c r="M2615" s="26">
        <v>41279128</v>
      </c>
      <c r="N2615">
        <v>48924</v>
      </c>
      <c r="O2615" s="26">
        <v>6264774.6699999999</v>
      </c>
      <c r="P2615" s="5" t="s">
        <v>50</v>
      </c>
      <c r="Q2615" s="5" t="s">
        <v>75</v>
      </c>
      <c r="R2615">
        <v>4</v>
      </c>
      <c r="S2615">
        <v>4</v>
      </c>
      <c r="T2615">
        <f t="shared" si="40"/>
        <v>0</v>
      </c>
    </row>
    <row r="2616" spans="1:20">
      <c r="A2616" s="4">
        <v>45795</v>
      </c>
      <c r="B2616">
        <v>2025</v>
      </c>
      <c r="C2616">
        <v>5</v>
      </c>
      <c r="D2616" s="5" t="s">
        <v>44</v>
      </c>
      <c r="E2616" s="5" t="s">
        <v>45</v>
      </c>
      <c r="F2616" s="5" t="s">
        <v>46</v>
      </c>
      <c r="G2616" s="5" t="s">
        <v>47</v>
      </c>
      <c r="H2616" s="5" t="s">
        <v>57</v>
      </c>
      <c r="I2616" s="5" t="s">
        <v>58</v>
      </c>
      <c r="J2616" s="5" t="s">
        <v>59</v>
      </c>
      <c r="K2616">
        <v>54</v>
      </c>
      <c r="L2616">
        <v>1426228</v>
      </c>
      <c r="M2616" s="26">
        <v>77016312</v>
      </c>
      <c r="N2616">
        <v>27755</v>
      </c>
      <c r="O2616" s="26">
        <v>10772824.02</v>
      </c>
      <c r="P2616" s="5" t="s">
        <v>42</v>
      </c>
      <c r="Q2616" s="5" t="s">
        <v>75</v>
      </c>
      <c r="R2616">
        <v>4.9000000000000004</v>
      </c>
      <c r="S2616">
        <v>18</v>
      </c>
      <c r="T2616">
        <f t="shared" si="40"/>
        <v>1</v>
      </c>
    </row>
    <row r="2617" spans="1:20">
      <c r="A2617" s="4">
        <v>45803</v>
      </c>
      <c r="B2617">
        <v>2025</v>
      </c>
      <c r="C2617">
        <v>5</v>
      </c>
      <c r="D2617" s="5" t="s">
        <v>54</v>
      </c>
      <c r="E2617" s="5" t="s">
        <v>55</v>
      </c>
      <c r="F2617" s="5" t="s">
        <v>55</v>
      </c>
      <c r="G2617" s="5" t="s">
        <v>56</v>
      </c>
      <c r="H2617" s="5" t="s">
        <v>48</v>
      </c>
      <c r="I2617" s="5" t="s">
        <v>40</v>
      </c>
      <c r="J2617" s="5" t="s">
        <v>49</v>
      </c>
      <c r="K2617">
        <v>32</v>
      </c>
      <c r="L2617">
        <v>454468</v>
      </c>
      <c r="M2617" s="26">
        <v>14542976</v>
      </c>
      <c r="N2617">
        <v>44208</v>
      </c>
      <c r="O2617" s="26">
        <v>2077601.67</v>
      </c>
      <c r="P2617" s="5" t="s">
        <v>42</v>
      </c>
      <c r="Q2617" s="5" t="s">
        <v>75</v>
      </c>
      <c r="R2617">
        <v>4.2</v>
      </c>
      <c r="S2617">
        <v>4</v>
      </c>
      <c r="T2617">
        <f t="shared" si="40"/>
        <v>1</v>
      </c>
    </row>
    <row r="2618" spans="1:20">
      <c r="A2618" s="4">
        <v>45797</v>
      </c>
      <c r="B2618">
        <v>2025</v>
      </c>
      <c r="C2618">
        <v>5</v>
      </c>
      <c r="D2618" s="5" t="s">
        <v>44</v>
      </c>
      <c r="E2618" s="5" t="s">
        <v>82</v>
      </c>
      <c r="F2618" s="5" t="s">
        <v>83</v>
      </c>
      <c r="G2618" s="5" t="s">
        <v>84</v>
      </c>
      <c r="H2618" s="5" t="s">
        <v>86</v>
      </c>
      <c r="I2618" s="5" t="s">
        <v>40</v>
      </c>
      <c r="J2618" s="5" t="s">
        <v>41</v>
      </c>
      <c r="K2618">
        <v>18</v>
      </c>
      <c r="L2618">
        <v>613518</v>
      </c>
      <c r="M2618" s="26">
        <v>11043324</v>
      </c>
      <c r="N2618">
        <v>14729</v>
      </c>
      <c r="O2618" s="26">
        <v>1582659.32</v>
      </c>
      <c r="P2618" s="5" t="s">
        <v>50</v>
      </c>
      <c r="Q2618" s="5" t="s">
        <v>51</v>
      </c>
      <c r="R2618">
        <v>4.2</v>
      </c>
      <c r="S2618">
        <v>14</v>
      </c>
      <c r="T2618">
        <f t="shared" si="40"/>
        <v>0</v>
      </c>
    </row>
    <row r="2619" spans="1:20">
      <c r="A2619" s="4">
        <v>45793</v>
      </c>
      <c r="B2619">
        <v>2025</v>
      </c>
      <c r="C2619">
        <v>5</v>
      </c>
      <c r="D2619" s="5" t="s">
        <v>35</v>
      </c>
      <c r="E2619" s="5" t="s">
        <v>36</v>
      </c>
      <c r="F2619" s="5" t="s">
        <v>37</v>
      </c>
      <c r="G2619" s="5" t="s">
        <v>38</v>
      </c>
      <c r="H2619" s="5" t="s">
        <v>57</v>
      </c>
      <c r="I2619" s="5" t="s">
        <v>58</v>
      </c>
      <c r="J2619" s="5" t="s">
        <v>59</v>
      </c>
      <c r="K2619">
        <v>30</v>
      </c>
      <c r="L2619">
        <v>1424212</v>
      </c>
      <c r="M2619" s="26">
        <v>42726360</v>
      </c>
      <c r="N2619">
        <v>28931</v>
      </c>
      <c r="O2619" s="26">
        <v>3998432.01</v>
      </c>
      <c r="P2619" s="5" t="s">
        <v>50</v>
      </c>
      <c r="Q2619" s="5" t="s">
        <v>75</v>
      </c>
      <c r="R2619">
        <v>4.0999999999999996</v>
      </c>
      <c r="S2619">
        <v>21</v>
      </c>
      <c r="T2619">
        <f t="shared" si="40"/>
        <v>0</v>
      </c>
    </row>
    <row r="2620" spans="1:20">
      <c r="A2620" s="4">
        <v>45804</v>
      </c>
      <c r="B2620">
        <v>2025</v>
      </c>
      <c r="C2620">
        <v>5</v>
      </c>
      <c r="D2620" s="5" t="s">
        <v>44</v>
      </c>
      <c r="E2620" s="5" t="s">
        <v>82</v>
      </c>
      <c r="F2620" s="5" t="s">
        <v>83</v>
      </c>
      <c r="G2620" s="5" t="s">
        <v>84</v>
      </c>
      <c r="H2620" s="5" t="s">
        <v>80</v>
      </c>
      <c r="I2620" s="5" t="s">
        <v>81</v>
      </c>
      <c r="J2620" s="5" t="s">
        <v>41</v>
      </c>
      <c r="K2620">
        <v>60</v>
      </c>
      <c r="L2620">
        <v>565487</v>
      </c>
      <c r="M2620" s="26">
        <v>33929220</v>
      </c>
      <c r="N2620">
        <v>47012</v>
      </c>
      <c r="O2620" s="26">
        <v>5368917.3700000001</v>
      </c>
      <c r="P2620" s="5" t="s">
        <v>50</v>
      </c>
      <c r="Q2620" s="5" t="s">
        <v>43</v>
      </c>
      <c r="R2620">
        <v>4.5999999999999996</v>
      </c>
      <c r="S2620">
        <v>2</v>
      </c>
      <c r="T2620">
        <f t="shared" si="40"/>
        <v>0</v>
      </c>
    </row>
    <row r="2621" spans="1:20">
      <c r="A2621" s="4">
        <v>45786</v>
      </c>
      <c r="B2621">
        <v>2025</v>
      </c>
      <c r="C2621">
        <v>5</v>
      </c>
      <c r="D2621" s="5" t="s">
        <v>44</v>
      </c>
      <c r="E2621" s="5" t="s">
        <v>45</v>
      </c>
      <c r="F2621" s="5" t="s">
        <v>46</v>
      </c>
      <c r="G2621" s="5" t="s">
        <v>47</v>
      </c>
      <c r="H2621" s="5" t="s">
        <v>52</v>
      </c>
      <c r="I2621" s="5" t="s">
        <v>53</v>
      </c>
      <c r="J2621" s="5" t="s">
        <v>41</v>
      </c>
      <c r="K2621">
        <v>30</v>
      </c>
      <c r="L2621">
        <v>973397</v>
      </c>
      <c r="M2621" s="26">
        <v>29201910</v>
      </c>
      <c r="N2621">
        <v>8469</v>
      </c>
      <c r="O2621" s="26">
        <v>3914348.8</v>
      </c>
      <c r="P2621" s="5" t="s">
        <v>42</v>
      </c>
      <c r="Q2621" s="5" t="s">
        <v>75</v>
      </c>
      <c r="R2621">
        <v>4.0999999999999996</v>
      </c>
      <c r="S2621">
        <v>19</v>
      </c>
      <c r="T2621">
        <f t="shared" si="40"/>
        <v>1</v>
      </c>
    </row>
    <row r="2622" spans="1:20">
      <c r="A2622" s="4">
        <v>45803</v>
      </c>
      <c r="B2622">
        <v>2025</v>
      </c>
      <c r="C2622">
        <v>5</v>
      </c>
      <c r="D2622" s="5" t="s">
        <v>35</v>
      </c>
      <c r="E2622" s="5" t="s">
        <v>60</v>
      </c>
      <c r="F2622" s="5" t="s">
        <v>61</v>
      </c>
      <c r="G2622" s="5" t="s">
        <v>62</v>
      </c>
      <c r="H2622" s="5" t="s">
        <v>63</v>
      </c>
      <c r="I2622" s="5" t="s">
        <v>64</v>
      </c>
      <c r="J2622" s="5" t="s">
        <v>41</v>
      </c>
      <c r="K2622">
        <v>36</v>
      </c>
      <c r="L2622">
        <v>739374</v>
      </c>
      <c r="M2622" s="26">
        <v>26617464</v>
      </c>
      <c r="N2622">
        <v>19025</v>
      </c>
      <c r="O2622" s="26">
        <v>4119794.21</v>
      </c>
      <c r="P2622" s="5" t="s">
        <v>50</v>
      </c>
      <c r="Q2622" s="5" t="s">
        <v>51</v>
      </c>
      <c r="R2622">
        <v>4.4000000000000004</v>
      </c>
      <c r="S2622">
        <v>12</v>
      </c>
      <c r="T2622">
        <f t="shared" si="40"/>
        <v>0</v>
      </c>
    </row>
    <row r="2623" spans="1:20">
      <c r="A2623" s="4">
        <v>45798</v>
      </c>
      <c r="B2623">
        <v>2025</v>
      </c>
      <c r="C2623">
        <v>5</v>
      </c>
      <c r="D2623" s="5" t="s">
        <v>35</v>
      </c>
      <c r="E2623" s="5" t="s">
        <v>76</v>
      </c>
      <c r="F2623" s="5" t="s">
        <v>77</v>
      </c>
      <c r="G2623" s="5" t="s">
        <v>78</v>
      </c>
      <c r="H2623" s="5" t="s">
        <v>52</v>
      </c>
      <c r="I2623" s="5" t="s">
        <v>53</v>
      </c>
      <c r="J2623" s="5" t="s">
        <v>41</v>
      </c>
      <c r="K2623">
        <v>48</v>
      </c>
      <c r="L2623">
        <v>971176</v>
      </c>
      <c r="M2623" s="26">
        <v>46616448</v>
      </c>
      <c r="N2623">
        <v>32427</v>
      </c>
      <c r="O2623" s="26">
        <v>6208880.1600000001</v>
      </c>
      <c r="P2623" s="5" t="s">
        <v>50</v>
      </c>
      <c r="Q2623" s="5" t="s">
        <v>43</v>
      </c>
      <c r="R2623">
        <v>4.2</v>
      </c>
      <c r="S2623">
        <v>8</v>
      </c>
      <c r="T2623">
        <f t="shared" si="40"/>
        <v>0</v>
      </c>
    </row>
    <row r="2624" spans="1:20">
      <c r="A2624" s="4">
        <v>45799</v>
      </c>
      <c r="B2624">
        <v>2025</v>
      </c>
      <c r="C2624">
        <v>5</v>
      </c>
      <c r="D2624" s="5" t="s">
        <v>35</v>
      </c>
      <c r="E2624" s="5" t="s">
        <v>76</v>
      </c>
      <c r="F2624" s="5" t="s">
        <v>77</v>
      </c>
      <c r="G2624" s="5" t="s">
        <v>78</v>
      </c>
      <c r="H2624" s="5" t="s">
        <v>65</v>
      </c>
      <c r="I2624" s="5" t="s">
        <v>53</v>
      </c>
      <c r="J2624" s="5" t="s">
        <v>49</v>
      </c>
      <c r="K2624">
        <v>37</v>
      </c>
      <c r="L2624">
        <v>1229000</v>
      </c>
      <c r="M2624" s="26">
        <v>45473000</v>
      </c>
      <c r="N2624">
        <v>29176</v>
      </c>
      <c r="O2624" s="26">
        <v>6967304.6799999997</v>
      </c>
      <c r="P2624" s="5" t="s">
        <v>42</v>
      </c>
      <c r="Q2624" s="5" t="s">
        <v>75</v>
      </c>
      <c r="R2624">
        <v>4.2</v>
      </c>
      <c r="S2624">
        <v>13</v>
      </c>
      <c r="T2624">
        <f t="shared" si="40"/>
        <v>1</v>
      </c>
    </row>
    <row r="2625" spans="1:20">
      <c r="A2625" s="4">
        <v>45796</v>
      </c>
      <c r="B2625">
        <v>2025</v>
      </c>
      <c r="C2625">
        <v>5</v>
      </c>
      <c r="D2625" s="5" t="s">
        <v>54</v>
      </c>
      <c r="E2625" s="5" t="s">
        <v>55</v>
      </c>
      <c r="F2625" s="5" t="s">
        <v>55</v>
      </c>
      <c r="G2625" s="5" t="s">
        <v>56</v>
      </c>
      <c r="H2625" s="5" t="s">
        <v>63</v>
      </c>
      <c r="I2625" s="5" t="s">
        <v>64</v>
      </c>
      <c r="J2625" s="5" t="s">
        <v>41</v>
      </c>
      <c r="K2625">
        <v>26</v>
      </c>
      <c r="L2625">
        <v>750010</v>
      </c>
      <c r="M2625" s="26">
        <v>19500260</v>
      </c>
      <c r="N2625">
        <v>37370</v>
      </c>
      <c r="O2625" s="26">
        <v>2342802.9300000002</v>
      </c>
      <c r="P2625" s="5" t="s">
        <v>42</v>
      </c>
      <c r="Q2625" s="5" t="s">
        <v>51</v>
      </c>
      <c r="R2625">
        <v>4.5</v>
      </c>
      <c r="S2625">
        <v>6</v>
      </c>
      <c r="T2625">
        <f t="shared" si="40"/>
        <v>1</v>
      </c>
    </row>
    <row r="2626" spans="1:20">
      <c r="A2626" s="4">
        <v>45788</v>
      </c>
      <c r="B2626">
        <v>2025</v>
      </c>
      <c r="C2626">
        <v>5</v>
      </c>
      <c r="D2626" s="5" t="s">
        <v>35</v>
      </c>
      <c r="E2626" s="5" t="s">
        <v>36</v>
      </c>
      <c r="F2626" s="5" t="s">
        <v>37</v>
      </c>
      <c r="G2626" s="5" t="s">
        <v>38</v>
      </c>
      <c r="H2626" s="5" t="s">
        <v>80</v>
      </c>
      <c r="I2626" s="5" t="s">
        <v>81</v>
      </c>
      <c r="J2626" s="5" t="s">
        <v>41</v>
      </c>
      <c r="K2626">
        <v>23</v>
      </c>
      <c r="L2626">
        <v>559083</v>
      </c>
      <c r="M2626" s="26">
        <v>12858909</v>
      </c>
      <c r="N2626">
        <v>36054</v>
      </c>
      <c r="O2626" s="26">
        <v>1593818.14</v>
      </c>
      <c r="P2626" s="5" t="s">
        <v>50</v>
      </c>
      <c r="Q2626" s="5" t="s">
        <v>43</v>
      </c>
      <c r="R2626">
        <v>3.8</v>
      </c>
      <c r="S2626">
        <v>3</v>
      </c>
      <c r="T2626">
        <f t="shared" ref="T2626:T2689" si="41">IF(AND(OR($B2626=Sel_Year,Sel_Year="All"),OR($C2626=Sel_Month,Sel_Month="All"),OR($D2626=Sel_Region,Sel_Region="All"),OR($E2626=Sel_State,Sel_State="All"),OR($F2626=Sel_City,Sel_City="All"),OR($G2626=Sel_Dealer,Sel_Dealer="All"),OR($H2626=Sel_Model,Sel_Model="All"),OR($I2626=Sel_Segment,Sel_Segment="All"),OR($J2626=Sel_Fuel,Sel_Fuel="All"),OR($P2626=Sel_CustType,Sel_CustType="All"),OR($Q2626=Sel_Payment,Sel_Payment="All")),1,0)</f>
        <v>0</v>
      </c>
    </row>
    <row r="2627" spans="1:20">
      <c r="A2627" s="4">
        <v>45781</v>
      </c>
      <c r="B2627">
        <v>2025</v>
      </c>
      <c r="C2627">
        <v>5</v>
      </c>
      <c r="D2627" s="5" t="s">
        <v>54</v>
      </c>
      <c r="E2627" s="5" t="s">
        <v>70</v>
      </c>
      <c r="F2627" s="5" t="s">
        <v>71</v>
      </c>
      <c r="G2627" s="5" t="s">
        <v>72</v>
      </c>
      <c r="H2627" s="5" t="s">
        <v>39</v>
      </c>
      <c r="I2627" s="5" t="s">
        <v>40</v>
      </c>
      <c r="J2627" s="5" t="s">
        <v>41</v>
      </c>
      <c r="K2627">
        <v>38</v>
      </c>
      <c r="L2627">
        <v>587410</v>
      </c>
      <c r="M2627" s="26">
        <v>22321580</v>
      </c>
      <c r="N2627">
        <v>47072</v>
      </c>
      <c r="O2627" s="26">
        <v>2036687.99</v>
      </c>
      <c r="P2627" s="5" t="s">
        <v>42</v>
      </c>
      <c r="Q2627" s="5" t="s">
        <v>75</v>
      </c>
      <c r="R2627">
        <v>3.5</v>
      </c>
      <c r="S2627">
        <v>21</v>
      </c>
      <c r="T2627">
        <f t="shared" si="41"/>
        <v>1</v>
      </c>
    </row>
    <row r="2628" spans="1:20">
      <c r="A2628" s="4">
        <v>45797</v>
      </c>
      <c r="B2628">
        <v>2025</v>
      </c>
      <c r="C2628">
        <v>5</v>
      </c>
      <c r="D2628" s="5" t="s">
        <v>44</v>
      </c>
      <c r="E2628" s="5" t="s">
        <v>82</v>
      </c>
      <c r="F2628" s="5" t="s">
        <v>83</v>
      </c>
      <c r="G2628" s="5" t="s">
        <v>84</v>
      </c>
      <c r="H2628" s="5" t="s">
        <v>57</v>
      </c>
      <c r="I2628" s="5" t="s">
        <v>58</v>
      </c>
      <c r="J2628" s="5" t="s">
        <v>59</v>
      </c>
      <c r="K2628">
        <v>26</v>
      </c>
      <c r="L2628">
        <v>1378974</v>
      </c>
      <c r="M2628" s="26">
        <v>35853324</v>
      </c>
      <c r="N2628">
        <v>43748</v>
      </c>
      <c r="O2628" s="26">
        <v>4620360.01</v>
      </c>
      <c r="P2628" s="5" t="s">
        <v>50</v>
      </c>
      <c r="Q2628" s="5" t="s">
        <v>43</v>
      </c>
      <c r="R2628">
        <v>4</v>
      </c>
      <c r="S2628">
        <v>20</v>
      </c>
      <c r="T2628">
        <f t="shared" si="41"/>
        <v>0</v>
      </c>
    </row>
    <row r="2629" spans="1:20">
      <c r="A2629" s="4">
        <v>45786</v>
      </c>
      <c r="B2629">
        <v>2025</v>
      </c>
      <c r="C2629">
        <v>5</v>
      </c>
      <c r="D2629" s="5" t="s">
        <v>44</v>
      </c>
      <c r="E2629" s="5" t="s">
        <v>45</v>
      </c>
      <c r="F2629" s="5" t="s">
        <v>46</v>
      </c>
      <c r="G2629" s="5" t="s">
        <v>47</v>
      </c>
      <c r="H2629" s="5" t="s">
        <v>85</v>
      </c>
      <c r="I2629" s="5" t="s">
        <v>58</v>
      </c>
      <c r="J2629" s="5" t="s">
        <v>49</v>
      </c>
      <c r="K2629">
        <v>49</v>
      </c>
      <c r="L2629">
        <v>954053</v>
      </c>
      <c r="M2629" s="26">
        <v>46748597</v>
      </c>
      <c r="N2629">
        <v>19230</v>
      </c>
      <c r="O2629" s="26">
        <v>4693639.63</v>
      </c>
      <c r="P2629" s="5" t="s">
        <v>50</v>
      </c>
      <c r="Q2629" s="5" t="s">
        <v>75</v>
      </c>
      <c r="R2629">
        <v>4</v>
      </c>
      <c r="S2629">
        <v>17</v>
      </c>
      <c r="T2629">
        <f t="shared" si="41"/>
        <v>0</v>
      </c>
    </row>
    <row r="2630" spans="1:20">
      <c r="A2630" s="4">
        <v>45788</v>
      </c>
      <c r="B2630">
        <v>2025</v>
      </c>
      <c r="C2630">
        <v>5</v>
      </c>
      <c r="D2630" s="5" t="s">
        <v>66</v>
      </c>
      <c r="E2630" s="5" t="s">
        <v>67</v>
      </c>
      <c r="F2630" s="5" t="s">
        <v>68</v>
      </c>
      <c r="G2630" s="5" t="s">
        <v>69</v>
      </c>
      <c r="H2630" s="5" t="s">
        <v>65</v>
      </c>
      <c r="I2630" s="5" t="s">
        <v>53</v>
      </c>
      <c r="J2630" s="5" t="s">
        <v>49</v>
      </c>
      <c r="K2630">
        <v>10</v>
      </c>
      <c r="L2630">
        <v>1278893</v>
      </c>
      <c r="M2630" s="26">
        <v>12788930</v>
      </c>
      <c r="N2630">
        <v>30476</v>
      </c>
      <c r="O2630" s="26">
        <v>1185412.83</v>
      </c>
      <c r="P2630" s="5" t="s">
        <v>50</v>
      </c>
      <c r="Q2630" s="5" t="s">
        <v>43</v>
      </c>
      <c r="R2630">
        <v>4.5</v>
      </c>
      <c r="S2630">
        <v>4</v>
      </c>
      <c r="T2630">
        <f t="shared" si="41"/>
        <v>0</v>
      </c>
    </row>
    <row r="2631" spans="1:20">
      <c r="A2631" s="4">
        <v>45786</v>
      </c>
      <c r="B2631">
        <v>2025</v>
      </c>
      <c r="C2631">
        <v>5</v>
      </c>
      <c r="D2631" s="5" t="s">
        <v>54</v>
      </c>
      <c r="E2631" s="5" t="s">
        <v>70</v>
      </c>
      <c r="F2631" s="5" t="s">
        <v>71</v>
      </c>
      <c r="G2631" s="5" t="s">
        <v>72</v>
      </c>
      <c r="H2631" s="5" t="s">
        <v>86</v>
      </c>
      <c r="I2631" s="5" t="s">
        <v>40</v>
      </c>
      <c r="J2631" s="5" t="s">
        <v>41</v>
      </c>
      <c r="K2631">
        <v>30</v>
      </c>
      <c r="L2631">
        <v>599765</v>
      </c>
      <c r="M2631" s="26">
        <v>17992950</v>
      </c>
      <c r="N2631">
        <v>5244</v>
      </c>
      <c r="O2631" s="26">
        <v>1916712.45</v>
      </c>
      <c r="P2631" s="5" t="s">
        <v>42</v>
      </c>
      <c r="Q2631" s="5" t="s">
        <v>51</v>
      </c>
      <c r="R2631">
        <v>3.6</v>
      </c>
      <c r="S2631">
        <v>14</v>
      </c>
      <c r="T2631">
        <f t="shared" si="41"/>
        <v>1</v>
      </c>
    </row>
    <row r="2632" spans="1:20">
      <c r="A2632" s="4">
        <v>45785</v>
      </c>
      <c r="B2632">
        <v>2025</v>
      </c>
      <c r="C2632">
        <v>5</v>
      </c>
      <c r="D2632" s="5" t="s">
        <v>54</v>
      </c>
      <c r="E2632" s="5" t="s">
        <v>70</v>
      </c>
      <c r="F2632" s="5" t="s">
        <v>71</v>
      </c>
      <c r="G2632" s="5" t="s">
        <v>72</v>
      </c>
      <c r="H2632" s="5" t="s">
        <v>73</v>
      </c>
      <c r="I2632" s="5" t="s">
        <v>40</v>
      </c>
      <c r="J2632" s="5" t="s">
        <v>49</v>
      </c>
      <c r="K2632">
        <v>6</v>
      </c>
      <c r="L2632">
        <v>742989</v>
      </c>
      <c r="M2632" s="26">
        <v>4457934</v>
      </c>
      <c r="N2632">
        <v>43887</v>
      </c>
      <c r="O2632" s="26">
        <v>533619.54</v>
      </c>
      <c r="P2632" s="5" t="s">
        <v>50</v>
      </c>
      <c r="Q2632" s="5" t="s">
        <v>75</v>
      </c>
      <c r="R2632">
        <v>4.0999999999999996</v>
      </c>
      <c r="S2632">
        <v>4</v>
      </c>
      <c r="T2632">
        <f t="shared" si="41"/>
        <v>0</v>
      </c>
    </row>
    <row r="2633" spans="1:20">
      <c r="A2633" s="4">
        <v>45790</v>
      </c>
      <c r="B2633">
        <v>2025</v>
      </c>
      <c r="C2633">
        <v>5</v>
      </c>
      <c r="D2633" s="5" t="s">
        <v>66</v>
      </c>
      <c r="E2633" s="5" t="s">
        <v>67</v>
      </c>
      <c r="F2633" s="5" t="s">
        <v>68</v>
      </c>
      <c r="G2633" s="5" t="s">
        <v>69</v>
      </c>
      <c r="H2633" s="5" t="s">
        <v>65</v>
      </c>
      <c r="I2633" s="5" t="s">
        <v>53</v>
      </c>
      <c r="J2633" s="5" t="s">
        <v>49</v>
      </c>
      <c r="K2633">
        <v>32</v>
      </c>
      <c r="L2633">
        <v>1276177</v>
      </c>
      <c r="M2633" s="26">
        <v>40837664</v>
      </c>
      <c r="N2633">
        <v>43665</v>
      </c>
      <c r="O2633" s="26">
        <v>6180830.5499999998</v>
      </c>
      <c r="P2633" s="5" t="s">
        <v>42</v>
      </c>
      <c r="Q2633" s="5" t="s">
        <v>51</v>
      </c>
      <c r="R2633">
        <v>4.0999999999999996</v>
      </c>
      <c r="S2633">
        <v>14</v>
      </c>
      <c r="T2633">
        <f t="shared" si="41"/>
        <v>1</v>
      </c>
    </row>
    <row r="2634" spans="1:20">
      <c r="A2634" s="4">
        <v>45796</v>
      </c>
      <c r="B2634">
        <v>2025</v>
      </c>
      <c r="C2634">
        <v>5</v>
      </c>
      <c r="D2634" s="5" t="s">
        <v>35</v>
      </c>
      <c r="E2634" s="5" t="s">
        <v>76</v>
      </c>
      <c r="F2634" s="5" t="s">
        <v>77</v>
      </c>
      <c r="G2634" s="5" t="s">
        <v>78</v>
      </c>
      <c r="H2634" s="5" t="s">
        <v>65</v>
      </c>
      <c r="I2634" s="5" t="s">
        <v>53</v>
      </c>
      <c r="J2634" s="5" t="s">
        <v>49</v>
      </c>
      <c r="K2634">
        <v>22</v>
      </c>
      <c r="L2634">
        <v>1221470</v>
      </c>
      <c r="M2634" s="26">
        <v>26872340</v>
      </c>
      <c r="N2634">
        <v>41560</v>
      </c>
      <c r="O2634" s="26">
        <v>3433071.65</v>
      </c>
      <c r="P2634" s="5" t="s">
        <v>50</v>
      </c>
      <c r="Q2634" s="5" t="s">
        <v>51</v>
      </c>
      <c r="R2634">
        <v>4</v>
      </c>
      <c r="S2634">
        <v>12</v>
      </c>
      <c r="T2634">
        <f t="shared" si="41"/>
        <v>0</v>
      </c>
    </row>
    <row r="2635" spans="1:20">
      <c r="A2635" s="4">
        <v>45796</v>
      </c>
      <c r="B2635">
        <v>2025</v>
      </c>
      <c r="C2635">
        <v>5</v>
      </c>
      <c r="D2635" s="5" t="s">
        <v>44</v>
      </c>
      <c r="E2635" s="5" t="s">
        <v>82</v>
      </c>
      <c r="F2635" s="5" t="s">
        <v>83</v>
      </c>
      <c r="G2635" s="5" t="s">
        <v>84</v>
      </c>
      <c r="H2635" s="5" t="s">
        <v>86</v>
      </c>
      <c r="I2635" s="5" t="s">
        <v>40</v>
      </c>
      <c r="J2635" s="5" t="s">
        <v>41</v>
      </c>
      <c r="K2635">
        <v>54</v>
      </c>
      <c r="L2635">
        <v>573333</v>
      </c>
      <c r="M2635" s="26">
        <v>30959982</v>
      </c>
      <c r="N2635">
        <v>46796</v>
      </c>
      <c r="O2635" s="26">
        <v>2739069.05</v>
      </c>
      <c r="P2635" s="5" t="s">
        <v>50</v>
      </c>
      <c r="Q2635" s="5" t="s">
        <v>43</v>
      </c>
      <c r="R2635">
        <v>4.0999999999999996</v>
      </c>
      <c r="S2635">
        <v>12</v>
      </c>
      <c r="T2635">
        <f t="shared" si="41"/>
        <v>0</v>
      </c>
    </row>
    <row r="2636" spans="1:20">
      <c r="A2636" s="4">
        <v>45793</v>
      </c>
      <c r="B2636">
        <v>2025</v>
      </c>
      <c r="C2636">
        <v>5</v>
      </c>
      <c r="D2636" s="5" t="s">
        <v>44</v>
      </c>
      <c r="E2636" s="5" t="s">
        <v>45</v>
      </c>
      <c r="F2636" s="5" t="s">
        <v>46</v>
      </c>
      <c r="G2636" s="5" t="s">
        <v>47</v>
      </c>
      <c r="H2636" s="5" t="s">
        <v>48</v>
      </c>
      <c r="I2636" s="5" t="s">
        <v>40</v>
      </c>
      <c r="J2636" s="5" t="s">
        <v>49</v>
      </c>
      <c r="K2636">
        <v>52</v>
      </c>
      <c r="L2636">
        <v>434527</v>
      </c>
      <c r="M2636" s="26">
        <v>22595404</v>
      </c>
      <c r="N2636">
        <v>29443</v>
      </c>
      <c r="O2636" s="26">
        <v>2034872.86</v>
      </c>
      <c r="P2636" s="5" t="s">
        <v>42</v>
      </c>
      <c r="Q2636" s="5" t="s">
        <v>75</v>
      </c>
      <c r="R2636">
        <v>4.8</v>
      </c>
      <c r="S2636">
        <v>17</v>
      </c>
      <c r="T2636">
        <f t="shared" si="41"/>
        <v>1</v>
      </c>
    </row>
    <row r="2637" spans="1:20">
      <c r="A2637" s="4">
        <v>45792</v>
      </c>
      <c r="B2637">
        <v>2025</v>
      </c>
      <c r="C2637">
        <v>5</v>
      </c>
      <c r="D2637" s="5" t="s">
        <v>44</v>
      </c>
      <c r="E2637" s="5" t="s">
        <v>82</v>
      </c>
      <c r="F2637" s="5" t="s">
        <v>83</v>
      </c>
      <c r="G2637" s="5" t="s">
        <v>84</v>
      </c>
      <c r="H2637" s="5" t="s">
        <v>79</v>
      </c>
      <c r="I2637" s="5" t="s">
        <v>58</v>
      </c>
      <c r="J2637" s="5" t="s">
        <v>49</v>
      </c>
      <c r="K2637">
        <v>35</v>
      </c>
      <c r="L2637">
        <v>909904</v>
      </c>
      <c r="M2637" s="26">
        <v>31846640</v>
      </c>
      <c r="N2637">
        <v>30033</v>
      </c>
      <c r="O2637" s="26">
        <v>4573309.42</v>
      </c>
      <c r="P2637" s="5" t="s">
        <v>42</v>
      </c>
      <c r="Q2637" s="5" t="s">
        <v>51</v>
      </c>
      <c r="R2637">
        <v>4.5999999999999996</v>
      </c>
      <c r="S2637">
        <v>17</v>
      </c>
      <c r="T2637">
        <f t="shared" si="41"/>
        <v>1</v>
      </c>
    </row>
    <row r="2638" spans="1:20">
      <c r="A2638" s="4">
        <v>45786</v>
      </c>
      <c r="B2638">
        <v>2025</v>
      </c>
      <c r="C2638">
        <v>5</v>
      </c>
      <c r="D2638" s="5" t="s">
        <v>44</v>
      </c>
      <c r="E2638" s="5" t="s">
        <v>45</v>
      </c>
      <c r="F2638" s="5" t="s">
        <v>46</v>
      </c>
      <c r="G2638" s="5" t="s">
        <v>47</v>
      </c>
      <c r="H2638" s="5" t="s">
        <v>48</v>
      </c>
      <c r="I2638" s="5" t="s">
        <v>40</v>
      </c>
      <c r="J2638" s="5" t="s">
        <v>49</v>
      </c>
      <c r="K2638">
        <v>40</v>
      </c>
      <c r="L2638">
        <v>448194</v>
      </c>
      <c r="M2638" s="26">
        <v>17927760</v>
      </c>
      <c r="N2638">
        <v>38533</v>
      </c>
      <c r="O2638" s="26">
        <v>1498070.15</v>
      </c>
      <c r="P2638" s="5" t="s">
        <v>42</v>
      </c>
      <c r="Q2638" s="5" t="s">
        <v>51</v>
      </c>
      <c r="R2638">
        <v>4.7</v>
      </c>
      <c r="S2638">
        <v>16</v>
      </c>
      <c r="T2638">
        <f t="shared" si="41"/>
        <v>1</v>
      </c>
    </row>
    <row r="2639" spans="1:20">
      <c r="A2639" s="4">
        <v>45791</v>
      </c>
      <c r="B2639">
        <v>2025</v>
      </c>
      <c r="C2639">
        <v>5</v>
      </c>
      <c r="D2639" s="5" t="s">
        <v>54</v>
      </c>
      <c r="E2639" s="5" t="s">
        <v>55</v>
      </c>
      <c r="F2639" s="5" t="s">
        <v>55</v>
      </c>
      <c r="G2639" s="5" t="s">
        <v>56</v>
      </c>
      <c r="H2639" s="5" t="s">
        <v>48</v>
      </c>
      <c r="I2639" s="5" t="s">
        <v>40</v>
      </c>
      <c r="J2639" s="5" t="s">
        <v>49</v>
      </c>
      <c r="K2639">
        <v>31</v>
      </c>
      <c r="L2639">
        <v>445744</v>
      </c>
      <c r="M2639" s="26">
        <v>13818064</v>
      </c>
      <c r="N2639">
        <v>42418</v>
      </c>
      <c r="O2639" s="26">
        <v>2173514.85</v>
      </c>
      <c r="P2639" s="5" t="s">
        <v>50</v>
      </c>
      <c r="Q2639" s="5" t="s">
        <v>51</v>
      </c>
      <c r="R2639">
        <v>4.5999999999999996</v>
      </c>
      <c r="S2639">
        <v>7</v>
      </c>
      <c r="T2639">
        <f t="shared" si="41"/>
        <v>0</v>
      </c>
    </row>
    <row r="2640" spans="1:20">
      <c r="A2640" s="4">
        <v>45787</v>
      </c>
      <c r="B2640">
        <v>2025</v>
      </c>
      <c r="C2640">
        <v>5</v>
      </c>
      <c r="D2640" s="5" t="s">
        <v>44</v>
      </c>
      <c r="E2640" s="5" t="s">
        <v>82</v>
      </c>
      <c r="F2640" s="5" t="s">
        <v>83</v>
      </c>
      <c r="G2640" s="5" t="s">
        <v>84</v>
      </c>
      <c r="H2640" s="5" t="s">
        <v>86</v>
      </c>
      <c r="I2640" s="5" t="s">
        <v>40</v>
      </c>
      <c r="J2640" s="5" t="s">
        <v>41</v>
      </c>
      <c r="K2640">
        <v>12</v>
      </c>
      <c r="L2640">
        <v>570402</v>
      </c>
      <c r="M2640" s="26">
        <v>6844824</v>
      </c>
      <c r="N2640">
        <v>14124</v>
      </c>
      <c r="O2640" s="26">
        <v>919740.79</v>
      </c>
      <c r="P2640" s="5" t="s">
        <v>42</v>
      </c>
      <c r="Q2640" s="5" t="s">
        <v>51</v>
      </c>
      <c r="R2640">
        <v>4.8</v>
      </c>
      <c r="S2640">
        <v>19</v>
      </c>
      <c r="T2640">
        <f t="shared" si="41"/>
        <v>1</v>
      </c>
    </row>
    <row r="2641" spans="1:20">
      <c r="A2641" s="4">
        <v>45780</v>
      </c>
      <c r="B2641">
        <v>2025</v>
      </c>
      <c r="C2641">
        <v>5</v>
      </c>
      <c r="D2641" s="5" t="s">
        <v>66</v>
      </c>
      <c r="E2641" s="5" t="s">
        <v>67</v>
      </c>
      <c r="F2641" s="5" t="s">
        <v>68</v>
      </c>
      <c r="G2641" s="5" t="s">
        <v>69</v>
      </c>
      <c r="H2641" s="5" t="s">
        <v>65</v>
      </c>
      <c r="I2641" s="5" t="s">
        <v>53</v>
      </c>
      <c r="J2641" s="5" t="s">
        <v>49</v>
      </c>
      <c r="K2641">
        <v>35</v>
      </c>
      <c r="L2641">
        <v>1222220</v>
      </c>
      <c r="M2641" s="26">
        <v>42777700</v>
      </c>
      <c r="N2641">
        <v>8244</v>
      </c>
      <c r="O2641" s="26">
        <v>3988811.11</v>
      </c>
      <c r="P2641" s="5" t="s">
        <v>42</v>
      </c>
      <c r="Q2641" s="5" t="s">
        <v>75</v>
      </c>
      <c r="R2641">
        <v>3.8</v>
      </c>
      <c r="S2641">
        <v>5</v>
      </c>
      <c r="T2641">
        <f t="shared" si="41"/>
        <v>1</v>
      </c>
    </row>
    <row r="2642" spans="1:20">
      <c r="A2642" s="4">
        <v>45796</v>
      </c>
      <c r="B2642">
        <v>2025</v>
      </c>
      <c r="C2642">
        <v>5</v>
      </c>
      <c r="D2642" s="5" t="s">
        <v>35</v>
      </c>
      <c r="E2642" s="5" t="s">
        <v>76</v>
      </c>
      <c r="F2642" s="5" t="s">
        <v>77</v>
      </c>
      <c r="G2642" s="5" t="s">
        <v>78</v>
      </c>
      <c r="H2642" s="5" t="s">
        <v>65</v>
      </c>
      <c r="I2642" s="5" t="s">
        <v>53</v>
      </c>
      <c r="J2642" s="5" t="s">
        <v>49</v>
      </c>
      <c r="K2642">
        <v>27</v>
      </c>
      <c r="L2642">
        <v>1251401</v>
      </c>
      <c r="M2642" s="26">
        <v>33787827</v>
      </c>
      <c r="N2642">
        <v>29085</v>
      </c>
      <c r="O2642" s="26">
        <v>4885867.1900000004</v>
      </c>
      <c r="P2642" s="5" t="s">
        <v>42</v>
      </c>
      <c r="Q2642" s="5" t="s">
        <v>51</v>
      </c>
      <c r="R2642">
        <v>4.0999999999999996</v>
      </c>
      <c r="S2642">
        <v>2</v>
      </c>
      <c r="T2642">
        <f t="shared" si="41"/>
        <v>1</v>
      </c>
    </row>
    <row r="2643" spans="1:20">
      <c r="A2643" s="4">
        <v>45785</v>
      </c>
      <c r="B2643">
        <v>2025</v>
      </c>
      <c r="C2643">
        <v>5</v>
      </c>
      <c r="D2643" s="5" t="s">
        <v>66</v>
      </c>
      <c r="E2643" s="5" t="s">
        <v>67</v>
      </c>
      <c r="F2643" s="5" t="s">
        <v>68</v>
      </c>
      <c r="G2643" s="5" t="s">
        <v>69</v>
      </c>
      <c r="H2643" s="5" t="s">
        <v>79</v>
      </c>
      <c r="I2643" s="5" t="s">
        <v>58</v>
      </c>
      <c r="J2643" s="5" t="s">
        <v>49</v>
      </c>
      <c r="K2643">
        <v>32</v>
      </c>
      <c r="L2643">
        <v>898509</v>
      </c>
      <c r="M2643" s="26">
        <v>28752288</v>
      </c>
      <c r="N2643">
        <v>20236</v>
      </c>
      <c r="O2643" s="26">
        <v>3284531.17</v>
      </c>
      <c r="P2643" s="5" t="s">
        <v>50</v>
      </c>
      <c r="Q2643" s="5" t="s">
        <v>75</v>
      </c>
      <c r="R2643">
        <v>4</v>
      </c>
      <c r="S2643">
        <v>19</v>
      </c>
      <c r="T2643">
        <f t="shared" si="41"/>
        <v>0</v>
      </c>
    </row>
    <row r="2644" spans="1:20">
      <c r="A2644" s="4">
        <v>45804</v>
      </c>
      <c r="B2644">
        <v>2025</v>
      </c>
      <c r="C2644">
        <v>5</v>
      </c>
      <c r="D2644" s="5" t="s">
        <v>66</v>
      </c>
      <c r="E2644" s="5" t="s">
        <v>67</v>
      </c>
      <c r="F2644" s="5" t="s">
        <v>68</v>
      </c>
      <c r="G2644" s="5" t="s">
        <v>69</v>
      </c>
      <c r="H2644" s="5" t="s">
        <v>74</v>
      </c>
      <c r="I2644" s="5" t="s">
        <v>40</v>
      </c>
      <c r="J2644" s="5" t="s">
        <v>49</v>
      </c>
      <c r="K2644">
        <v>39</v>
      </c>
      <c r="L2644">
        <v>641091</v>
      </c>
      <c r="M2644" s="26">
        <v>25002549</v>
      </c>
      <c r="N2644">
        <v>39256</v>
      </c>
      <c r="O2644" s="26">
        <v>3017882.15</v>
      </c>
      <c r="P2644" s="5" t="s">
        <v>42</v>
      </c>
      <c r="Q2644" s="5" t="s">
        <v>43</v>
      </c>
      <c r="R2644">
        <v>3.5</v>
      </c>
      <c r="S2644">
        <v>13</v>
      </c>
      <c r="T2644">
        <f t="shared" si="41"/>
        <v>1</v>
      </c>
    </row>
    <row r="2645" spans="1:20">
      <c r="A2645" s="4">
        <v>45801</v>
      </c>
      <c r="B2645">
        <v>2025</v>
      </c>
      <c r="C2645">
        <v>5</v>
      </c>
      <c r="D2645" s="5" t="s">
        <v>54</v>
      </c>
      <c r="E2645" s="5" t="s">
        <v>55</v>
      </c>
      <c r="F2645" s="5" t="s">
        <v>55</v>
      </c>
      <c r="G2645" s="5" t="s">
        <v>56</v>
      </c>
      <c r="H2645" s="5" t="s">
        <v>74</v>
      </c>
      <c r="I2645" s="5" t="s">
        <v>40</v>
      </c>
      <c r="J2645" s="5" t="s">
        <v>49</v>
      </c>
      <c r="K2645">
        <v>34</v>
      </c>
      <c r="L2645">
        <v>671307</v>
      </c>
      <c r="M2645" s="26">
        <v>22824438</v>
      </c>
      <c r="N2645">
        <v>24372</v>
      </c>
      <c r="O2645" s="26">
        <v>2516138.59</v>
      </c>
      <c r="P2645" s="5" t="s">
        <v>50</v>
      </c>
      <c r="Q2645" s="5" t="s">
        <v>51</v>
      </c>
      <c r="R2645">
        <v>3.8</v>
      </c>
      <c r="S2645">
        <v>3</v>
      </c>
      <c r="T2645">
        <f t="shared" si="41"/>
        <v>0</v>
      </c>
    </row>
    <row r="2646" spans="1:20">
      <c r="A2646" s="4">
        <v>45796</v>
      </c>
      <c r="B2646">
        <v>2025</v>
      </c>
      <c r="C2646">
        <v>5</v>
      </c>
      <c r="D2646" s="5" t="s">
        <v>44</v>
      </c>
      <c r="E2646" s="5" t="s">
        <v>82</v>
      </c>
      <c r="F2646" s="5" t="s">
        <v>83</v>
      </c>
      <c r="G2646" s="5" t="s">
        <v>84</v>
      </c>
      <c r="H2646" s="5" t="s">
        <v>73</v>
      </c>
      <c r="I2646" s="5" t="s">
        <v>40</v>
      </c>
      <c r="J2646" s="5" t="s">
        <v>49</v>
      </c>
      <c r="K2646">
        <v>50</v>
      </c>
      <c r="L2646">
        <v>733742</v>
      </c>
      <c r="M2646" s="26">
        <v>36687100</v>
      </c>
      <c r="N2646">
        <v>17249</v>
      </c>
      <c r="O2646" s="26">
        <v>3379893.88</v>
      </c>
      <c r="P2646" s="5" t="s">
        <v>50</v>
      </c>
      <c r="Q2646" s="5" t="s">
        <v>43</v>
      </c>
      <c r="R2646">
        <v>4.9000000000000004</v>
      </c>
      <c r="S2646">
        <v>12</v>
      </c>
      <c r="T2646">
        <f t="shared" si="41"/>
        <v>0</v>
      </c>
    </row>
    <row r="2647" spans="1:20">
      <c r="A2647" s="4">
        <v>45795</v>
      </c>
      <c r="B2647">
        <v>2025</v>
      </c>
      <c r="C2647">
        <v>5</v>
      </c>
      <c r="D2647" s="5" t="s">
        <v>66</v>
      </c>
      <c r="E2647" s="5" t="s">
        <v>67</v>
      </c>
      <c r="F2647" s="5" t="s">
        <v>68</v>
      </c>
      <c r="G2647" s="5" t="s">
        <v>69</v>
      </c>
      <c r="H2647" s="5" t="s">
        <v>80</v>
      </c>
      <c r="I2647" s="5" t="s">
        <v>81</v>
      </c>
      <c r="J2647" s="5" t="s">
        <v>41</v>
      </c>
      <c r="K2647">
        <v>16</v>
      </c>
      <c r="L2647">
        <v>520798</v>
      </c>
      <c r="M2647" s="26">
        <v>8332768</v>
      </c>
      <c r="N2647">
        <v>46385</v>
      </c>
      <c r="O2647" s="26">
        <v>775186.89</v>
      </c>
      <c r="P2647" s="5" t="s">
        <v>42</v>
      </c>
      <c r="Q2647" s="5" t="s">
        <v>51</v>
      </c>
      <c r="R2647">
        <v>4.0999999999999996</v>
      </c>
      <c r="S2647">
        <v>20</v>
      </c>
      <c r="T2647">
        <f t="shared" si="41"/>
        <v>1</v>
      </c>
    </row>
    <row r="2648" spans="1:20">
      <c r="A2648" s="4">
        <v>45802</v>
      </c>
      <c r="B2648">
        <v>2025</v>
      </c>
      <c r="C2648">
        <v>5</v>
      </c>
      <c r="D2648" s="5" t="s">
        <v>44</v>
      </c>
      <c r="E2648" s="5" t="s">
        <v>45</v>
      </c>
      <c r="F2648" s="5" t="s">
        <v>46</v>
      </c>
      <c r="G2648" s="5" t="s">
        <v>47</v>
      </c>
      <c r="H2648" s="5" t="s">
        <v>85</v>
      </c>
      <c r="I2648" s="5" t="s">
        <v>58</v>
      </c>
      <c r="J2648" s="5" t="s">
        <v>49</v>
      </c>
      <c r="K2648">
        <v>15</v>
      </c>
      <c r="L2648">
        <v>998094</v>
      </c>
      <c r="M2648" s="26">
        <v>14971410</v>
      </c>
      <c r="N2648">
        <v>22197</v>
      </c>
      <c r="O2648" s="26">
        <v>2181185.19</v>
      </c>
      <c r="P2648" s="5" t="s">
        <v>42</v>
      </c>
      <c r="Q2648" s="5" t="s">
        <v>75</v>
      </c>
      <c r="R2648">
        <v>3.9</v>
      </c>
      <c r="S2648">
        <v>9</v>
      </c>
      <c r="T2648">
        <f t="shared" si="41"/>
        <v>1</v>
      </c>
    </row>
    <row r="2649" spans="1:20">
      <c r="A2649" s="4">
        <v>45789</v>
      </c>
      <c r="B2649">
        <v>2025</v>
      </c>
      <c r="C2649">
        <v>5</v>
      </c>
      <c r="D2649" s="5" t="s">
        <v>35</v>
      </c>
      <c r="E2649" s="5" t="s">
        <v>36</v>
      </c>
      <c r="F2649" s="5" t="s">
        <v>37</v>
      </c>
      <c r="G2649" s="5" t="s">
        <v>38</v>
      </c>
      <c r="H2649" s="5" t="s">
        <v>74</v>
      </c>
      <c r="I2649" s="5" t="s">
        <v>40</v>
      </c>
      <c r="J2649" s="5" t="s">
        <v>49</v>
      </c>
      <c r="K2649">
        <v>59</v>
      </c>
      <c r="L2649">
        <v>664318</v>
      </c>
      <c r="M2649" s="26">
        <v>39194762</v>
      </c>
      <c r="N2649">
        <v>6642</v>
      </c>
      <c r="O2649" s="26">
        <v>4083224.97</v>
      </c>
      <c r="P2649" s="5" t="s">
        <v>42</v>
      </c>
      <c r="Q2649" s="5" t="s">
        <v>75</v>
      </c>
      <c r="R2649">
        <v>4.5</v>
      </c>
      <c r="S2649">
        <v>21</v>
      </c>
      <c r="T2649">
        <f t="shared" si="41"/>
        <v>1</v>
      </c>
    </row>
    <row r="2650" spans="1:20">
      <c r="A2650" s="4">
        <v>45799</v>
      </c>
      <c r="B2650">
        <v>2025</v>
      </c>
      <c r="C2650">
        <v>5</v>
      </c>
      <c r="D2650" s="5" t="s">
        <v>35</v>
      </c>
      <c r="E2650" s="5" t="s">
        <v>76</v>
      </c>
      <c r="F2650" s="5" t="s">
        <v>77</v>
      </c>
      <c r="G2650" s="5" t="s">
        <v>78</v>
      </c>
      <c r="H2650" s="5" t="s">
        <v>80</v>
      </c>
      <c r="I2650" s="5" t="s">
        <v>81</v>
      </c>
      <c r="J2650" s="5" t="s">
        <v>41</v>
      </c>
      <c r="K2650">
        <v>53</v>
      </c>
      <c r="L2650">
        <v>579777</v>
      </c>
      <c r="M2650" s="26">
        <v>30728181</v>
      </c>
      <c r="N2650">
        <v>9326</v>
      </c>
      <c r="O2650" s="26">
        <v>2536148.13</v>
      </c>
      <c r="P2650" s="5" t="s">
        <v>42</v>
      </c>
      <c r="Q2650" s="5" t="s">
        <v>43</v>
      </c>
      <c r="R2650">
        <v>4.3</v>
      </c>
      <c r="S2650">
        <v>15</v>
      </c>
      <c r="T2650">
        <f t="shared" si="41"/>
        <v>1</v>
      </c>
    </row>
    <row r="2651" spans="1:20">
      <c r="A2651" s="4">
        <v>45787</v>
      </c>
      <c r="B2651">
        <v>2025</v>
      </c>
      <c r="C2651">
        <v>5</v>
      </c>
      <c r="D2651" s="5" t="s">
        <v>54</v>
      </c>
      <c r="E2651" s="5" t="s">
        <v>55</v>
      </c>
      <c r="F2651" s="5" t="s">
        <v>55</v>
      </c>
      <c r="G2651" s="5" t="s">
        <v>56</v>
      </c>
      <c r="H2651" s="5" t="s">
        <v>65</v>
      </c>
      <c r="I2651" s="5" t="s">
        <v>53</v>
      </c>
      <c r="J2651" s="5" t="s">
        <v>49</v>
      </c>
      <c r="K2651">
        <v>18</v>
      </c>
      <c r="L2651">
        <v>1235000</v>
      </c>
      <c r="M2651" s="26">
        <v>22230000</v>
      </c>
      <c r="N2651">
        <v>31962</v>
      </c>
      <c r="O2651" s="26">
        <v>2162707.88</v>
      </c>
      <c r="P2651" s="5" t="s">
        <v>50</v>
      </c>
      <c r="Q2651" s="5" t="s">
        <v>75</v>
      </c>
      <c r="R2651">
        <v>4.9000000000000004</v>
      </c>
      <c r="S2651">
        <v>4</v>
      </c>
      <c r="T2651">
        <f t="shared" si="41"/>
        <v>0</v>
      </c>
    </row>
    <row r="2652" spans="1:20">
      <c r="A2652" s="4">
        <v>45826</v>
      </c>
      <c r="B2652">
        <v>2025</v>
      </c>
      <c r="C2652">
        <v>6</v>
      </c>
      <c r="D2652" s="5" t="s">
        <v>54</v>
      </c>
      <c r="E2652" s="5" t="s">
        <v>55</v>
      </c>
      <c r="F2652" s="5" t="s">
        <v>55</v>
      </c>
      <c r="G2652" s="5" t="s">
        <v>56</v>
      </c>
      <c r="H2652" s="5" t="s">
        <v>57</v>
      </c>
      <c r="I2652" s="5" t="s">
        <v>58</v>
      </c>
      <c r="J2652" s="5" t="s">
        <v>59</v>
      </c>
      <c r="K2652">
        <v>14</v>
      </c>
      <c r="L2652">
        <v>1398543</v>
      </c>
      <c r="M2652" s="26">
        <v>19579602</v>
      </c>
      <c r="N2652">
        <v>36896</v>
      </c>
      <c r="O2652" s="26">
        <v>2277180.23</v>
      </c>
      <c r="P2652" s="5" t="s">
        <v>50</v>
      </c>
      <c r="Q2652" s="5" t="s">
        <v>51</v>
      </c>
      <c r="R2652">
        <v>3.6</v>
      </c>
      <c r="S2652">
        <v>2</v>
      </c>
      <c r="T2652">
        <f t="shared" si="41"/>
        <v>0</v>
      </c>
    </row>
    <row r="2653" spans="1:20">
      <c r="A2653" s="4">
        <v>45830</v>
      </c>
      <c r="B2653">
        <v>2025</v>
      </c>
      <c r="C2653">
        <v>6</v>
      </c>
      <c r="D2653" s="5" t="s">
        <v>66</v>
      </c>
      <c r="E2653" s="5" t="s">
        <v>67</v>
      </c>
      <c r="F2653" s="5" t="s">
        <v>68</v>
      </c>
      <c r="G2653" s="5" t="s">
        <v>69</v>
      </c>
      <c r="H2653" s="5" t="s">
        <v>73</v>
      </c>
      <c r="I2653" s="5" t="s">
        <v>40</v>
      </c>
      <c r="J2653" s="5" t="s">
        <v>49</v>
      </c>
      <c r="K2653">
        <v>46</v>
      </c>
      <c r="L2653">
        <v>728451</v>
      </c>
      <c r="M2653" s="26">
        <v>33508746</v>
      </c>
      <c r="N2653">
        <v>13641</v>
      </c>
      <c r="O2653" s="26">
        <v>3270219.31</v>
      </c>
      <c r="P2653" s="5" t="s">
        <v>42</v>
      </c>
      <c r="Q2653" s="5" t="s">
        <v>43</v>
      </c>
      <c r="R2653">
        <v>3.6</v>
      </c>
      <c r="S2653">
        <v>13</v>
      </c>
      <c r="T2653">
        <f t="shared" si="41"/>
        <v>1</v>
      </c>
    </row>
    <row r="2654" spans="1:20">
      <c r="A2654" s="4">
        <v>45834</v>
      </c>
      <c r="B2654">
        <v>2025</v>
      </c>
      <c r="C2654">
        <v>6</v>
      </c>
      <c r="D2654" s="5" t="s">
        <v>35</v>
      </c>
      <c r="E2654" s="5" t="s">
        <v>76</v>
      </c>
      <c r="F2654" s="5" t="s">
        <v>77</v>
      </c>
      <c r="G2654" s="5" t="s">
        <v>78</v>
      </c>
      <c r="H2654" s="5" t="s">
        <v>48</v>
      </c>
      <c r="I2654" s="5" t="s">
        <v>40</v>
      </c>
      <c r="J2654" s="5" t="s">
        <v>49</v>
      </c>
      <c r="K2654">
        <v>30</v>
      </c>
      <c r="L2654">
        <v>453960</v>
      </c>
      <c r="M2654" s="26">
        <v>13618800</v>
      </c>
      <c r="N2654">
        <v>40213</v>
      </c>
      <c r="O2654" s="26">
        <v>1545789.84</v>
      </c>
      <c r="P2654" s="5" t="s">
        <v>42</v>
      </c>
      <c r="Q2654" s="5" t="s">
        <v>43</v>
      </c>
      <c r="R2654">
        <v>4.9000000000000004</v>
      </c>
      <c r="S2654">
        <v>16</v>
      </c>
      <c r="T2654">
        <f t="shared" si="41"/>
        <v>1</v>
      </c>
    </row>
    <row r="2655" spans="1:20">
      <c r="A2655" s="4">
        <v>45809</v>
      </c>
      <c r="B2655">
        <v>2025</v>
      </c>
      <c r="C2655">
        <v>6</v>
      </c>
      <c r="D2655" s="5" t="s">
        <v>66</v>
      </c>
      <c r="E2655" s="5" t="s">
        <v>67</v>
      </c>
      <c r="F2655" s="5" t="s">
        <v>68</v>
      </c>
      <c r="G2655" s="5" t="s">
        <v>69</v>
      </c>
      <c r="H2655" s="5" t="s">
        <v>63</v>
      </c>
      <c r="I2655" s="5" t="s">
        <v>64</v>
      </c>
      <c r="J2655" s="5" t="s">
        <v>41</v>
      </c>
      <c r="K2655">
        <v>38</v>
      </c>
      <c r="L2655">
        <v>738202</v>
      </c>
      <c r="M2655" s="26">
        <v>28051676</v>
      </c>
      <c r="N2655">
        <v>7877</v>
      </c>
      <c r="O2655" s="26">
        <v>3894687.9</v>
      </c>
      <c r="P2655" s="5" t="s">
        <v>42</v>
      </c>
      <c r="Q2655" s="5" t="s">
        <v>43</v>
      </c>
      <c r="R2655">
        <v>4.3</v>
      </c>
      <c r="S2655">
        <v>4</v>
      </c>
      <c r="T2655">
        <f t="shared" si="41"/>
        <v>1</v>
      </c>
    </row>
    <row r="2656" spans="1:20">
      <c r="A2656" s="4">
        <v>45823</v>
      </c>
      <c r="B2656">
        <v>2025</v>
      </c>
      <c r="C2656">
        <v>6</v>
      </c>
      <c r="D2656" s="5" t="s">
        <v>35</v>
      </c>
      <c r="E2656" s="5" t="s">
        <v>36</v>
      </c>
      <c r="F2656" s="5" t="s">
        <v>37</v>
      </c>
      <c r="G2656" s="5" t="s">
        <v>38</v>
      </c>
      <c r="H2656" s="5" t="s">
        <v>85</v>
      </c>
      <c r="I2656" s="5" t="s">
        <v>58</v>
      </c>
      <c r="J2656" s="5" t="s">
        <v>49</v>
      </c>
      <c r="K2656">
        <v>5</v>
      </c>
      <c r="L2656">
        <v>997480</v>
      </c>
      <c r="M2656" s="26">
        <v>4987400</v>
      </c>
      <c r="N2656">
        <v>5218</v>
      </c>
      <c r="O2656" s="26">
        <v>550504.4</v>
      </c>
      <c r="P2656" s="5" t="s">
        <v>50</v>
      </c>
      <c r="Q2656" s="5" t="s">
        <v>75</v>
      </c>
      <c r="R2656">
        <v>3.7</v>
      </c>
      <c r="S2656">
        <v>12</v>
      </c>
      <c r="T2656">
        <f t="shared" si="41"/>
        <v>0</v>
      </c>
    </row>
    <row r="2657" spans="1:20">
      <c r="A2657" s="4">
        <v>45812</v>
      </c>
      <c r="B2657">
        <v>2025</v>
      </c>
      <c r="C2657">
        <v>6</v>
      </c>
      <c r="D2657" s="5" t="s">
        <v>66</v>
      </c>
      <c r="E2657" s="5" t="s">
        <v>67</v>
      </c>
      <c r="F2657" s="5" t="s">
        <v>68</v>
      </c>
      <c r="G2657" s="5" t="s">
        <v>69</v>
      </c>
      <c r="H2657" s="5" t="s">
        <v>74</v>
      </c>
      <c r="I2657" s="5" t="s">
        <v>40</v>
      </c>
      <c r="J2657" s="5" t="s">
        <v>49</v>
      </c>
      <c r="K2657">
        <v>34</v>
      </c>
      <c r="L2657">
        <v>663852</v>
      </c>
      <c r="M2657" s="26">
        <v>22570968</v>
      </c>
      <c r="N2657">
        <v>10219</v>
      </c>
      <c r="O2657" s="26">
        <v>2158107.4300000002</v>
      </c>
      <c r="P2657" s="5" t="s">
        <v>42</v>
      </c>
      <c r="Q2657" s="5" t="s">
        <v>43</v>
      </c>
      <c r="R2657">
        <v>4.8</v>
      </c>
      <c r="S2657">
        <v>10</v>
      </c>
      <c r="T2657">
        <f t="shared" si="41"/>
        <v>1</v>
      </c>
    </row>
    <row r="2658" spans="1:20">
      <c r="A2658" s="4">
        <v>45815</v>
      </c>
      <c r="B2658">
        <v>2025</v>
      </c>
      <c r="C2658">
        <v>6</v>
      </c>
      <c r="D2658" s="5" t="s">
        <v>44</v>
      </c>
      <c r="E2658" s="5" t="s">
        <v>45</v>
      </c>
      <c r="F2658" s="5" t="s">
        <v>46</v>
      </c>
      <c r="G2658" s="5" t="s">
        <v>47</v>
      </c>
      <c r="H2658" s="5" t="s">
        <v>57</v>
      </c>
      <c r="I2658" s="5" t="s">
        <v>58</v>
      </c>
      <c r="J2658" s="5" t="s">
        <v>59</v>
      </c>
      <c r="K2658">
        <v>57</v>
      </c>
      <c r="L2658">
        <v>1376031</v>
      </c>
      <c r="M2658" s="26">
        <v>78433767</v>
      </c>
      <c r="N2658">
        <v>49085</v>
      </c>
      <c r="O2658" s="26">
        <v>10377010.42</v>
      </c>
      <c r="P2658" s="5" t="s">
        <v>50</v>
      </c>
      <c r="Q2658" s="5" t="s">
        <v>51</v>
      </c>
      <c r="R2658">
        <v>4.5999999999999996</v>
      </c>
      <c r="S2658">
        <v>9</v>
      </c>
      <c r="T2658">
        <f t="shared" si="41"/>
        <v>0</v>
      </c>
    </row>
    <row r="2659" spans="1:20">
      <c r="A2659" s="4">
        <v>45814</v>
      </c>
      <c r="B2659">
        <v>2025</v>
      </c>
      <c r="C2659">
        <v>6</v>
      </c>
      <c r="D2659" s="5" t="s">
        <v>44</v>
      </c>
      <c r="E2659" s="5" t="s">
        <v>45</v>
      </c>
      <c r="F2659" s="5" t="s">
        <v>46</v>
      </c>
      <c r="G2659" s="5" t="s">
        <v>47</v>
      </c>
      <c r="H2659" s="5" t="s">
        <v>86</v>
      </c>
      <c r="I2659" s="5" t="s">
        <v>40</v>
      </c>
      <c r="J2659" s="5" t="s">
        <v>41</v>
      </c>
      <c r="K2659">
        <v>52</v>
      </c>
      <c r="L2659">
        <v>588668</v>
      </c>
      <c r="M2659" s="26">
        <v>30610736</v>
      </c>
      <c r="N2659">
        <v>40077</v>
      </c>
      <c r="O2659" s="26">
        <v>4233927.51</v>
      </c>
      <c r="P2659" s="5" t="s">
        <v>50</v>
      </c>
      <c r="Q2659" s="5" t="s">
        <v>75</v>
      </c>
      <c r="R2659">
        <v>4.2</v>
      </c>
      <c r="S2659">
        <v>14</v>
      </c>
      <c r="T2659">
        <f t="shared" si="41"/>
        <v>0</v>
      </c>
    </row>
    <row r="2660" spans="1:20">
      <c r="A2660" s="4">
        <v>45828</v>
      </c>
      <c r="B2660">
        <v>2025</v>
      </c>
      <c r="C2660">
        <v>6</v>
      </c>
      <c r="D2660" s="5" t="s">
        <v>44</v>
      </c>
      <c r="E2660" s="5" t="s">
        <v>45</v>
      </c>
      <c r="F2660" s="5" t="s">
        <v>46</v>
      </c>
      <c r="G2660" s="5" t="s">
        <v>47</v>
      </c>
      <c r="H2660" s="5" t="s">
        <v>74</v>
      </c>
      <c r="I2660" s="5" t="s">
        <v>40</v>
      </c>
      <c r="J2660" s="5" t="s">
        <v>49</v>
      </c>
      <c r="K2660">
        <v>38</v>
      </c>
      <c r="L2660">
        <v>669791</v>
      </c>
      <c r="M2660" s="26">
        <v>25452058</v>
      </c>
      <c r="N2660">
        <v>30087</v>
      </c>
      <c r="O2660" s="26">
        <v>2922052.42</v>
      </c>
      <c r="P2660" s="5" t="s">
        <v>50</v>
      </c>
      <c r="Q2660" s="5" t="s">
        <v>75</v>
      </c>
      <c r="R2660">
        <v>3.6</v>
      </c>
      <c r="S2660">
        <v>9</v>
      </c>
      <c r="T2660">
        <f t="shared" si="41"/>
        <v>0</v>
      </c>
    </row>
    <row r="2661" spans="1:20">
      <c r="A2661" s="4">
        <v>45816</v>
      </c>
      <c r="B2661">
        <v>2025</v>
      </c>
      <c r="C2661">
        <v>6</v>
      </c>
      <c r="D2661" s="5" t="s">
        <v>44</v>
      </c>
      <c r="E2661" s="5" t="s">
        <v>82</v>
      </c>
      <c r="F2661" s="5" t="s">
        <v>83</v>
      </c>
      <c r="G2661" s="5" t="s">
        <v>84</v>
      </c>
      <c r="H2661" s="5" t="s">
        <v>74</v>
      </c>
      <c r="I2661" s="5" t="s">
        <v>40</v>
      </c>
      <c r="J2661" s="5" t="s">
        <v>49</v>
      </c>
      <c r="K2661">
        <v>42</v>
      </c>
      <c r="L2661">
        <v>636383</v>
      </c>
      <c r="M2661" s="26">
        <v>26728086</v>
      </c>
      <c r="N2661">
        <v>28311</v>
      </c>
      <c r="O2661" s="26">
        <v>3152038.96</v>
      </c>
      <c r="P2661" s="5" t="s">
        <v>42</v>
      </c>
      <c r="Q2661" s="5" t="s">
        <v>43</v>
      </c>
      <c r="R2661">
        <v>3.6</v>
      </c>
      <c r="S2661">
        <v>4</v>
      </c>
      <c r="T2661">
        <f t="shared" si="41"/>
        <v>1</v>
      </c>
    </row>
    <row r="2662" spans="1:20">
      <c r="A2662" s="4">
        <v>45832</v>
      </c>
      <c r="B2662">
        <v>2025</v>
      </c>
      <c r="C2662">
        <v>6</v>
      </c>
      <c r="D2662" s="5" t="s">
        <v>44</v>
      </c>
      <c r="E2662" s="5" t="s">
        <v>45</v>
      </c>
      <c r="F2662" s="5" t="s">
        <v>46</v>
      </c>
      <c r="G2662" s="5" t="s">
        <v>47</v>
      </c>
      <c r="H2662" s="5" t="s">
        <v>65</v>
      </c>
      <c r="I2662" s="5" t="s">
        <v>53</v>
      </c>
      <c r="J2662" s="5" t="s">
        <v>49</v>
      </c>
      <c r="K2662">
        <v>32</v>
      </c>
      <c r="L2662">
        <v>1224772</v>
      </c>
      <c r="M2662" s="26">
        <v>39192704</v>
      </c>
      <c r="N2662">
        <v>27235</v>
      </c>
      <c r="O2662" s="26">
        <v>3350993.8</v>
      </c>
      <c r="P2662" s="5" t="s">
        <v>50</v>
      </c>
      <c r="Q2662" s="5" t="s">
        <v>51</v>
      </c>
      <c r="R2662">
        <v>4.9000000000000004</v>
      </c>
      <c r="S2662">
        <v>10</v>
      </c>
      <c r="T2662">
        <f t="shared" si="41"/>
        <v>0</v>
      </c>
    </row>
    <row r="2663" spans="1:20">
      <c r="A2663" s="4">
        <v>45815</v>
      </c>
      <c r="B2663">
        <v>2025</v>
      </c>
      <c r="C2663">
        <v>6</v>
      </c>
      <c r="D2663" s="5" t="s">
        <v>35</v>
      </c>
      <c r="E2663" s="5" t="s">
        <v>76</v>
      </c>
      <c r="F2663" s="5" t="s">
        <v>77</v>
      </c>
      <c r="G2663" s="5" t="s">
        <v>78</v>
      </c>
      <c r="H2663" s="5" t="s">
        <v>52</v>
      </c>
      <c r="I2663" s="5" t="s">
        <v>53</v>
      </c>
      <c r="J2663" s="5" t="s">
        <v>41</v>
      </c>
      <c r="K2663">
        <v>24</v>
      </c>
      <c r="L2663">
        <v>959295</v>
      </c>
      <c r="M2663" s="26">
        <v>23023080</v>
      </c>
      <c r="N2663">
        <v>33432</v>
      </c>
      <c r="O2663" s="26">
        <v>3612370.36</v>
      </c>
      <c r="P2663" s="5" t="s">
        <v>42</v>
      </c>
      <c r="Q2663" s="5" t="s">
        <v>75</v>
      </c>
      <c r="R2663">
        <v>4.2</v>
      </c>
      <c r="S2663">
        <v>20</v>
      </c>
      <c r="T2663">
        <f t="shared" si="41"/>
        <v>1</v>
      </c>
    </row>
    <row r="2664" spans="1:20">
      <c r="A2664" s="4">
        <v>45835</v>
      </c>
      <c r="B2664">
        <v>2025</v>
      </c>
      <c r="C2664">
        <v>6</v>
      </c>
      <c r="D2664" s="5" t="s">
        <v>54</v>
      </c>
      <c r="E2664" s="5" t="s">
        <v>70</v>
      </c>
      <c r="F2664" s="5" t="s">
        <v>71</v>
      </c>
      <c r="G2664" s="5" t="s">
        <v>72</v>
      </c>
      <c r="H2664" s="5" t="s">
        <v>48</v>
      </c>
      <c r="I2664" s="5" t="s">
        <v>40</v>
      </c>
      <c r="J2664" s="5" t="s">
        <v>49</v>
      </c>
      <c r="K2664">
        <v>35</v>
      </c>
      <c r="L2664">
        <v>471575</v>
      </c>
      <c r="M2664" s="26">
        <v>16505125</v>
      </c>
      <c r="N2664">
        <v>42848</v>
      </c>
      <c r="O2664" s="26">
        <v>1986009.4</v>
      </c>
      <c r="P2664" s="5" t="s">
        <v>42</v>
      </c>
      <c r="Q2664" s="5" t="s">
        <v>43</v>
      </c>
      <c r="R2664">
        <v>4</v>
      </c>
      <c r="S2664">
        <v>12</v>
      </c>
      <c r="T2664">
        <f t="shared" si="41"/>
        <v>1</v>
      </c>
    </row>
    <row r="2665" spans="1:20">
      <c r="A2665" s="4">
        <v>45814</v>
      </c>
      <c r="B2665">
        <v>2025</v>
      </c>
      <c r="C2665">
        <v>6</v>
      </c>
      <c r="D2665" s="5" t="s">
        <v>44</v>
      </c>
      <c r="E2665" s="5" t="s">
        <v>82</v>
      </c>
      <c r="F2665" s="5" t="s">
        <v>83</v>
      </c>
      <c r="G2665" s="5" t="s">
        <v>84</v>
      </c>
      <c r="H2665" s="5" t="s">
        <v>73</v>
      </c>
      <c r="I2665" s="5" t="s">
        <v>40</v>
      </c>
      <c r="J2665" s="5" t="s">
        <v>49</v>
      </c>
      <c r="K2665">
        <v>54</v>
      </c>
      <c r="L2665">
        <v>738772</v>
      </c>
      <c r="M2665" s="26">
        <v>39893688</v>
      </c>
      <c r="N2665">
        <v>13033</v>
      </c>
      <c r="O2665" s="26">
        <v>5714486.96</v>
      </c>
      <c r="P2665" s="5" t="s">
        <v>50</v>
      </c>
      <c r="Q2665" s="5" t="s">
        <v>51</v>
      </c>
      <c r="R2665">
        <v>4.8</v>
      </c>
      <c r="S2665">
        <v>11</v>
      </c>
      <c r="T2665">
        <f t="shared" si="41"/>
        <v>0</v>
      </c>
    </row>
    <row r="2666" spans="1:20">
      <c r="A2666" s="4">
        <v>45809</v>
      </c>
      <c r="B2666">
        <v>2025</v>
      </c>
      <c r="C2666">
        <v>6</v>
      </c>
      <c r="D2666" s="5" t="s">
        <v>44</v>
      </c>
      <c r="E2666" s="5" t="s">
        <v>82</v>
      </c>
      <c r="F2666" s="5" t="s">
        <v>83</v>
      </c>
      <c r="G2666" s="5" t="s">
        <v>84</v>
      </c>
      <c r="H2666" s="5" t="s">
        <v>48</v>
      </c>
      <c r="I2666" s="5" t="s">
        <v>40</v>
      </c>
      <c r="J2666" s="5" t="s">
        <v>49</v>
      </c>
      <c r="K2666">
        <v>5</v>
      </c>
      <c r="L2666">
        <v>470315</v>
      </c>
      <c r="M2666" s="26">
        <v>2351575</v>
      </c>
      <c r="N2666">
        <v>22634</v>
      </c>
      <c r="O2666" s="26">
        <v>340539.12</v>
      </c>
      <c r="P2666" s="5" t="s">
        <v>42</v>
      </c>
      <c r="Q2666" s="5" t="s">
        <v>43</v>
      </c>
      <c r="R2666">
        <v>4.5</v>
      </c>
      <c r="S2666">
        <v>4</v>
      </c>
      <c r="T2666">
        <f t="shared" si="41"/>
        <v>1</v>
      </c>
    </row>
    <row r="2667" spans="1:20">
      <c r="A2667" s="4">
        <v>45834</v>
      </c>
      <c r="B2667">
        <v>2025</v>
      </c>
      <c r="C2667">
        <v>6</v>
      </c>
      <c r="D2667" s="5" t="s">
        <v>44</v>
      </c>
      <c r="E2667" s="5" t="s">
        <v>45</v>
      </c>
      <c r="F2667" s="5" t="s">
        <v>46</v>
      </c>
      <c r="G2667" s="5" t="s">
        <v>47</v>
      </c>
      <c r="H2667" s="5" t="s">
        <v>73</v>
      </c>
      <c r="I2667" s="5" t="s">
        <v>40</v>
      </c>
      <c r="J2667" s="5" t="s">
        <v>49</v>
      </c>
      <c r="K2667">
        <v>38</v>
      </c>
      <c r="L2667">
        <v>748987</v>
      </c>
      <c r="M2667" s="26">
        <v>28461506</v>
      </c>
      <c r="N2667">
        <v>6436</v>
      </c>
      <c r="O2667" s="26">
        <v>4544989.2300000004</v>
      </c>
      <c r="P2667" s="5" t="s">
        <v>42</v>
      </c>
      <c r="Q2667" s="5" t="s">
        <v>75</v>
      </c>
      <c r="R2667">
        <v>3.7</v>
      </c>
      <c r="S2667">
        <v>3</v>
      </c>
      <c r="T2667">
        <f t="shared" si="41"/>
        <v>1</v>
      </c>
    </row>
    <row r="2668" spans="1:20">
      <c r="A2668" s="4">
        <v>45819</v>
      </c>
      <c r="B2668">
        <v>2025</v>
      </c>
      <c r="C2668">
        <v>6</v>
      </c>
      <c r="D2668" s="5" t="s">
        <v>54</v>
      </c>
      <c r="E2668" s="5" t="s">
        <v>55</v>
      </c>
      <c r="F2668" s="5" t="s">
        <v>55</v>
      </c>
      <c r="G2668" s="5" t="s">
        <v>56</v>
      </c>
      <c r="H2668" s="5" t="s">
        <v>63</v>
      </c>
      <c r="I2668" s="5" t="s">
        <v>64</v>
      </c>
      <c r="J2668" s="5" t="s">
        <v>41</v>
      </c>
      <c r="K2668">
        <v>9</v>
      </c>
      <c r="L2668">
        <v>744661</v>
      </c>
      <c r="M2668" s="26">
        <v>6701949</v>
      </c>
      <c r="N2668">
        <v>30432</v>
      </c>
      <c r="O2668" s="26">
        <v>581648.65</v>
      </c>
      <c r="P2668" s="5" t="s">
        <v>42</v>
      </c>
      <c r="Q2668" s="5" t="s">
        <v>51</v>
      </c>
      <c r="R2668">
        <v>3.6</v>
      </c>
      <c r="S2668">
        <v>21</v>
      </c>
      <c r="T2668">
        <f t="shared" si="41"/>
        <v>1</v>
      </c>
    </row>
    <row r="2669" spans="1:20">
      <c r="A2669" s="4">
        <v>45826</v>
      </c>
      <c r="B2669">
        <v>2025</v>
      </c>
      <c r="C2669">
        <v>6</v>
      </c>
      <c r="D2669" s="5" t="s">
        <v>54</v>
      </c>
      <c r="E2669" s="5" t="s">
        <v>55</v>
      </c>
      <c r="F2669" s="5" t="s">
        <v>55</v>
      </c>
      <c r="G2669" s="5" t="s">
        <v>56</v>
      </c>
      <c r="H2669" s="5" t="s">
        <v>73</v>
      </c>
      <c r="I2669" s="5" t="s">
        <v>40</v>
      </c>
      <c r="J2669" s="5" t="s">
        <v>49</v>
      </c>
      <c r="K2669">
        <v>39</v>
      </c>
      <c r="L2669">
        <v>745951</v>
      </c>
      <c r="M2669" s="26">
        <v>29092089</v>
      </c>
      <c r="N2669">
        <v>17429</v>
      </c>
      <c r="O2669" s="26">
        <v>2734064.27</v>
      </c>
      <c r="P2669" s="5" t="s">
        <v>50</v>
      </c>
      <c r="Q2669" s="5" t="s">
        <v>75</v>
      </c>
      <c r="R2669">
        <v>4.2</v>
      </c>
      <c r="S2669">
        <v>4</v>
      </c>
      <c r="T2669">
        <f t="shared" si="41"/>
        <v>0</v>
      </c>
    </row>
    <row r="2670" spans="1:20">
      <c r="A2670" s="4">
        <v>45822</v>
      </c>
      <c r="B2670">
        <v>2025</v>
      </c>
      <c r="C2670">
        <v>6</v>
      </c>
      <c r="D2670" s="5" t="s">
        <v>35</v>
      </c>
      <c r="E2670" s="5" t="s">
        <v>60</v>
      </c>
      <c r="F2670" s="5" t="s">
        <v>61</v>
      </c>
      <c r="G2670" s="5" t="s">
        <v>62</v>
      </c>
      <c r="H2670" s="5" t="s">
        <v>86</v>
      </c>
      <c r="I2670" s="5" t="s">
        <v>40</v>
      </c>
      <c r="J2670" s="5" t="s">
        <v>41</v>
      </c>
      <c r="K2670">
        <v>11</v>
      </c>
      <c r="L2670">
        <v>619707</v>
      </c>
      <c r="M2670" s="26">
        <v>6816777</v>
      </c>
      <c r="N2670">
        <v>6717</v>
      </c>
      <c r="O2670" s="26">
        <v>1055147.06</v>
      </c>
      <c r="P2670" s="5" t="s">
        <v>42</v>
      </c>
      <c r="Q2670" s="5" t="s">
        <v>51</v>
      </c>
      <c r="R2670">
        <v>4.7</v>
      </c>
      <c r="S2670">
        <v>21</v>
      </c>
      <c r="T2670">
        <f t="shared" si="41"/>
        <v>1</v>
      </c>
    </row>
    <row r="2671" spans="1:20">
      <c r="A2671" s="4">
        <v>45811</v>
      </c>
      <c r="B2671">
        <v>2025</v>
      </c>
      <c r="C2671">
        <v>6</v>
      </c>
      <c r="D2671" s="5" t="s">
        <v>35</v>
      </c>
      <c r="E2671" s="5" t="s">
        <v>36</v>
      </c>
      <c r="F2671" s="5" t="s">
        <v>37</v>
      </c>
      <c r="G2671" s="5" t="s">
        <v>38</v>
      </c>
      <c r="H2671" s="5" t="s">
        <v>80</v>
      </c>
      <c r="I2671" s="5" t="s">
        <v>81</v>
      </c>
      <c r="J2671" s="5" t="s">
        <v>41</v>
      </c>
      <c r="K2671">
        <v>16</v>
      </c>
      <c r="L2671">
        <v>558516</v>
      </c>
      <c r="M2671" s="26">
        <v>8936256</v>
      </c>
      <c r="N2671">
        <v>21414</v>
      </c>
      <c r="O2671" s="26">
        <v>1081437.97</v>
      </c>
      <c r="P2671" s="5" t="s">
        <v>50</v>
      </c>
      <c r="Q2671" s="5" t="s">
        <v>51</v>
      </c>
      <c r="R2671">
        <v>4.3</v>
      </c>
      <c r="S2671">
        <v>6</v>
      </c>
      <c r="T2671">
        <f t="shared" si="41"/>
        <v>0</v>
      </c>
    </row>
    <row r="2672" spans="1:20">
      <c r="A2672" s="4">
        <v>45828</v>
      </c>
      <c r="B2672">
        <v>2025</v>
      </c>
      <c r="C2672">
        <v>6</v>
      </c>
      <c r="D2672" s="5" t="s">
        <v>35</v>
      </c>
      <c r="E2672" s="5" t="s">
        <v>36</v>
      </c>
      <c r="F2672" s="5" t="s">
        <v>37</v>
      </c>
      <c r="G2672" s="5" t="s">
        <v>38</v>
      </c>
      <c r="H2672" s="5" t="s">
        <v>79</v>
      </c>
      <c r="I2672" s="5" t="s">
        <v>58</v>
      </c>
      <c r="J2672" s="5" t="s">
        <v>49</v>
      </c>
      <c r="K2672">
        <v>27</v>
      </c>
      <c r="L2672">
        <v>876534</v>
      </c>
      <c r="M2672" s="26">
        <v>23666418</v>
      </c>
      <c r="N2672">
        <v>35077</v>
      </c>
      <c r="O2672" s="26">
        <v>2082137.48</v>
      </c>
      <c r="P2672" s="5" t="s">
        <v>50</v>
      </c>
      <c r="Q2672" s="5" t="s">
        <v>43</v>
      </c>
      <c r="R2672">
        <v>4.2</v>
      </c>
      <c r="S2672">
        <v>18</v>
      </c>
      <c r="T2672">
        <f t="shared" si="41"/>
        <v>0</v>
      </c>
    </row>
    <row r="2673" spans="1:20">
      <c r="A2673" s="4">
        <v>45818</v>
      </c>
      <c r="B2673">
        <v>2025</v>
      </c>
      <c r="C2673">
        <v>6</v>
      </c>
      <c r="D2673" s="5" t="s">
        <v>54</v>
      </c>
      <c r="E2673" s="5" t="s">
        <v>55</v>
      </c>
      <c r="F2673" s="5" t="s">
        <v>55</v>
      </c>
      <c r="G2673" s="5" t="s">
        <v>56</v>
      </c>
      <c r="H2673" s="5" t="s">
        <v>79</v>
      </c>
      <c r="I2673" s="5" t="s">
        <v>58</v>
      </c>
      <c r="J2673" s="5" t="s">
        <v>49</v>
      </c>
      <c r="K2673">
        <v>39</v>
      </c>
      <c r="L2673">
        <v>900924</v>
      </c>
      <c r="M2673" s="26">
        <v>35136036</v>
      </c>
      <c r="N2673">
        <v>33564</v>
      </c>
      <c r="O2673" s="26">
        <v>3864896.52</v>
      </c>
      <c r="P2673" s="5" t="s">
        <v>50</v>
      </c>
      <c r="Q2673" s="5" t="s">
        <v>43</v>
      </c>
      <c r="R2673">
        <v>4.3</v>
      </c>
      <c r="S2673">
        <v>18</v>
      </c>
      <c r="T2673">
        <f t="shared" si="41"/>
        <v>0</v>
      </c>
    </row>
    <row r="2674" spans="1:20">
      <c r="A2674" s="4">
        <v>45818</v>
      </c>
      <c r="B2674">
        <v>2025</v>
      </c>
      <c r="C2674">
        <v>6</v>
      </c>
      <c r="D2674" s="5" t="s">
        <v>66</v>
      </c>
      <c r="E2674" s="5" t="s">
        <v>67</v>
      </c>
      <c r="F2674" s="5" t="s">
        <v>68</v>
      </c>
      <c r="G2674" s="5" t="s">
        <v>69</v>
      </c>
      <c r="H2674" s="5" t="s">
        <v>48</v>
      </c>
      <c r="I2674" s="5" t="s">
        <v>40</v>
      </c>
      <c r="J2674" s="5" t="s">
        <v>49</v>
      </c>
      <c r="K2674">
        <v>26</v>
      </c>
      <c r="L2674">
        <v>473194</v>
      </c>
      <c r="M2674" s="26">
        <v>12303044</v>
      </c>
      <c r="N2674">
        <v>22000</v>
      </c>
      <c r="O2674" s="26">
        <v>1071278.6599999999</v>
      </c>
      <c r="P2674" s="5" t="s">
        <v>50</v>
      </c>
      <c r="Q2674" s="5" t="s">
        <v>43</v>
      </c>
      <c r="R2674">
        <v>3.6</v>
      </c>
      <c r="S2674">
        <v>7</v>
      </c>
      <c r="T2674">
        <f t="shared" si="41"/>
        <v>0</v>
      </c>
    </row>
    <row r="2675" spans="1:20">
      <c r="A2675" s="4">
        <v>45810</v>
      </c>
      <c r="B2675">
        <v>2025</v>
      </c>
      <c r="C2675">
        <v>6</v>
      </c>
      <c r="D2675" s="5" t="s">
        <v>66</v>
      </c>
      <c r="E2675" s="5" t="s">
        <v>67</v>
      </c>
      <c r="F2675" s="5" t="s">
        <v>68</v>
      </c>
      <c r="G2675" s="5" t="s">
        <v>69</v>
      </c>
      <c r="H2675" s="5" t="s">
        <v>73</v>
      </c>
      <c r="I2675" s="5" t="s">
        <v>40</v>
      </c>
      <c r="J2675" s="5" t="s">
        <v>49</v>
      </c>
      <c r="K2675">
        <v>36</v>
      </c>
      <c r="L2675">
        <v>727780</v>
      </c>
      <c r="M2675" s="26">
        <v>26200080</v>
      </c>
      <c r="N2675">
        <v>26500</v>
      </c>
      <c r="O2675" s="26">
        <v>2844274.9</v>
      </c>
      <c r="P2675" s="5" t="s">
        <v>42</v>
      </c>
      <c r="Q2675" s="5" t="s">
        <v>43</v>
      </c>
      <c r="R2675">
        <v>4.3</v>
      </c>
      <c r="S2675">
        <v>20</v>
      </c>
      <c r="T2675">
        <f t="shared" si="41"/>
        <v>1</v>
      </c>
    </row>
    <row r="2676" spans="1:20">
      <c r="A2676" s="4">
        <v>45828</v>
      </c>
      <c r="B2676">
        <v>2025</v>
      </c>
      <c r="C2676">
        <v>6</v>
      </c>
      <c r="D2676" s="5" t="s">
        <v>66</v>
      </c>
      <c r="E2676" s="5" t="s">
        <v>67</v>
      </c>
      <c r="F2676" s="5" t="s">
        <v>68</v>
      </c>
      <c r="G2676" s="5" t="s">
        <v>69</v>
      </c>
      <c r="H2676" s="5" t="s">
        <v>52</v>
      </c>
      <c r="I2676" s="5" t="s">
        <v>53</v>
      </c>
      <c r="J2676" s="5" t="s">
        <v>41</v>
      </c>
      <c r="K2676">
        <v>30</v>
      </c>
      <c r="L2676">
        <v>968770</v>
      </c>
      <c r="M2676" s="26">
        <v>29063100</v>
      </c>
      <c r="N2676">
        <v>30582</v>
      </c>
      <c r="O2676" s="26">
        <v>2754948.42</v>
      </c>
      <c r="P2676" s="5" t="s">
        <v>42</v>
      </c>
      <c r="Q2676" s="5" t="s">
        <v>43</v>
      </c>
      <c r="R2676">
        <v>4.7</v>
      </c>
      <c r="S2676">
        <v>14</v>
      </c>
      <c r="T2676">
        <f t="shared" si="41"/>
        <v>1</v>
      </c>
    </row>
    <row r="2677" spans="1:20">
      <c r="A2677" s="4">
        <v>45823</v>
      </c>
      <c r="B2677">
        <v>2025</v>
      </c>
      <c r="C2677">
        <v>6</v>
      </c>
      <c r="D2677" s="5" t="s">
        <v>35</v>
      </c>
      <c r="E2677" s="5" t="s">
        <v>60</v>
      </c>
      <c r="F2677" s="5" t="s">
        <v>61</v>
      </c>
      <c r="G2677" s="5" t="s">
        <v>62</v>
      </c>
      <c r="H2677" s="5" t="s">
        <v>65</v>
      </c>
      <c r="I2677" s="5" t="s">
        <v>53</v>
      </c>
      <c r="J2677" s="5" t="s">
        <v>49</v>
      </c>
      <c r="K2677">
        <v>46</v>
      </c>
      <c r="L2677">
        <v>1231811</v>
      </c>
      <c r="M2677" s="26">
        <v>56663306</v>
      </c>
      <c r="N2677">
        <v>37072</v>
      </c>
      <c r="O2677" s="26">
        <v>7182195.6500000004</v>
      </c>
      <c r="P2677" s="5" t="s">
        <v>50</v>
      </c>
      <c r="Q2677" s="5" t="s">
        <v>51</v>
      </c>
      <c r="R2677">
        <v>4.8</v>
      </c>
      <c r="S2677">
        <v>11</v>
      </c>
      <c r="T2677">
        <f t="shared" si="41"/>
        <v>0</v>
      </c>
    </row>
    <row r="2678" spans="1:20">
      <c r="A2678" s="4">
        <v>45815</v>
      </c>
      <c r="B2678">
        <v>2025</v>
      </c>
      <c r="C2678">
        <v>6</v>
      </c>
      <c r="D2678" s="5" t="s">
        <v>35</v>
      </c>
      <c r="E2678" s="5" t="s">
        <v>60</v>
      </c>
      <c r="F2678" s="5" t="s">
        <v>61</v>
      </c>
      <c r="G2678" s="5" t="s">
        <v>62</v>
      </c>
      <c r="H2678" s="5" t="s">
        <v>48</v>
      </c>
      <c r="I2678" s="5" t="s">
        <v>40</v>
      </c>
      <c r="J2678" s="5" t="s">
        <v>49</v>
      </c>
      <c r="K2678">
        <v>40</v>
      </c>
      <c r="L2678">
        <v>470429</v>
      </c>
      <c r="M2678" s="26">
        <v>18817160</v>
      </c>
      <c r="N2678">
        <v>13436</v>
      </c>
      <c r="O2678" s="26">
        <v>2679207.37</v>
      </c>
      <c r="P2678" s="5" t="s">
        <v>42</v>
      </c>
      <c r="Q2678" s="5" t="s">
        <v>43</v>
      </c>
      <c r="R2678">
        <v>4.5999999999999996</v>
      </c>
      <c r="S2678">
        <v>11</v>
      </c>
      <c r="T2678">
        <f t="shared" si="41"/>
        <v>1</v>
      </c>
    </row>
    <row r="2679" spans="1:20">
      <c r="A2679" s="4">
        <v>45815</v>
      </c>
      <c r="B2679">
        <v>2025</v>
      </c>
      <c r="C2679">
        <v>6</v>
      </c>
      <c r="D2679" s="5" t="s">
        <v>35</v>
      </c>
      <c r="E2679" s="5" t="s">
        <v>36</v>
      </c>
      <c r="F2679" s="5" t="s">
        <v>37</v>
      </c>
      <c r="G2679" s="5" t="s">
        <v>38</v>
      </c>
      <c r="H2679" s="5" t="s">
        <v>74</v>
      </c>
      <c r="I2679" s="5" t="s">
        <v>40</v>
      </c>
      <c r="J2679" s="5" t="s">
        <v>49</v>
      </c>
      <c r="K2679">
        <v>34</v>
      </c>
      <c r="L2679">
        <v>678012</v>
      </c>
      <c r="M2679" s="26">
        <v>23052408</v>
      </c>
      <c r="N2679">
        <v>26012</v>
      </c>
      <c r="O2679" s="26">
        <v>2409421.5499999998</v>
      </c>
      <c r="P2679" s="5" t="s">
        <v>42</v>
      </c>
      <c r="Q2679" s="5" t="s">
        <v>43</v>
      </c>
      <c r="R2679">
        <v>3.5</v>
      </c>
      <c r="S2679">
        <v>8</v>
      </c>
      <c r="T2679">
        <f t="shared" si="41"/>
        <v>1</v>
      </c>
    </row>
    <row r="2680" spans="1:20">
      <c r="A2680" s="4">
        <v>45812</v>
      </c>
      <c r="B2680">
        <v>2025</v>
      </c>
      <c r="C2680">
        <v>6</v>
      </c>
      <c r="D2680" s="5" t="s">
        <v>35</v>
      </c>
      <c r="E2680" s="5" t="s">
        <v>60</v>
      </c>
      <c r="F2680" s="5" t="s">
        <v>61</v>
      </c>
      <c r="G2680" s="5" t="s">
        <v>62</v>
      </c>
      <c r="H2680" s="5" t="s">
        <v>48</v>
      </c>
      <c r="I2680" s="5" t="s">
        <v>40</v>
      </c>
      <c r="J2680" s="5" t="s">
        <v>49</v>
      </c>
      <c r="K2680">
        <v>14</v>
      </c>
      <c r="L2680">
        <v>429422</v>
      </c>
      <c r="M2680" s="26">
        <v>6011908</v>
      </c>
      <c r="N2680">
        <v>11405</v>
      </c>
      <c r="O2680" s="26">
        <v>894856.41</v>
      </c>
      <c r="P2680" s="5" t="s">
        <v>42</v>
      </c>
      <c r="Q2680" s="5" t="s">
        <v>51</v>
      </c>
      <c r="R2680">
        <v>4.8</v>
      </c>
      <c r="S2680">
        <v>19</v>
      </c>
      <c r="T2680">
        <f t="shared" si="41"/>
        <v>1</v>
      </c>
    </row>
    <row r="2681" spans="1:20">
      <c r="A2681" s="4">
        <v>45826</v>
      </c>
      <c r="B2681">
        <v>2025</v>
      </c>
      <c r="C2681">
        <v>6</v>
      </c>
      <c r="D2681" s="5" t="s">
        <v>54</v>
      </c>
      <c r="E2681" s="5" t="s">
        <v>70</v>
      </c>
      <c r="F2681" s="5" t="s">
        <v>71</v>
      </c>
      <c r="G2681" s="5" t="s">
        <v>72</v>
      </c>
      <c r="H2681" s="5" t="s">
        <v>57</v>
      </c>
      <c r="I2681" s="5" t="s">
        <v>58</v>
      </c>
      <c r="J2681" s="5" t="s">
        <v>59</v>
      </c>
      <c r="K2681">
        <v>12</v>
      </c>
      <c r="L2681">
        <v>1386500</v>
      </c>
      <c r="M2681" s="26">
        <v>16638000</v>
      </c>
      <c r="N2681">
        <v>26150</v>
      </c>
      <c r="O2681" s="26">
        <v>1512091.18</v>
      </c>
      <c r="P2681" s="5" t="s">
        <v>42</v>
      </c>
      <c r="Q2681" s="5" t="s">
        <v>75</v>
      </c>
      <c r="R2681">
        <v>4</v>
      </c>
      <c r="S2681">
        <v>8</v>
      </c>
      <c r="T2681">
        <f t="shared" si="41"/>
        <v>1</v>
      </c>
    </row>
    <row r="2682" spans="1:20">
      <c r="A2682" s="4">
        <v>45825</v>
      </c>
      <c r="B2682">
        <v>2025</v>
      </c>
      <c r="C2682">
        <v>6</v>
      </c>
      <c r="D2682" s="5" t="s">
        <v>54</v>
      </c>
      <c r="E2682" s="5" t="s">
        <v>70</v>
      </c>
      <c r="F2682" s="5" t="s">
        <v>71</v>
      </c>
      <c r="G2682" s="5" t="s">
        <v>72</v>
      </c>
      <c r="H2682" s="5" t="s">
        <v>39</v>
      </c>
      <c r="I2682" s="5" t="s">
        <v>40</v>
      </c>
      <c r="J2682" s="5" t="s">
        <v>41</v>
      </c>
      <c r="K2682">
        <v>8</v>
      </c>
      <c r="L2682">
        <v>569492</v>
      </c>
      <c r="M2682" s="26">
        <v>4555936</v>
      </c>
      <c r="N2682">
        <v>28553</v>
      </c>
      <c r="O2682" s="26">
        <v>683211.79</v>
      </c>
      <c r="P2682" s="5" t="s">
        <v>50</v>
      </c>
      <c r="Q2682" s="5" t="s">
        <v>43</v>
      </c>
      <c r="R2682">
        <v>4.5</v>
      </c>
      <c r="S2682">
        <v>13</v>
      </c>
      <c r="T2682">
        <f t="shared" si="41"/>
        <v>0</v>
      </c>
    </row>
    <row r="2683" spans="1:20">
      <c r="A2683" s="4">
        <v>45829</v>
      </c>
      <c r="B2683">
        <v>2025</v>
      </c>
      <c r="C2683">
        <v>6</v>
      </c>
      <c r="D2683" s="5" t="s">
        <v>54</v>
      </c>
      <c r="E2683" s="5" t="s">
        <v>70</v>
      </c>
      <c r="F2683" s="5" t="s">
        <v>71</v>
      </c>
      <c r="G2683" s="5" t="s">
        <v>72</v>
      </c>
      <c r="H2683" s="5" t="s">
        <v>85</v>
      </c>
      <c r="I2683" s="5" t="s">
        <v>58</v>
      </c>
      <c r="J2683" s="5" t="s">
        <v>49</v>
      </c>
      <c r="K2683">
        <v>43</v>
      </c>
      <c r="L2683">
        <v>962652</v>
      </c>
      <c r="M2683" s="26">
        <v>41394036</v>
      </c>
      <c r="N2683">
        <v>36128</v>
      </c>
      <c r="O2683" s="26">
        <v>4235628.93</v>
      </c>
      <c r="P2683" s="5" t="s">
        <v>50</v>
      </c>
      <c r="Q2683" s="5" t="s">
        <v>75</v>
      </c>
      <c r="R2683">
        <v>3.8</v>
      </c>
      <c r="S2683">
        <v>21</v>
      </c>
      <c r="T2683">
        <f t="shared" si="41"/>
        <v>0</v>
      </c>
    </row>
    <row r="2684" spans="1:20">
      <c r="A2684" s="4">
        <v>45809</v>
      </c>
      <c r="B2684">
        <v>2025</v>
      </c>
      <c r="C2684">
        <v>6</v>
      </c>
      <c r="D2684" s="5" t="s">
        <v>35</v>
      </c>
      <c r="E2684" s="5" t="s">
        <v>76</v>
      </c>
      <c r="F2684" s="5" t="s">
        <v>77</v>
      </c>
      <c r="G2684" s="5" t="s">
        <v>78</v>
      </c>
      <c r="H2684" s="5" t="s">
        <v>85</v>
      </c>
      <c r="I2684" s="5" t="s">
        <v>58</v>
      </c>
      <c r="J2684" s="5" t="s">
        <v>49</v>
      </c>
      <c r="K2684">
        <v>30</v>
      </c>
      <c r="L2684">
        <v>990314</v>
      </c>
      <c r="M2684" s="26">
        <v>29709420</v>
      </c>
      <c r="N2684">
        <v>9482</v>
      </c>
      <c r="O2684" s="26">
        <v>4660873.93</v>
      </c>
      <c r="P2684" s="5" t="s">
        <v>50</v>
      </c>
      <c r="Q2684" s="5" t="s">
        <v>51</v>
      </c>
      <c r="R2684">
        <v>3.6</v>
      </c>
      <c r="S2684">
        <v>3</v>
      </c>
      <c r="T2684">
        <f t="shared" si="41"/>
        <v>0</v>
      </c>
    </row>
    <row r="2685" spans="1:20">
      <c r="A2685" s="4">
        <v>45821</v>
      </c>
      <c r="B2685">
        <v>2025</v>
      </c>
      <c r="C2685">
        <v>6</v>
      </c>
      <c r="D2685" s="5" t="s">
        <v>35</v>
      </c>
      <c r="E2685" s="5" t="s">
        <v>60</v>
      </c>
      <c r="F2685" s="5" t="s">
        <v>61</v>
      </c>
      <c r="G2685" s="5" t="s">
        <v>62</v>
      </c>
      <c r="H2685" s="5" t="s">
        <v>65</v>
      </c>
      <c r="I2685" s="5" t="s">
        <v>53</v>
      </c>
      <c r="J2685" s="5" t="s">
        <v>49</v>
      </c>
      <c r="K2685">
        <v>57</v>
      </c>
      <c r="L2685">
        <v>1254510</v>
      </c>
      <c r="M2685" s="26">
        <v>71507070</v>
      </c>
      <c r="N2685">
        <v>18969</v>
      </c>
      <c r="O2685" s="26">
        <v>6110075.8200000003</v>
      </c>
      <c r="P2685" s="5" t="s">
        <v>42</v>
      </c>
      <c r="Q2685" s="5" t="s">
        <v>43</v>
      </c>
      <c r="R2685">
        <v>3.6</v>
      </c>
      <c r="S2685">
        <v>8</v>
      </c>
      <c r="T2685">
        <f t="shared" si="41"/>
        <v>1</v>
      </c>
    </row>
    <row r="2686" spans="1:20">
      <c r="A2686" s="4">
        <v>45812</v>
      </c>
      <c r="B2686">
        <v>2025</v>
      </c>
      <c r="C2686">
        <v>6</v>
      </c>
      <c r="D2686" s="5" t="s">
        <v>54</v>
      </c>
      <c r="E2686" s="5" t="s">
        <v>55</v>
      </c>
      <c r="F2686" s="5" t="s">
        <v>55</v>
      </c>
      <c r="G2686" s="5" t="s">
        <v>56</v>
      </c>
      <c r="H2686" s="5" t="s">
        <v>86</v>
      </c>
      <c r="I2686" s="5" t="s">
        <v>40</v>
      </c>
      <c r="J2686" s="5" t="s">
        <v>41</v>
      </c>
      <c r="K2686">
        <v>59</v>
      </c>
      <c r="L2686">
        <v>609209</v>
      </c>
      <c r="M2686" s="26">
        <v>35943331</v>
      </c>
      <c r="N2686">
        <v>28743</v>
      </c>
      <c r="O2686" s="26">
        <v>4831781.5599999996</v>
      </c>
      <c r="P2686" s="5" t="s">
        <v>42</v>
      </c>
      <c r="Q2686" s="5" t="s">
        <v>75</v>
      </c>
      <c r="R2686">
        <v>3.7</v>
      </c>
      <c r="S2686">
        <v>7</v>
      </c>
      <c r="T2686">
        <f t="shared" si="41"/>
        <v>1</v>
      </c>
    </row>
    <row r="2687" spans="1:20">
      <c r="A2687" s="4">
        <v>45823</v>
      </c>
      <c r="B2687">
        <v>2025</v>
      </c>
      <c r="C2687">
        <v>6</v>
      </c>
      <c r="D2687" s="5" t="s">
        <v>54</v>
      </c>
      <c r="E2687" s="5" t="s">
        <v>55</v>
      </c>
      <c r="F2687" s="5" t="s">
        <v>55</v>
      </c>
      <c r="G2687" s="5" t="s">
        <v>56</v>
      </c>
      <c r="H2687" s="5" t="s">
        <v>79</v>
      </c>
      <c r="I2687" s="5" t="s">
        <v>58</v>
      </c>
      <c r="J2687" s="5" t="s">
        <v>49</v>
      </c>
      <c r="K2687">
        <v>29</v>
      </c>
      <c r="L2687">
        <v>920415</v>
      </c>
      <c r="M2687" s="26">
        <v>26692035</v>
      </c>
      <c r="N2687">
        <v>36255</v>
      </c>
      <c r="O2687" s="26">
        <v>2457018.81</v>
      </c>
      <c r="P2687" s="5" t="s">
        <v>50</v>
      </c>
      <c r="Q2687" s="5" t="s">
        <v>51</v>
      </c>
      <c r="R2687">
        <v>4</v>
      </c>
      <c r="S2687">
        <v>20</v>
      </c>
      <c r="T2687">
        <f t="shared" si="41"/>
        <v>0</v>
      </c>
    </row>
    <row r="2688" spans="1:20">
      <c r="A2688" s="4">
        <v>45836</v>
      </c>
      <c r="B2688">
        <v>2025</v>
      </c>
      <c r="C2688">
        <v>6</v>
      </c>
      <c r="D2688" s="5" t="s">
        <v>44</v>
      </c>
      <c r="E2688" s="5" t="s">
        <v>45</v>
      </c>
      <c r="F2688" s="5" t="s">
        <v>46</v>
      </c>
      <c r="G2688" s="5" t="s">
        <v>47</v>
      </c>
      <c r="H2688" s="5" t="s">
        <v>57</v>
      </c>
      <c r="I2688" s="5" t="s">
        <v>58</v>
      </c>
      <c r="J2688" s="5" t="s">
        <v>59</v>
      </c>
      <c r="K2688">
        <v>7</v>
      </c>
      <c r="L2688">
        <v>1387154</v>
      </c>
      <c r="M2688" s="26">
        <v>9710078</v>
      </c>
      <c r="N2688">
        <v>11200</v>
      </c>
      <c r="O2688" s="26">
        <v>1107395.45</v>
      </c>
      <c r="P2688" s="5" t="s">
        <v>50</v>
      </c>
      <c r="Q2688" s="5" t="s">
        <v>75</v>
      </c>
      <c r="R2688">
        <v>4.5999999999999996</v>
      </c>
      <c r="S2688">
        <v>11</v>
      </c>
      <c r="T2688">
        <f t="shared" si="41"/>
        <v>0</v>
      </c>
    </row>
    <row r="2689" spans="1:20">
      <c r="A2689" s="4">
        <v>45832</v>
      </c>
      <c r="B2689">
        <v>2025</v>
      </c>
      <c r="C2689">
        <v>6</v>
      </c>
      <c r="D2689" s="5" t="s">
        <v>35</v>
      </c>
      <c r="E2689" s="5" t="s">
        <v>60</v>
      </c>
      <c r="F2689" s="5" t="s">
        <v>61</v>
      </c>
      <c r="G2689" s="5" t="s">
        <v>62</v>
      </c>
      <c r="H2689" s="5" t="s">
        <v>57</v>
      </c>
      <c r="I2689" s="5" t="s">
        <v>58</v>
      </c>
      <c r="J2689" s="5" t="s">
        <v>59</v>
      </c>
      <c r="K2689">
        <v>18</v>
      </c>
      <c r="L2689">
        <v>1398740</v>
      </c>
      <c r="M2689" s="26">
        <v>25177320</v>
      </c>
      <c r="N2689">
        <v>6767</v>
      </c>
      <c r="O2689" s="26">
        <v>2518577.5299999998</v>
      </c>
      <c r="P2689" s="5" t="s">
        <v>50</v>
      </c>
      <c r="Q2689" s="5" t="s">
        <v>75</v>
      </c>
      <c r="R2689">
        <v>4.8</v>
      </c>
      <c r="S2689">
        <v>11</v>
      </c>
      <c r="T2689">
        <f t="shared" si="41"/>
        <v>0</v>
      </c>
    </row>
    <row r="2690" spans="1:20">
      <c r="A2690" s="4">
        <v>45814</v>
      </c>
      <c r="B2690">
        <v>2025</v>
      </c>
      <c r="C2690">
        <v>6</v>
      </c>
      <c r="D2690" s="5" t="s">
        <v>66</v>
      </c>
      <c r="E2690" s="5" t="s">
        <v>67</v>
      </c>
      <c r="F2690" s="5" t="s">
        <v>68</v>
      </c>
      <c r="G2690" s="5" t="s">
        <v>69</v>
      </c>
      <c r="H2690" s="5" t="s">
        <v>39</v>
      </c>
      <c r="I2690" s="5" t="s">
        <v>40</v>
      </c>
      <c r="J2690" s="5" t="s">
        <v>41</v>
      </c>
      <c r="K2690">
        <v>15</v>
      </c>
      <c r="L2690">
        <v>559190</v>
      </c>
      <c r="M2690" s="26">
        <v>8387850</v>
      </c>
      <c r="N2690">
        <v>8614</v>
      </c>
      <c r="O2690" s="26">
        <v>802897.17</v>
      </c>
      <c r="P2690" s="5" t="s">
        <v>50</v>
      </c>
      <c r="Q2690" s="5" t="s">
        <v>75</v>
      </c>
      <c r="R2690">
        <v>4</v>
      </c>
      <c r="S2690">
        <v>19</v>
      </c>
      <c r="T2690">
        <f t="shared" ref="T2690:T2753" si="42">IF(AND(OR($B2690=Sel_Year,Sel_Year="All"),OR($C2690=Sel_Month,Sel_Month="All"),OR($D2690=Sel_Region,Sel_Region="All"),OR($E2690=Sel_State,Sel_State="All"),OR($F2690=Sel_City,Sel_City="All"),OR($G2690=Sel_Dealer,Sel_Dealer="All"),OR($H2690=Sel_Model,Sel_Model="All"),OR($I2690=Sel_Segment,Sel_Segment="All"),OR($J2690=Sel_Fuel,Sel_Fuel="All"),OR($P2690=Sel_CustType,Sel_CustType="All"),OR($Q2690=Sel_Payment,Sel_Payment="All")),1,0)</f>
        <v>0</v>
      </c>
    </row>
    <row r="2691" spans="1:20">
      <c r="A2691" s="4">
        <v>45824</v>
      </c>
      <c r="B2691">
        <v>2025</v>
      </c>
      <c r="C2691">
        <v>6</v>
      </c>
      <c r="D2691" s="5" t="s">
        <v>54</v>
      </c>
      <c r="E2691" s="5" t="s">
        <v>70</v>
      </c>
      <c r="F2691" s="5" t="s">
        <v>71</v>
      </c>
      <c r="G2691" s="5" t="s">
        <v>72</v>
      </c>
      <c r="H2691" s="5" t="s">
        <v>48</v>
      </c>
      <c r="I2691" s="5" t="s">
        <v>40</v>
      </c>
      <c r="J2691" s="5" t="s">
        <v>49</v>
      </c>
      <c r="K2691">
        <v>37</v>
      </c>
      <c r="L2691">
        <v>450253</v>
      </c>
      <c r="M2691" s="26">
        <v>16659361</v>
      </c>
      <c r="N2691">
        <v>19625</v>
      </c>
      <c r="O2691" s="26">
        <v>2150842.48</v>
      </c>
      <c r="P2691" s="5" t="s">
        <v>42</v>
      </c>
      <c r="Q2691" s="5" t="s">
        <v>43</v>
      </c>
      <c r="R2691">
        <v>3.7</v>
      </c>
      <c r="S2691">
        <v>21</v>
      </c>
      <c r="T2691">
        <f t="shared" si="42"/>
        <v>1</v>
      </c>
    </row>
    <row r="2692" spans="1:20">
      <c r="A2692" s="4">
        <v>45825</v>
      </c>
      <c r="B2692">
        <v>2025</v>
      </c>
      <c r="C2692">
        <v>6</v>
      </c>
      <c r="D2692" s="5" t="s">
        <v>35</v>
      </c>
      <c r="E2692" s="5" t="s">
        <v>60</v>
      </c>
      <c r="F2692" s="5" t="s">
        <v>61</v>
      </c>
      <c r="G2692" s="5" t="s">
        <v>62</v>
      </c>
      <c r="H2692" s="5" t="s">
        <v>80</v>
      </c>
      <c r="I2692" s="5" t="s">
        <v>81</v>
      </c>
      <c r="J2692" s="5" t="s">
        <v>41</v>
      </c>
      <c r="K2692">
        <v>60</v>
      </c>
      <c r="L2692">
        <v>537950</v>
      </c>
      <c r="M2692" s="26">
        <v>32277000</v>
      </c>
      <c r="N2692">
        <v>41571</v>
      </c>
      <c r="O2692" s="26">
        <v>3541276.72</v>
      </c>
      <c r="P2692" s="5" t="s">
        <v>42</v>
      </c>
      <c r="Q2692" s="5" t="s">
        <v>51</v>
      </c>
      <c r="R2692">
        <v>4</v>
      </c>
      <c r="S2692">
        <v>15</v>
      </c>
      <c r="T2692">
        <f t="shared" si="42"/>
        <v>1</v>
      </c>
    </row>
    <row r="2693" spans="1:20">
      <c r="A2693" s="4">
        <v>45810</v>
      </c>
      <c r="B2693">
        <v>2025</v>
      </c>
      <c r="C2693">
        <v>6</v>
      </c>
      <c r="D2693" s="5" t="s">
        <v>35</v>
      </c>
      <c r="E2693" s="5" t="s">
        <v>36</v>
      </c>
      <c r="F2693" s="5" t="s">
        <v>37</v>
      </c>
      <c r="G2693" s="5" t="s">
        <v>38</v>
      </c>
      <c r="H2693" s="5" t="s">
        <v>39</v>
      </c>
      <c r="I2693" s="5" t="s">
        <v>40</v>
      </c>
      <c r="J2693" s="5" t="s">
        <v>41</v>
      </c>
      <c r="K2693">
        <v>58</v>
      </c>
      <c r="L2693">
        <v>583919</v>
      </c>
      <c r="M2693" s="26">
        <v>33867302</v>
      </c>
      <c r="N2693">
        <v>7839</v>
      </c>
      <c r="O2693" s="26">
        <v>3527012.25</v>
      </c>
      <c r="P2693" s="5" t="s">
        <v>42</v>
      </c>
      <c r="Q2693" s="5" t="s">
        <v>51</v>
      </c>
      <c r="R2693">
        <v>3.6</v>
      </c>
      <c r="S2693">
        <v>6</v>
      </c>
      <c r="T2693">
        <f t="shared" si="42"/>
        <v>1</v>
      </c>
    </row>
    <row r="2694" spans="1:20">
      <c r="A2694" s="4">
        <v>45821</v>
      </c>
      <c r="B2694">
        <v>2025</v>
      </c>
      <c r="C2694">
        <v>6</v>
      </c>
      <c r="D2694" s="5" t="s">
        <v>35</v>
      </c>
      <c r="E2694" s="5" t="s">
        <v>36</v>
      </c>
      <c r="F2694" s="5" t="s">
        <v>37</v>
      </c>
      <c r="G2694" s="5" t="s">
        <v>38</v>
      </c>
      <c r="H2694" s="5" t="s">
        <v>80</v>
      </c>
      <c r="I2694" s="5" t="s">
        <v>81</v>
      </c>
      <c r="J2694" s="5" t="s">
        <v>41</v>
      </c>
      <c r="K2694">
        <v>13</v>
      </c>
      <c r="L2694">
        <v>545872</v>
      </c>
      <c r="M2694" s="26">
        <v>7096336</v>
      </c>
      <c r="N2694">
        <v>49450</v>
      </c>
      <c r="O2694" s="26">
        <v>708701.13</v>
      </c>
      <c r="P2694" s="5" t="s">
        <v>50</v>
      </c>
      <c r="Q2694" s="5" t="s">
        <v>43</v>
      </c>
      <c r="R2694">
        <v>4.5</v>
      </c>
      <c r="S2694">
        <v>19</v>
      </c>
      <c r="T2694">
        <f t="shared" si="42"/>
        <v>0</v>
      </c>
    </row>
    <row r="2695" spans="1:20">
      <c r="A2695" s="4">
        <v>45810</v>
      </c>
      <c r="B2695">
        <v>2025</v>
      </c>
      <c r="C2695">
        <v>6</v>
      </c>
      <c r="D2695" s="5" t="s">
        <v>35</v>
      </c>
      <c r="E2695" s="5" t="s">
        <v>76</v>
      </c>
      <c r="F2695" s="5" t="s">
        <v>77</v>
      </c>
      <c r="G2695" s="5" t="s">
        <v>78</v>
      </c>
      <c r="H2695" s="5" t="s">
        <v>86</v>
      </c>
      <c r="I2695" s="5" t="s">
        <v>40</v>
      </c>
      <c r="J2695" s="5" t="s">
        <v>41</v>
      </c>
      <c r="K2695">
        <v>49</v>
      </c>
      <c r="L2695">
        <v>579867</v>
      </c>
      <c r="M2695" s="26">
        <v>28413483</v>
      </c>
      <c r="N2695">
        <v>45653</v>
      </c>
      <c r="O2695" s="26">
        <v>3522727.05</v>
      </c>
      <c r="P2695" s="5" t="s">
        <v>42</v>
      </c>
      <c r="Q2695" s="5" t="s">
        <v>51</v>
      </c>
      <c r="R2695">
        <v>3.5</v>
      </c>
      <c r="S2695">
        <v>19</v>
      </c>
      <c r="T2695">
        <f t="shared" si="42"/>
        <v>1</v>
      </c>
    </row>
    <row r="2696" spans="1:20">
      <c r="A2696" s="4">
        <v>45829</v>
      </c>
      <c r="B2696">
        <v>2025</v>
      </c>
      <c r="C2696">
        <v>6</v>
      </c>
      <c r="D2696" s="5" t="s">
        <v>35</v>
      </c>
      <c r="E2696" s="5" t="s">
        <v>60</v>
      </c>
      <c r="F2696" s="5" t="s">
        <v>61</v>
      </c>
      <c r="G2696" s="5" t="s">
        <v>62</v>
      </c>
      <c r="H2696" s="5" t="s">
        <v>63</v>
      </c>
      <c r="I2696" s="5" t="s">
        <v>64</v>
      </c>
      <c r="J2696" s="5" t="s">
        <v>41</v>
      </c>
      <c r="K2696">
        <v>12</v>
      </c>
      <c r="L2696">
        <v>753490</v>
      </c>
      <c r="M2696" s="26">
        <v>9041880</v>
      </c>
      <c r="N2696">
        <v>45792</v>
      </c>
      <c r="O2696" s="26">
        <v>1147623.22</v>
      </c>
      <c r="P2696" s="5" t="s">
        <v>42</v>
      </c>
      <c r="Q2696" s="5" t="s">
        <v>75</v>
      </c>
      <c r="R2696">
        <v>4.3</v>
      </c>
      <c r="S2696">
        <v>7</v>
      </c>
      <c r="T2696">
        <f t="shared" si="42"/>
        <v>1</v>
      </c>
    </row>
    <row r="2697" spans="1:20">
      <c r="A2697" s="4">
        <v>45818</v>
      </c>
      <c r="B2697">
        <v>2025</v>
      </c>
      <c r="C2697">
        <v>6</v>
      </c>
      <c r="D2697" s="5" t="s">
        <v>44</v>
      </c>
      <c r="E2697" s="5" t="s">
        <v>82</v>
      </c>
      <c r="F2697" s="5" t="s">
        <v>83</v>
      </c>
      <c r="G2697" s="5" t="s">
        <v>84</v>
      </c>
      <c r="H2697" s="5" t="s">
        <v>57</v>
      </c>
      <c r="I2697" s="5" t="s">
        <v>58</v>
      </c>
      <c r="J2697" s="5" t="s">
        <v>59</v>
      </c>
      <c r="K2697">
        <v>50</v>
      </c>
      <c r="L2697">
        <v>1418912</v>
      </c>
      <c r="M2697" s="26">
        <v>70945600</v>
      </c>
      <c r="N2697">
        <v>39051</v>
      </c>
      <c r="O2697" s="26">
        <v>8458313.6899999995</v>
      </c>
      <c r="P2697" s="5" t="s">
        <v>50</v>
      </c>
      <c r="Q2697" s="5" t="s">
        <v>43</v>
      </c>
      <c r="R2697">
        <v>4.4000000000000004</v>
      </c>
      <c r="S2697">
        <v>18</v>
      </c>
      <c r="T2697">
        <f t="shared" si="42"/>
        <v>0</v>
      </c>
    </row>
    <row r="2698" spans="1:20">
      <c r="A2698" s="4">
        <v>45817</v>
      </c>
      <c r="B2698">
        <v>2025</v>
      </c>
      <c r="C2698">
        <v>6</v>
      </c>
      <c r="D2698" s="5" t="s">
        <v>35</v>
      </c>
      <c r="E2698" s="5" t="s">
        <v>60</v>
      </c>
      <c r="F2698" s="5" t="s">
        <v>61</v>
      </c>
      <c r="G2698" s="5" t="s">
        <v>62</v>
      </c>
      <c r="H2698" s="5" t="s">
        <v>63</v>
      </c>
      <c r="I2698" s="5" t="s">
        <v>64</v>
      </c>
      <c r="J2698" s="5" t="s">
        <v>41</v>
      </c>
      <c r="K2698">
        <v>55</v>
      </c>
      <c r="L2698">
        <v>763447</v>
      </c>
      <c r="M2698" s="26">
        <v>41989585</v>
      </c>
      <c r="N2698">
        <v>47809</v>
      </c>
      <c r="O2698" s="26">
        <v>6503883.8799999999</v>
      </c>
      <c r="P2698" s="5" t="s">
        <v>50</v>
      </c>
      <c r="Q2698" s="5" t="s">
        <v>75</v>
      </c>
      <c r="R2698">
        <v>4.2</v>
      </c>
      <c r="S2698">
        <v>8</v>
      </c>
      <c r="T2698">
        <f t="shared" si="42"/>
        <v>0</v>
      </c>
    </row>
    <row r="2699" spans="1:20">
      <c r="A2699" s="4">
        <v>45824</v>
      </c>
      <c r="B2699">
        <v>2025</v>
      </c>
      <c r="C2699">
        <v>6</v>
      </c>
      <c r="D2699" s="5" t="s">
        <v>35</v>
      </c>
      <c r="E2699" s="5" t="s">
        <v>36</v>
      </c>
      <c r="F2699" s="5" t="s">
        <v>37</v>
      </c>
      <c r="G2699" s="5" t="s">
        <v>38</v>
      </c>
      <c r="H2699" s="5" t="s">
        <v>80</v>
      </c>
      <c r="I2699" s="5" t="s">
        <v>81</v>
      </c>
      <c r="J2699" s="5" t="s">
        <v>41</v>
      </c>
      <c r="K2699">
        <v>14</v>
      </c>
      <c r="L2699">
        <v>533584</v>
      </c>
      <c r="M2699" s="26">
        <v>7470176</v>
      </c>
      <c r="N2699">
        <v>7091</v>
      </c>
      <c r="O2699" s="26">
        <v>680034.1</v>
      </c>
      <c r="P2699" s="5" t="s">
        <v>42</v>
      </c>
      <c r="Q2699" s="5" t="s">
        <v>75</v>
      </c>
      <c r="R2699">
        <v>4.0999999999999996</v>
      </c>
      <c r="S2699">
        <v>20</v>
      </c>
      <c r="T2699">
        <f t="shared" si="42"/>
        <v>1</v>
      </c>
    </row>
    <row r="2700" spans="1:20">
      <c r="A2700" s="4">
        <v>45834</v>
      </c>
      <c r="B2700">
        <v>2025</v>
      </c>
      <c r="C2700">
        <v>6</v>
      </c>
      <c r="D2700" s="5" t="s">
        <v>54</v>
      </c>
      <c r="E2700" s="5" t="s">
        <v>55</v>
      </c>
      <c r="F2700" s="5" t="s">
        <v>55</v>
      </c>
      <c r="G2700" s="5" t="s">
        <v>56</v>
      </c>
      <c r="H2700" s="5" t="s">
        <v>39</v>
      </c>
      <c r="I2700" s="5" t="s">
        <v>40</v>
      </c>
      <c r="J2700" s="5" t="s">
        <v>41</v>
      </c>
      <c r="K2700">
        <v>5</v>
      </c>
      <c r="L2700">
        <v>579738</v>
      </c>
      <c r="M2700" s="26">
        <v>2898690</v>
      </c>
      <c r="N2700">
        <v>44595</v>
      </c>
      <c r="O2700" s="26">
        <v>339222.01</v>
      </c>
      <c r="P2700" s="5" t="s">
        <v>42</v>
      </c>
      <c r="Q2700" s="5" t="s">
        <v>51</v>
      </c>
      <c r="R2700">
        <v>4.0999999999999996</v>
      </c>
      <c r="S2700">
        <v>16</v>
      </c>
      <c r="T2700">
        <f t="shared" si="42"/>
        <v>1</v>
      </c>
    </row>
    <row r="2701" spans="1:20">
      <c r="A2701" s="4">
        <v>45811</v>
      </c>
      <c r="B2701">
        <v>2025</v>
      </c>
      <c r="C2701">
        <v>6</v>
      </c>
      <c r="D2701" s="5" t="s">
        <v>54</v>
      </c>
      <c r="E2701" s="5" t="s">
        <v>70</v>
      </c>
      <c r="F2701" s="5" t="s">
        <v>71</v>
      </c>
      <c r="G2701" s="5" t="s">
        <v>72</v>
      </c>
      <c r="H2701" s="5" t="s">
        <v>52</v>
      </c>
      <c r="I2701" s="5" t="s">
        <v>53</v>
      </c>
      <c r="J2701" s="5" t="s">
        <v>41</v>
      </c>
      <c r="K2701">
        <v>7</v>
      </c>
      <c r="L2701">
        <v>970893</v>
      </c>
      <c r="M2701" s="26">
        <v>6796251</v>
      </c>
      <c r="N2701">
        <v>11199</v>
      </c>
      <c r="O2701" s="26">
        <v>936514.77</v>
      </c>
      <c r="P2701" s="5" t="s">
        <v>42</v>
      </c>
      <c r="Q2701" s="5" t="s">
        <v>51</v>
      </c>
      <c r="R2701">
        <v>4.7</v>
      </c>
      <c r="S2701">
        <v>13</v>
      </c>
      <c r="T2701">
        <f t="shared" si="42"/>
        <v>1</v>
      </c>
    </row>
    <row r="2702" spans="1:20">
      <c r="A2702" s="4">
        <v>45846</v>
      </c>
      <c r="B2702">
        <v>2025</v>
      </c>
      <c r="C2702">
        <v>7</v>
      </c>
      <c r="D2702" s="5" t="s">
        <v>54</v>
      </c>
      <c r="E2702" s="5" t="s">
        <v>55</v>
      </c>
      <c r="F2702" s="5" t="s">
        <v>55</v>
      </c>
      <c r="G2702" s="5" t="s">
        <v>56</v>
      </c>
      <c r="H2702" s="5" t="s">
        <v>39</v>
      </c>
      <c r="I2702" s="5" t="s">
        <v>40</v>
      </c>
      <c r="J2702" s="5" t="s">
        <v>41</v>
      </c>
      <c r="K2702">
        <v>53</v>
      </c>
      <c r="L2702">
        <v>569416</v>
      </c>
      <c r="M2702" s="26">
        <v>30179048</v>
      </c>
      <c r="N2702">
        <v>22334</v>
      </c>
      <c r="O2702" s="26">
        <v>3010784.66</v>
      </c>
      <c r="P2702" s="5" t="s">
        <v>42</v>
      </c>
      <c r="Q2702" s="5" t="s">
        <v>75</v>
      </c>
      <c r="R2702">
        <v>4.7</v>
      </c>
      <c r="S2702">
        <v>5</v>
      </c>
      <c r="T2702">
        <f t="shared" si="42"/>
        <v>1</v>
      </c>
    </row>
    <row r="2703" spans="1:20">
      <c r="A2703" s="4">
        <v>45861</v>
      </c>
      <c r="B2703">
        <v>2025</v>
      </c>
      <c r="C2703">
        <v>7</v>
      </c>
      <c r="D2703" s="5" t="s">
        <v>54</v>
      </c>
      <c r="E2703" s="5" t="s">
        <v>55</v>
      </c>
      <c r="F2703" s="5" t="s">
        <v>55</v>
      </c>
      <c r="G2703" s="5" t="s">
        <v>56</v>
      </c>
      <c r="H2703" s="5" t="s">
        <v>80</v>
      </c>
      <c r="I2703" s="5" t="s">
        <v>81</v>
      </c>
      <c r="J2703" s="5" t="s">
        <v>41</v>
      </c>
      <c r="K2703">
        <v>48</v>
      </c>
      <c r="L2703">
        <v>549006</v>
      </c>
      <c r="M2703" s="26">
        <v>26352288</v>
      </c>
      <c r="N2703">
        <v>16669</v>
      </c>
      <c r="O2703" s="26">
        <v>2142601.6800000002</v>
      </c>
      <c r="P2703" s="5" t="s">
        <v>50</v>
      </c>
      <c r="Q2703" s="5" t="s">
        <v>51</v>
      </c>
      <c r="R2703">
        <v>4.9000000000000004</v>
      </c>
      <c r="S2703">
        <v>17</v>
      </c>
      <c r="T2703">
        <f t="shared" si="42"/>
        <v>0</v>
      </c>
    </row>
    <row r="2704" spans="1:20">
      <c r="A2704" s="4">
        <v>45847</v>
      </c>
      <c r="B2704">
        <v>2025</v>
      </c>
      <c r="C2704">
        <v>7</v>
      </c>
      <c r="D2704" s="5" t="s">
        <v>54</v>
      </c>
      <c r="E2704" s="5" t="s">
        <v>55</v>
      </c>
      <c r="F2704" s="5" t="s">
        <v>55</v>
      </c>
      <c r="G2704" s="5" t="s">
        <v>56</v>
      </c>
      <c r="H2704" s="5" t="s">
        <v>74</v>
      </c>
      <c r="I2704" s="5" t="s">
        <v>40</v>
      </c>
      <c r="J2704" s="5" t="s">
        <v>49</v>
      </c>
      <c r="K2704">
        <v>33</v>
      </c>
      <c r="L2704">
        <v>654218</v>
      </c>
      <c r="M2704" s="26">
        <v>21589194</v>
      </c>
      <c r="N2704">
        <v>39980</v>
      </c>
      <c r="O2704" s="26">
        <v>2158018.59</v>
      </c>
      <c r="P2704" s="5" t="s">
        <v>42</v>
      </c>
      <c r="Q2704" s="5" t="s">
        <v>43</v>
      </c>
      <c r="R2704">
        <v>5</v>
      </c>
      <c r="S2704">
        <v>9</v>
      </c>
      <c r="T2704">
        <f t="shared" si="42"/>
        <v>1</v>
      </c>
    </row>
    <row r="2705" spans="1:20">
      <c r="A2705" s="4">
        <v>45848</v>
      </c>
      <c r="B2705">
        <v>2025</v>
      </c>
      <c r="C2705">
        <v>7</v>
      </c>
      <c r="D2705" s="5" t="s">
        <v>54</v>
      </c>
      <c r="E2705" s="5" t="s">
        <v>55</v>
      </c>
      <c r="F2705" s="5" t="s">
        <v>55</v>
      </c>
      <c r="G2705" s="5" t="s">
        <v>56</v>
      </c>
      <c r="H2705" s="5" t="s">
        <v>52</v>
      </c>
      <c r="I2705" s="5" t="s">
        <v>53</v>
      </c>
      <c r="J2705" s="5" t="s">
        <v>41</v>
      </c>
      <c r="K2705">
        <v>39</v>
      </c>
      <c r="L2705">
        <v>950197</v>
      </c>
      <c r="M2705" s="26">
        <v>37057683</v>
      </c>
      <c r="N2705">
        <v>24252</v>
      </c>
      <c r="O2705" s="26">
        <v>4258611.7</v>
      </c>
      <c r="P2705" s="5" t="s">
        <v>50</v>
      </c>
      <c r="Q2705" s="5" t="s">
        <v>43</v>
      </c>
      <c r="R2705">
        <v>4.8</v>
      </c>
      <c r="S2705">
        <v>7</v>
      </c>
      <c r="T2705">
        <f t="shared" si="42"/>
        <v>0</v>
      </c>
    </row>
    <row r="2706" spans="1:20">
      <c r="A2706" s="4">
        <v>45844</v>
      </c>
      <c r="B2706">
        <v>2025</v>
      </c>
      <c r="C2706">
        <v>7</v>
      </c>
      <c r="D2706" s="5" t="s">
        <v>35</v>
      </c>
      <c r="E2706" s="5" t="s">
        <v>76</v>
      </c>
      <c r="F2706" s="5" t="s">
        <v>77</v>
      </c>
      <c r="G2706" s="5" t="s">
        <v>78</v>
      </c>
      <c r="H2706" s="5" t="s">
        <v>74</v>
      </c>
      <c r="I2706" s="5" t="s">
        <v>40</v>
      </c>
      <c r="J2706" s="5" t="s">
        <v>49</v>
      </c>
      <c r="K2706">
        <v>12</v>
      </c>
      <c r="L2706">
        <v>624193</v>
      </c>
      <c r="M2706" s="26">
        <v>7490316</v>
      </c>
      <c r="N2706">
        <v>24768</v>
      </c>
      <c r="O2706" s="26">
        <v>856365.49</v>
      </c>
      <c r="P2706" s="5" t="s">
        <v>42</v>
      </c>
      <c r="Q2706" s="5" t="s">
        <v>43</v>
      </c>
      <c r="R2706">
        <v>3.8</v>
      </c>
      <c r="S2706">
        <v>18</v>
      </c>
      <c r="T2706">
        <f t="shared" si="42"/>
        <v>1</v>
      </c>
    </row>
    <row r="2707" spans="1:20">
      <c r="A2707" s="4">
        <v>45857</v>
      </c>
      <c r="B2707">
        <v>2025</v>
      </c>
      <c r="C2707">
        <v>7</v>
      </c>
      <c r="D2707" s="5" t="s">
        <v>66</v>
      </c>
      <c r="E2707" s="5" t="s">
        <v>67</v>
      </c>
      <c r="F2707" s="5" t="s">
        <v>68</v>
      </c>
      <c r="G2707" s="5" t="s">
        <v>69</v>
      </c>
      <c r="H2707" s="5" t="s">
        <v>79</v>
      </c>
      <c r="I2707" s="5" t="s">
        <v>58</v>
      </c>
      <c r="J2707" s="5" t="s">
        <v>49</v>
      </c>
      <c r="K2707">
        <v>43</v>
      </c>
      <c r="L2707">
        <v>923076</v>
      </c>
      <c r="M2707" s="26">
        <v>39692268</v>
      </c>
      <c r="N2707">
        <v>24944</v>
      </c>
      <c r="O2707" s="26">
        <v>6051348.0800000001</v>
      </c>
      <c r="P2707" s="5" t="s">
        <v>42</v>
      </c>
      <c r="Q2707" s="5" t="s">
        <v>75</v>
      </c>
      <c r="R2707">
        <v>4.9000000000000004</v>
      </c>
      <c r="S2707">
        <v>14</v>
      </c>
      <c r="T2707">
        <f t="shared" si="42"/>
        <v>1</v>
      </c>
    </row>
    <row r="2708" spans="1:20">
      <c r="A2708" s="4">
        <v>45849</v>
      </c>
      <c r="B2708">
        <v>2025</v>
      </c>
      <c r="C2708">
        <v>7</v>
      </c>
      <c r="D2708" s="5" t="s">
        <v>35</v>
      </c>
      <c r="E2708" s="5" t="s">
        <v>60</v>
      </c>
      <c r="F2708" s="5" t="s">
        <v>61</v>
      </c>
      <c r="G2708" s="5" t="s">
        <v>62</v>
      </c>
      <c r="H2708" s="5" t="s">
        <v>65</v>
      </c>
      <c r="I2708" s="5" t="s">
        <v>53</v>
      </c>
      <c r="J2708" s="5" t="s">
        <v>49</v>
      </c>
      <c r="K2708">
        <v>18</v>
      </c>
      <c r="L2708">
        <v>1253586</v>
      </c>
      <c r="M2708" s="26">
        <v>22564548</v>
      </c>
      <c r="N2708">
        <v>9274</v>
      </c>
      <c r="O2708" s="26">
        <v>3565271.09</v>
      </c>
      <c r="P2708" s="5" t="s">
        <v>50</v>
      </c>
      <c r="Q2708" s="5" t="s">
        <v>43</v>
      </c>
      <c r="R2708">
        <v>4.8</v>
      </c>
      <c r="S2708">
        <v>3</v>
      </c>
      <c r="T2708">
        <f t="shared" si="42"/>
        <v>0</v>
      </c>
    </row>
    <row r="2709" spans="1:20">
      <c r="A2709" s="4">
        <v>45858</v>
      </c>
      <c r="B2709">
        <v>2025</v>
      </c>
      <c r="C2709">
        <v>7</v>
      </c>
      <c r="D2709" s="5" t="s">
        <v>35</v>
      </c>
      <c r="E2709" s="5" t="s">
        <v>60</v>
      </c>
      <c r="F2709" s="5" t="s">
        <v>61</v>
      </c>
      <c r="G2709" s="5" t="s">
        <v>62</v>
      </c>
      <c r="H2709" s="5" t="s">
        <v>80</v>
      </c>
      <c r="I2709" s="5" t="s">
        <v>81</v>
      </c>
      <c r="J2709" s="5" t="s">
        <v>41</v>
      </c>
      <c r="K2709">
        <v>26</v>
      </c>
      <c r="L2709">
        <v>525511</v>
      </c>
      <c r="M2709" s="26">
        <v>13663286</v>
      </c>
      <c r="N2709">
        <v>48333</v>
      </c>
      <c r="O2709" s="26">
        <v>1148453.77</v>
      </c>
      <c r="P2709" s="5" t="s">
        <v>42</v>
      </c>
      <c r="Q2709" s="5" t="s">
        <v>43</v>
      </c>
      <c r="R2709">
        <v>4.3</v>
      </c>
      <c r="S2709">
        <v>3</v>
      </c>
      <c r="T2709">
        <f t="shared" si="42"/>
        <v>1</v>
      </c>
    </row>
    <row r="2710" spans="1:20">
      <c r="A2710" s="4">
        <v>45855</v>
      </c>
      <c r="B2710">
        <v>2025</v>
      </c>
      <c r="C2710">
        <v>7</v>
      </c>
      <c r="D2710" s="5" t="s">
        <v>44</v>
      </c>
      <c r="E2710" s="5" t="s">
        <v>45</v>
      </c>
      <c r="F2710" s="5" t="s">
        <v>46</v>
      </c>
      <c r="G2710" s="5" t="s">
        <v>47</v>
      </c>
      <c r="H2710" s="5" t="s">
        <v>52</v>
      </c>
      <c r="I2710" s="5" t="s">
        <v>53</v>
      </c>
      <c r="J2710" s="5" t="s">
        <v>41</v>
      </c>
      <c r="K2710">
        <v>32</v>
      </c>
      <c r="L2710">
        <v>956591</v>
      </c>
      <c r="M2710" s="26">
        <v>30610912</v>
      </c>
      <c r="N2710">
        <v>45337</v>
      </c>
      <c r="O2710" s="26">
        <v>4602217.92</v>
      </c>
      <c r="P2710" s="5" t="s">
        <v>42</v>
      </c>
      <c r="Q2710" s="5" t="s">
        <v>75</v>
      </c>
      <c r="R2710">
        <v>3.9</v>
      </c>
      <c r="S2710">
        <v>21</v>
      </c>
      <c r="T2710">
        <f t="shared" si="42"/>
        <v>1</v>
      </c>
    </row>
    <row r="2711" spans="1:20">
      <c r="A2711" s="4">
        <v>45861</v>
      </c>
      <c r="B2711">
        <v>2025</v>
      </c>
      <c r="C2711">
        <v>7</v>
      </c>
      <c r="D2711" s="5" t="s">
        <v>66</v>
      </c>
      <c r="E2711" s="5" t="s">
        <v>67</v>
      </c>
      <c r="F2711" s="5" t="s">
        <v>68</v>
      </c>
      <c r="G2711" s="5" t="s">
        <v>69</v>
      </c>
      <c r="H2711" s="5" t="s">
        <v>85</v>
      </c>
      <c r="I2711" s="5" t="s">
        <v>58</v>
      </c>
      <c r="J2711" s="5" t="s">
        <v>49</v>
      </c>
      <c r="K2711">
        <v>49</v>
      </c>
      <c r="L2711">
        <v>1001711</v>
      </c>
      <c r="M2711" s="26">
        <v>49083839</v>
      </c>
      <c r="N2711">
        <v>20111</v>
      </c>
      <c r="O2711" s="26">
        <v>7539569.6200000001</v>
      </c>
      <c r="P2711" s="5" t="s">
        <v>42</v>
      </c>
      <c r="Q2711" s="5" t="s">
        <v>43</v>
      </c>
      <c r="R2711">
        <v>4.9000000000000004</v>
      </c>
      <c r="S2711">
        <v>6</v>
      </c>
      <c r="T2711">
        <f t="shared" si="42"/>
        <v>1</v>
      </c>
    </row>
    <row r="2712" spans="1:20">
      <c r="A2712" s="4">
        <v>45858</v>
      </c>
      <c r="B2712">
        <v>2025</v>
      </c>
      <c r="C2712">
        <v>7</v>
      </c>
      <c r="D2712" s="5" t="s">
        <v>54</v>
      </c>
      <c r="E2712" s="5" t="s">
        <v>70</v>
      </c>
      <c r="F2712" s="5" t="s">
        <v>71</v>
      </c>
      <c r="G2712" s="5" t="s">
        <v>72</v>
      </c>
      <c r="H2712" s="5" t="s">
        <v>80</v>
      </c>
      <c r="I2712" s="5" t="s">
        <v>81</v>
      </c>
      <c r="J2712" s="5" t="s">
        <v>41</v>
      </c>
      <c r="K2712">
        <v>43</v>
      </c>
      <c r="L2712">
        <v>572406</v>
      </c>
      <c r="M2712" s="26">
        <v>24613458</v>
      </c>
      <c r="N2712">
        <v>24210</v>
      </c>
      <c r="O2712" s="26">
        <v>2638998.7200000002</v>
      </c>
      <c r="P2712" s="5" t="s">
        <v>42</v>
      </c>
      <c r="Q2712" s="5" t="s">
        <v>43</v>
      </c>
      <c r="R2712">
        <v>4.0999999999999996</v>
      </c>
      <c r="S2712">
        <v>18</v>
      </c>
      <c r="T2712">
        <f t="shared" si="42"/>
        <v>1</v>
      </c>
    </row>
    <row r="2713" spans="1:20">
      <c r="A2713" s="4">
        <v>45849</v>
      </c>
      <c r="B2713">
        <v>2025</v>
      </c>
      <c r="C2713">
        <v>7</v>
      </c>
      <c r="D2713" s="5" t="s">
        <v>44</v>
      </c>
      <c r="E2713" s="5" t="s">
        <v>45</v>
      </c>
      <c r="F2713" s="5" t="s">
        <v>46</v>
      </c>
      <c r="G2713" s="5" t="s">
        <v>47</v>
      </c>
      <c r="H2713" s="5" t="s">
        <v>73</v>
      </c>
      <c r="I2713" s="5" t="s">
        <v>40</v>
      </c>
      <c r="J2713" s="5" t="s">
        <v>49</v>
      </c>
      <c r="K2713">
        <v>41</v>
      </c>
      <c r="L2713">
        <v>697001</v>
      </c>
      <c r="M2713" s="26">
        <v>28577041</v>
      </c>
      <c r="N2713">
        <v>6678</v>
      </c>
      <c r="O2713" s="26">
        <v>2406708.17</v>
      </c>
      <c r="P2713" s="5" t="s">
        <v>42</v>
      </c>
      <c r="Q2713" s="5" t="s">
        <v>75</v>
      </c>
      <c r="R2713">
        <v>3.9</v>
      </c>
      <c r="S2713">
        <v>4</v>
      </c>
      <c r="T2713">
        <f t="shared" si="42"/>
        <v>1</v>
      </c>
    </row>
    <row r="2714" spans="1:20">
      <c r="A2714" s="4">
        <v>45849</v>
      </c>
      <c r="B2714">
        <v>2025</v>
      </c>
      <c r="C2714">
        <v>7</v>
      </c>
      <c r="D2714" s="5" t="s">
        <v>35</v>
      </c>
      <c r="E2714" s="5" t="s">
        <v>60</v>
      </c>
      <c r="F2714" s="5" t="s">
        <v>61</v>
      </c>
      <c r="G2714" s="5" t="s">
        <v>62</v>
      </c>
      <c r="H2714" s="5" t="s">
        <v>86</v>
      </c>
      <c r="I2714" s="5" t="s">
        <v>40</v>
      </c>
      <c r="J2714" s="5" t="s">
        <v>41</v>
      </c>
      <c r="K2714">
        <v>21</v>
      </c>
      <c r="L2714">
        <v>572537</v>
      </c>
      <c r="M2714" s="26">
        <v>12023277</v>
      </c>
      <c r="N2714">
        <v>13187</v>
      </c>
      <c r="O2714" s="26">
        <v>1701862.62</v>
      </c>
      <c r="P2714" s="5" t="s">
        <v>42</v>
      </c>
      <c r="Q2714" s="5" t="s">
        <v>51</v>
      </c>
      <c r="R2714">
        <v>4.4000000000000004</v>
      </c>
      <c r="S2714">
        <v>21</v>
      </c>
      <c r="T2714">
        <f t="shared" si="42"/>
        <v>1</v>
      </c>
    </row>
    <row r="2715" spans="1:20">
      <c r="A2715" s="4">
        <v>45857</v>
      </c>
      <c r="B2715">
        <v>2025</v>
      </c>
      <c r="C2715">
        <v>7</v>
      </c>
      <c r="D2715" s="5" t="s">
        <v>66</v>
      </c>
      <c r="E2715" s="5" t="s">
        <v>67</v>
      </c>
      <c r="F2715" s="5" t="s">
        <v>68</v>
      </c>
      <c r="G2715" s="5" t="s">
        <v>69</v>
      </c>
      <c r="H2715" s="5" t="s">
        <v>73</v>
      </c>
      <c r="I2715" s="5" t="s">
        <v>40</v>
      </c>
      <c r="J2715" s="5" t="s">
        <v>49</v>
      </c>
      <c r="K2715">
        <v>7</v>
      </c>
      <c r="L2715">
        <v>711734</v>
      </c>
      <c r="M2715" s="26">
        <v>4982138</v>
      </c>
      <c r="N2715">
        <v>40532</v>
      </c>
      <c r="O2715" s="26">
        <v>449107.5</v>
      </c>
      <c r="P2715" s="5" t="s">
        <v>42</v>
      </c>
      <c r="Q2715" s="5" t="s">
        <v>43</v>
      </c>
      <c r="R2715">
        <v>4.0999999999999996</v>
      </c>
      <c r="S2715">
        <v>21</v>
      </c>
      <c r="T2715">
        <f t="shared" si="42"/>
        <v>1</v>
      </c>
    </row>
    <row r="2716" spans="1:20">
      <c r="A2716" s="4">
        <v>45866</v>
      </c>
      <c r="B2716">
        <v>2025</v>
      </c>
      <c r="C2716">
        <v>7</v>
      </c>
      <c r="D2716" s="5" t="s">
        <v>35</v>
      </c>
      <c r="E2716" s="5" t="s">
        <v>60</v>
      </c>
      <c r="F2716" s="5" t="s">
        <v>61</v>
      </c>
      <c r="G2716" s="5" t="s">
        <v>62</v>
      </c>
      <c r="H2716" s="5" t="s">
        <v>74</v>
      </c>
      <c r="I2716" s="5" t="s">
        <v>40</v>
      </c>
      <c r="J2716" s="5" t="s">
        <v>49</v>
      </c>
      <c r="K2716">
        <v>50</v>
      </c>
      <c r="L2716">
        <v>679316</v>
      </c>
      <c r="M2716" s="26">
        <v>33965800</v>
      </c>
      <c r="N2716">
        <v>46214</v>
      </c>
      <c r="O2716" s="26">
        <v>3605036.16</v>
      </c>
      <c r="P2716" s="5" t="s">
        <v>42</v>
      </c>
      <c r="Q2716" s="5" t="s">
        <v>43</v>
      </c>
      <c r="R2716">
        <v>4.2</v>
      </c>
      <c r="S2716">
        <v>8</v>
      </c>
      <c r="T2716">
        <f t="shared" si="42"/>
        <v>1</v>
      </c>
    </row>
    <row r="2717" spans="1:20">
      <c r="A2717" s="4">
        <v>45842</v>
      </c>
      <c r="B2717">
        <v>2025</v>
      </c>
      <c r="C2717">
        <v>7</v>
      </c>
      <c r="D2717" s="5" t="s">
        <v>44</v>
      </c>
      <c r="E2717" s="5" t="s">
        <v>82</v>
      </c>
      <c r="F2717" s="5" t="s">
        <v>83</v>
      </c>
      <c r="G2717" s="5" t="s">
        <v>84</v>
      </c>
      <c r="H2717" s="5" t="s">
        <v>86</v>
      </c>
      <c r="I2717" s="5" t="s">
        <v>40</v>
      </c>
      <c r="J2717" s="5" t="s">
        <v>41</v>
      </c>
      <c r="K2717">
        <v>24</v>
      </c>
      <c r="L2717">
        <v>600857</v>
      </c>
      <c r="M2717" s="26">
        <v>14420568</v>
      </c>
      <c r="N2717">
        <v>7181</v>
      </c>
      <c r="O2717" s="26">
        <v>1496183.45</v>
      </c>
      <c r="P2717" s="5" t="s">
        <v>50</v>
      </c>
      <c r="Q2717" s="5" t="s">
        <v>43</v>
      </c>
      <c r="R2717">
        <v>4.7</v>
      </c>
      <c r="S2717">
        <v>3</v>
      </c>
      <c r="T2717">
        <f t="shared" si="42"/>
        <v>0</v>
      </c>
    </row>
    <row r="2718" spans="1:20">
      <c r="A2718" s="4">
        <v>45840</v>
      </c>
      <c r="B2718">
        <v>2025</v>
      </c>
      <c r="C2718">
        <v>7</v>
      </c>
      <c r="D2718" s="5" t="s">
        <v>44</v>
      </c>
      <c r="E2718" s="5" t="s">
        <v>45</v>
      </c>
      <c r="F2718" s="5" t="s">
        <v>46</v>
      </c>
      <c r="G2718" s="5" t="s">
        <v>47</v>
      </c>
      <c r="H2718" s="5" t="s">
        <v>85</v>
      </c>
      <c r="I2718" s="5" t="s">
        <v>58</v>
      </c>
      <c r="J2718" s="5" t="s">
        <v>49</v>
      </c>
      <c r="K2718">
        <v>22</v>
      </c>
      <c r="L2718">
        <v>977059</v>
      </c>
      <c r="M2718" s="26">
        <v>21495298</v>
      </c>
      <c r="N2718">
        <v>22620</v>
      </c>
      <c r="O2718" s="26">
        <v>2100037.67</v>
      </c>
      <c r="P2718" s="5" t="s">
        <v>42</v>
      </c>
      <c r="Q2718" s="5" t="s">
        <v>75</v>
      </c>
      <c r="R2718">
        <v>3.7</v>
      </c>
      <c r="S2718">
        <v>18</v>
      </c>
      <c r="T2718">
        <f t="shared" si="42"/>
        <v>1</v>
      </c>
    </row>
    <row r="2719" spans="1:20">
      <c r="A2719" s="4">
        <v>45850</v>
      </c>
      <c r="B2719">
        <v>2025</v>
      </c>
      <c r="C2719">
        <v>7</v>
      </c>
      <c r="D2719" s="5" t="s">
        <v>35</v>
      </c>
      <c r="E2719" s="5" t="s">
        <v>60</v>
      </c>
      <c r="F2719" s="5" t="s">
        <v>61</v>
      </c>
      <c r="G2719" s="5" t="s">
        <v>62</v>
      </c>
      <c r="H2719" s="5" t="s">
        <v>79</v>
      </c>
      <c r="I2719" s="5" t="s">
        <v>58</v>
      </c>
      <c r="J2719" s="5" t="s">
        <v>49</v>
      </c>
      <c r="K2719">
        <v>24</v>
      </c>
      <c r="L2719">
        <v>875783</v>
      </c>
      <c r="M2719" s="26">
        <v>21018792</v>
      </c>
      <c r="N2719">
        <v>11101</v>
      </c>
      <c r="O2719" s="26">
        <v>2430863.52</v>
      </c>
      <c r="P2719" s="5" t="s">
        <v>50</v>
      </c>
      <c r="Q2719" s="5" t="s">
        <v>43</v>
      </c>
      <c r="R2719">
        <v>3.8</v>
      </c>
      <c r="S2719">
        <v>20</v>
      </c>
      <c r="T2719">
        <f t="shared" si="42"/>
        <v>0</v>
      </c>
    </row>
    <row r="2720" spans="1:20">
      <c r="A2720" s="4">
        <v>45859</v>
      </c>
      <c r="B2720">
        <v>2025</v>
      </c>
      <c r="C2720">
        <v>7</v>
      </c>
      <c r="D2720" s="5" t="s">
        <v>54</v>
      </c>
      <c r="E2720" s="5" t="s">
        <v>70</v>
      </c>
      <c r="F2720" s="5" t="s">
        <v>71</v>
      </c>
      <c r="G2720" s="5" t="s">
        <v>72</v>
      </c>
      <c r="H2720" s="5" t="s">
        <v>52</v>
      </c>
      <c r="I2720" s="5" t="s">
        <v>53</v>
      </c>
      <c r="J2720" s="5" t="s">
        <v>41</v>
      </c>
      <c r="K2720">
        <v>47</v>
      </c>
      <c r="L2720">
        <v>974106</v>
      </c>
      <c r="M2720" s="26">
        <v>45782982</v>
      </c>
      <c r="N2720">
        <v>31439</v>
      </c>
      <c r="O2720" s="26">
        <v>6233566.4299999997</v>
      </c>
      <c r="P2720" s="5" t="s">
        <v>50</v>
      </c>
      <c r="Q2720" s="5" t="s">
        <v>43</v>
      </c>
      <c r="R2720">
        <v>4.7</v>
      </c>
      <c r="S2720">
        <v>5</v>
      </c>
      <c r="T2720">
        <f t="shared" si="42"/>
        <v>0</v>
      </c>
    </row>
    <row r="2721" spans="1:20">
      <c r="A2721" s="4">
        <v>45850</v>
      </c>
      <c r="B2721">
        <v>2025</v>
      </c>
      <c r="C2721">
        <v>7</v>
      </c>
      <c r="D2721" s="5" t="s">
        <v>54</v>
      </c>
      <c r="E2721" s="5" t="s">
        <v>55</v>
      </c>
      <c r="F2721" s="5" t="s">
        <v>55</v>
      </c>
      <c r="G2721" s="5" t="s">
        <v>56</v>
      </c>
      <c r="H2721" s="5" t="s">
        <v>39</v>
      </c>
      <c r="I2721" s="5" t="s">
        <v>40</v>
      </c>
      <c r="J2721" s="5" t="s">
        <v>41</v>
      </c>
      <c r="K2721">
        <v>51</v>
      </c>
      <c r="L2721">
        <v>560705</v>
      </c>
      <c r="M2721" s="26">
        <v>28595955</v>
      </c>
      <c r="N2721">
        <v>36556</v>
      </c>
      <c r="O2721" s="26">
        <v>2601400.1</v>
      </c>
      <c r="P2721" s="5" t="s">
        <v>42</v>
      </c>
      <c r="Q2721" s="5" t="s">
        <v>51</v>
      </c>
      <c r="R2721">
        <v>4.3</v>
      </c>
      <c r="S2721">
        <v>7</v>
      </c>
      <c r="T2721">
        <f t="shared" si="42"/>
        <v>1</v>
      </c>
    </row>
    <row r="2722" spans="1:20">
      <c r="A2722" s="4">
        <v>45848</v>
      </c>
      <c r="B2722">
        <v>2025</v>
      </c>
      <c r="C2722">
        <v>7</v>
      </c>
      <c r="D2722" s="5" t="s">
        <v>54</v>
      </c>
      <c r="E2722" s="5" t="s">
        <v>70</v>
      </c>
      <c r="F2722" s="5" t="s">
        <v>71</v>
      </c>
      <c r="G2722" s="5" t="s">
        <v>72</v>
      </c>
      <c r="H2722" s="5" t="s">
        <v>48</v>
      </c>
      <c r="I2722" s="5" t="s">
        <v>40</v>
      </c>
      <c r="J2722" s="5" t="s">
        <v>49</v>
      </c>
      <c r="K2722">
        <v>35</v>
      </c>
      <c r="L2722">
        <v>450608</v>
      </c>
      <c r="M2722" s="26">
        <v>15771280</v>
      </c>
      <c r="N2722">
        <v>32288</v>
      </c>
      <c r="O2722" s="26">
        <v>1814374.31</v>
      </c>
      <c r="P2722" s="5" t="s">
        <v>50</v>
      </c>
      <c r="Q2722" s="5" t="s">
        <v>43</v>
      </c>
      <c r="R2722">
        <v>3.8</v>
      </c>
      <c r="S2722">
        <v>12</v>
      </c>
      <c r="T2722">
        <f t="shared" si="42"/>
        <v>0</v>
      </c>
    </row>
    <row r="2723" spans="1:20">
      <c r="A2723" s="4">
        <v>45863</v>
      </c>
      <c r="B2723">
        <v>2025</v>
      </c>
      <c r="C2723">
        <v>7</v>
      </c>
      <c r="D2723" s="5" t="s">
        <v>54</v>
      </c>
      <c r="E2723" s="5" t="s">
        <v>70</v>
      </c>
      <c r="F2723" s="5" t="s">
        <v>71</v>
      </c>
      <c r="G2723" s="5" t="s">
        <v>72</v>
      </c>
      <c r="H2723" s="5" t="s">
        <v>86</v>
      </c>
      <c r="I2723" s="5" t="s">
        <v>40</v>
      </c>
      <c r="J2723" s="5" t="s">
        <v>41</v>
      </c>
      <c r="K2723">
        <v>26</v>
      </c>
      <c r="L2723">
        <v>579040</v>
      </c>
      <c r="M2723" s="26">
        <v>15055040</v>
      </c>
      <c r="N2723">
        <v>6049</v>
      </c>
      <c r="O2723" s="26">
        <v>1319628.74</v>
      </c>
      <c r="P2723" s="5" t="s">
        <v>42</v>
      </c>
      <c r="Q2723" s="5" t="s">
        <v>43</v>
      </c>
      <c r="R2723">
        <v>4.9000000000000004</v>
      </c>
      <c r="S2723">
        <v>2</v>
      </c>
      <c r="T2723">
        <f t="shared" si="42"/>
        <v>1</v>
      </c>
    </row>
    <row r="2724" spans="1:20">
      <c r="A2724" s="4">
        <v>45845</v>
      </c>
      <c r="B2724">
        <v>2025</v>
      </c>
      <c r="C2724">
        <v>7</v>
      </c>
      <c r="D2724" s="5" t="s">
        <v>35</v>
      </c>
      <c r="E2724" s="5" t="s">
        <v>60</v>
      </c>
      <c r="F2724" s="5" t="s">
        <v>61</v>
      </c>
      <c r="G2724" s="5" t="s">
        <v>62</v>
      </c>
      <c r="H2724" s="5" t="s">
        <v>48</v>
      </c>
      <c r="I2724" s="5" t="s">
        <v>40</v>
      </c>
      <c r="J2724" s="5" t="s">
        <v>49</v>
      </c>
      <c r="K2724">
        <v>22</v>
      </c>
      <c r="L2724">
        <v>432330</v>
      </c>
      <c r="M2724" s="26">
        <v>9511260</v>
      </c>
      <c r="N2724">
        <v>18391</v>
      </c>
      <c r="O2724" s="26">
        <v>783931.81</v>
      </c>
      <c r="P2724" s="5" t="s">
        <v>42</v>
      </c>
      <c r="Q2724" s="5" t="s">
        <v>51</v>
      </c>
      <c r="R2724">
        <v>4.5999999999999996</v>
      </c>
      <c r="S2724">
        <v>20</v>
      </c>
      <c r="T2724">
        <f t="shared" si="42"/>
        <v>1</v>
      </c>
    </row>
    <row r="2725" spans="1:20">
      <c r="A2725" s="4">
        <v>45851</v>
      </c>
      <c r="B2725">
        <v>2025</v>
      </c>
      <c r="C2725">
        <v>7</v>
      </c>
      <c r="D2725" s="5" t="s">
        <v>35</v>
      </c>
      <c r="E2725" s="5" t="s">
        <v>60</v>
      </c>
      <c r="F2725" s="5" t="s">
        <v>61</v>
      </c>
      <c r="G2725" s="5" t="s">
        <v>62</v>
      </c>
      <c r="H2725" s="5" t="s">
        <v>57</v>
      </c>
      <c r="I2725" s="5" t="s">
        <v>58</v>
      </c>
      <c r="J2725" s="5" t="s">
        <v>59</v>
      </c>
      <c r="K2725">
        <v>20</v>
      </c>
      <c r="L2725">
        <v>1426883</v>
      </c>
      <c r="M2725" s="26">
        <v>28537660</v>
      </c>
      <c r="N2725">
        <v>8727</v>
      </c>
      <c r="O2725" s="26">
        <v>2895168.86</v>
      </c>
      <c r="P2725" s="5" t="s">
        <v>50</v>
      </c>
      <c r="Q2725" s="5" t="s">
        <v>75</v>
      </c>
      <c r="R2725">
        <v>5</v>
      </c>
      <c r="S2725">
        <v>13</v>
      </c>
      <c r="T2725">
        <f t="shared" si="42"/>
        <v>0</v>
      </c>
    </row>
    <row r="2726" spans="1:20">
      <c r="A2726" s="4">
        <v>45866</v>
      </c>
      <c r="B2726">
        <v>2025</v>
      </c>
      <c r="C2726">
        <v>7</v>
      </c>
      <c r="D2726" s="5" t="s">
        <v>35</v>
      </c>
      <c r="E2726" s="5" t="s">
        <v>60</v>
      </c>
      <c r="F2726" s="5" t="s">
        <v>61</v>
      </c>
      <c r="G2726" s="5" t="s">
        <v>62</v>
      </c>
      <c r="H2726" s="5" t="s">
        <v>80</v>
      </c>
      <c r="I2726" s="5" t="s">
        <v>81</v>
      </c>
      <c r="J2726" s="5" t="s">
        <v>41</v>
      </c>
      <c r="K2726">
        <v>48</v>
      </c>
      <c r="L2726">
        <v>547134</v>
      </c>
      <c r="M2726" s="26">
        <v>26262432</v>
      </c>
      <c r="N2726">
        <v>13623</v>
      </c>
      <c r="O2726" s="26">
        <v>3295099.52</v>
      </c>
      <c r="P2726" s="5" t="s">
        <v>42</v>
      </c>
      <c r="Q2726" s="5" t="s">
        <v>51</v>
      </c>
      <c r="R2726">
        <v>3.5</v>
      </c>
      <c r="S2726">
        <v>11</v>
      </c>
      <c r="T2726">
        <f t="shared" si="42"/>
        <v>1</v>
      </c>
    </row>
    <row r="2727" spans="1:20">
      <c r="A2727" s="4">
        <v>45839</v>
      </c>
      <c r="B2727">
        <v>2025</v>
      </c>
      <c r="C2727">
        <v>7</v>
      </c>
      <c r="D2727" s="5" t="s">
        <v>54</v>
      </c>
      <c r="E2727" s="5" t="s">
        <v>70</v>
      </c>
      <c r="F2727" s="5" t="s">
        <v>71</v>
      </c>
      <c r="G2727" s="5" t="s">
        <v>72</v>
      </c>
      <c r="H2727" s="5" t="s">
        <v>48</v>
      </c>
      <c r="I2727" s="5" t="s">
        <v>40</v>
      </c>
      <c r="J2727" s="5" t="s">
        <v>49</v>
      </c>
      <c r="K2727">
        <v>57</v>
      </c>
      <c r="L2727">
        <v>457446</v>
      </c>
      <c r="M2727" s="26">
        <v>26074422</v>
      </c>
      <c r="N2727">
        <v>39955</v>
      </c>
      <c r="O2727" s="26">
        <v>3581509.91</v>
      </c>
      <c r="P2727" s="5" t="s">
        <v>50</v>
      </c>
      <c r="Q2727" s="5" t="s">
        <v>51</v>
      </c>
      <c r="R2727">
        <v>4</v>
      </c>
      <c r="S2727">
        <v>7</v>
      </c>
      <c r="T2727">
        <f t="shared" si="42"/>
        <v>0</v>
      </c>
    </row>
    <row r="2728" spans="1:20">
      <c r="A2728" s="4">
        <v>45848</v>
      </c>
      <c r="B2728">
        <v>2025</v>
      </c>
      <c r="C2728">
        <v>7</v>
      </c>
      <c r="D2728" s="5" t="s">
        <v>54</v>
      </c>
      <c r="E2728" s="5" t="s">
        <v>70</v>
      </c>
      <c r="F2728" s="5" t="s">
        <v>71</v>
      </c>
      <c r="G2728" s="5" t="s">
        <v>72</v>
      </c>
      <c r="H2728" s="5" t="s">
        <v>85</v>
      </c>
      <c r="I2728" s="5" t="s">
        <v>58</v>
      </c>
      <c r="J2728" s="5" t="s">
        <v>49</v>
      </c>
      <c r="K2728">
        <v>54</v>
      </c>
      <c r="L2728">
        <v>967466</v>
      </c>
      <c r="M2728" s="26">
        <v>52243164</v>
      </c>
      <c r="N2728">
        <v>43652</v>
      </c>
      <c r="O2728" s="26">
        <v>7950958.9100000001</v>
      </c>
      <c r="P2728" s="5" t="s">
        <v>42</v>
      </c>
      <c r="Q2728" s="5" t="s">
        <v>51</v>
      </c>
      <c r="R2728">
        <v>4.3</v>
      </c>
      <c r="S2728">
        <v>10</v>
      </c>
      <c r="T2728">
        <f t="shared" si="42"/>
        <v>1</v>
      </c>
    </row>
    <row r="2729" spans="1:20">
      <c r="A2729" s="4">
        <v>45860</v>
      </c>
      <c r="B2729">
        <v>2025</v>
      </c>
      <c r="C2729">
        <v>7</v>
      </c>
      <c r="D2729" s="5" t="s">
        <v>54</v>
      </c>
      <c r="E2729" s="5" t="s">
        <v>55</v>
      </c>
      <c r="F2729" s="5" t="s">
        <v>55</v>
      </c>
      <c r="G2729" s="5" t="s">
        <v>56</v>
      </c>
      <c r="H2729" s="5" t="s">
        <v>48</v>
      </c>
      <c r="I2729" s="5" t="s">
        <v>40</v>
      </c>
      <c r="J2729" s="5" t="s">
        <v>49</v>
      </c>
      <c r="K2729">
        <v>45</v>
      </c>
      <c r="L2729">
        <v>443126</v>
      </c>
      <c r="M2729" s="26">
        <v>19940670</v>
      </c>
      <c r="N2729">
        <v>20224</v>
      </c>
      <c r="O2729" s="26">
        <v>2716695.43</v>
      </c>
      <c r="P2729" s="5" t="s">
        <v>50</v>
      </c>
      <c r="Q2729" s="5" t="s">
        <v>43</v>
      </c>
      <c r="R2729">
        <v>4.5</v>
      </c>
      <c r="S2729">
        <v>12</v>
      </c>
      <c r="T2729">
        <f t="shared" si="42"/>
        <v>0</v>
      </c>
    </row>
    <row r="2730" spans="1:20">
      <c r="A2730" s="4">
        <v>45850</v>
      </c>
      <c r="B2730">
        <v>2025</v>
      </c>
      <c r="C2730">
        <v>7</v>
      </c>
      <c r="D2730" s="5" t="s">
        <v>54</v>
      </c>
      <c r="E2730" s="5" t="s">
        <v>70</v>
      </c>
      <c r="F2730" s="5" t="s">
        <v>71</v>
      </c>
      <c r="G2730" s="5" t="s">
        <v>72</v>
      </c>
      <c r="H2730" s="5" t="s">
        <v>79</v>
      </c>
      <c r="I2730" s="5" t="s">
        <v>58</v>
      </c>
      <c r="J2730" s="5" t="s">
        <v>49</v>
      </c>
      <c r="K2730">
        <v>16</v>
      </c>
      <c r="L2730">
        <v>894808</v>
      </c>
      <c r="M2730" s="26">
        <v>14316928</v>
      </c>
      <c r="N2730">
        <v>23041</v>
      </c>
      <c r="O2730" s="26">
        <v>1467102.92</v>
      </c>
      <c r="P2730" s="5" t="s">
        <v>42</v>
      </c>
      <c r="Q2730" s="5" t="s">
        <v>51</v>
      </c>
      <c r="R2730">
        <v>4.9000000000000004</v>
      </c>
      <c r="S2730">
        <v>17</v>
      </c>
      <c r="T2730">
        <f t="shared" si="42"/>
        <v>1</v>
      </c>
    </row>
    <row r="2731" spans="1:20">
      <c r="A2731" s="4">
        <v>45859</v>
      </c>
      <c r="B2731">
        <v>2025</v>
      </c>
      <c r="C2731">
        <v>7</v>
      </c>
      <c r="D2731" s="5" t="s">
        <v>54</v>
      </c>
      <c r="E2731" s="5" t="s">
        <v>70</v>
      </c>
      <c r="F2731" s="5" t="s">
        <v>71</v>
      </c>
      <c r="G2731" s="5" t="s">
        <v>72</v>
      </c>
      <c r="H2731" s="5" t="s">
        <v>52</v>
      </c>
      <c r="I2731" s="5" t="s">
        <v>53</v>
      </c>
      <c r="J2731" s="5" t="s">
        <v>41</v>
      </c>
      <c r="K2731">
        <v>53</v>
      </c>
      <c r="L2731">
        <v>927980</v>
      </c>
      <c r="M2731" s="26">
        <v>49182940</v>
      </c>
      <c r="N2731">
        <v>9814</v>
      </c>
      <c r="O2731" s="26">
        <v>4920678.97</v>
      </c>
      <c r="P2731" s="5" t="s">
        <v>50</v>
      </c>
      <c r="Q2731" s="5" t="s">
        <v>43</v>
      </c>
      <c r="R2731">
        <v>4.8</v>
      </c>
      <c r="S2731">
        <v>8</v>
      </c>
      <c r="T2731">
        <f t="shared" si="42"/>
        <v>0</v>
      </c>
    </row>
    <row r="2732" spans="1:20">
      <c r="A2732" s="4">
        <v>45839</v>
      </c>
      <c r="B2732">
        <v>2025</v>
      </c>
      <c r="C2732">
        <v>7</v>
      </c>
      <c r="D2732" s="5" t="s">
        <v>66</v>
      </c>
      <c r="E2732" s="5" t="s">
        <v>67</v>
      </c>
      <c r="F2732" s="5" t="s">
        <v>68</v>
      </c>
      <c r="G2732" s="5" t="s">
        <v>69</v>
      </c>
      <c r="H2732" s="5" t="s">
        <v>80</v>
      </c>
      <c r="I2732" s="5" t="s">
        <v>81</v>
      </c>
      <c r="J2732" s="5" t="s">
        <v>41</v>
      </c>
      <c r="K2732">
        <v>33</v>
      </c>
      <c r="L2732">
        <v>545020</v>
      </c>
      <c r="M2732" s="26">
        <v>17985660</v>
      </c>
      <c r="N2732">
        <v>35049</v>
      </c>
      <c r="O2732" s="26">
        <v>2622080.19</v>
      </c>
      <c r="P2732" s="5" t="s">
        <v>50</v>
      </c>
      <c r="Q2732" s="5" t="s">
        <v>51</v>
      </c>
      <c r="R2732">
        <v>4.5999999999999996</v>
      </c>
      <c r="S2732">
        <v>15</v>
      </c>
      <c r="T2732">
        <f t="shared" si="42"/>
        <v>0</v>
      </c>
    </row>
    <row r="2733" spans="1:20">
      <c r="A2733" s="4">
        <v>45854</v>
      </c>
      <c r="B2733">
        <v>2025</v>
      </c>
      <c r="C2733">
        <v>7</v>
      </c>
      <c r="D2733" s="5" t="s">
        <v>35</v>
      </c>
      <c r="E2733" s="5" t="s">
        <v>60</v>
      </c>
      <c r="F2733" s="5" t="s">
        <v>61</v>
      </c>
      <c r="G2733" s="5" t="s">
        <v>62</v>
      </c>
      <c r="H2733" s="5" t="s">
        <v>79</v>
      </c>
      <c r="I2733" s="5" t="s">
        <v>58</v>
      </c>
      <c r="J2733" s="5" t="s">
        <v>49</v>
      </c>
      <c r="K2733">
        <v>34</v>
      </c>
      <c r="L2733">
        <v>926639</v>
      </c>
      <c r="M2733" s="26">
        <v>31505726</v>
      </c>
      <c r="N2733">
        <v>49241</v>
      </c>
      <c r="O2733" s="26">
        <v>4919346.96</v>
      </c>
      <c r="P2733" s="5" t="s">
        <v>42</v>
      </c>
      <c r="Q2733" s="5" t="s">
        <v>51</v>
      </c>
      <c r="R2733">
        <v>4</v>
      </c>
      <c r="S2733">
        <v>8</v>
      </c>
      <c r="T2733">
        <f t="shared" si="42"/>
        <v>1</v>
      </c>
    </row>
    <row r="2734" spans="1:20">
      <c r="A2734" s="4">
        <v>45855</v>
      </c>
      <c r="B2734">
        <v>2025</v>
      </c>
      <c r="C2734">
        <v>7</v>
      </c>
      <c r="D2734" s="5" t="s">
        <v>35</v>
      </c>
      <c r="E2734" s="5" t="s">
        <v>60</v>
      </c>
      <c r="F2734" s="5" t="s">
        <v>61</v>
      </c>
      <c r="G2734" s="5" t="s">
        <v>62</v>
      </c>
      <c r="H2734" s="5" t="s">
        <v>74</v>
      </c>
      <c r="I2734" s="5" t="s">
        <v>40</v>
      </c>
      <c r="J2734" s="5" t="s">
        <v>49</v>
      </c>
      <c r="K2734">
        <v>5</v>
      </c>
      <c r="L2734">
        <v>621730</v>
      </c>
      <c r="M2734" s="26">
        <v>3108650</v>
      </c>
      <c r="N2734">
        <v>21176</v>
      </c>
      <c r="O2734" s="26">
        <v>449820.08</v>
      </c>
      <c r="P2734" s="5" t="s">
        <v>50</v>
      </c>
      <c r="Q2734" s="5" t="s">
        <v>51</v>
      </c>
      <c r="R2734">
        <v>3.7</v>
      </c>
      <c r="S2734">
        <v>5</v>
      </c>
      <c r="T2734">
        <f t="shared" si="42"/>
        <v>0</v>
      </c>
    </row>
    <row r="2735" spans="1:20">
      <c r="A2735" s="4">
        <v>45850</v>
      </c>
      <c r="B2735">
        <v>2025</v>
      </c>
      <c r="C2735">
        <v>7</v>
      </c>
      <c r="D2735" s="5" t="s">
        <v>35</v>
      </c>
      <c r="E2735" s="5" t="s">
        <v>76</v>
      </c>
      <c r="F2735" s="5" t="s">
        <v>77</v>
      </c>
      <c r="G2735" s="5" t="s">
        <v>78</v>
      </c>
      <c r="H2735" s="5" t="s">
        <v>86</v>
      </c>
      <c r="I2735" s="5" t="s">
        <v>40</v>
      </c>
      <c r="J2735" s="5" t="s">
        <v>41</v>
      </c>
      <c r="K2735">
        <v>23</v>
      </c>
      <c r="L2735">
        <v>609608</v>
      </c>
      <c r="M2735" s="26">
        <v>14020984</v>
      </c>
      <c r="N2735">
        <v>28135</v>
      </c>
      <c r="O2735" s="26">
        <v>1920008.51</v>
      </c>
      <c r="P2735" s="5" t="s">
        <v>50</v>
      </c>
      <c r="Q2735" s="5" t="s">
        <v>51</v>
      </c>
      <c r="R2735">
        <v>4.2</v>
      </c>
      <c r="S2735">
        <v>8</v>
      </c>
      <c r="T2735">
        <f t="shared" si="42"/>
        <v>0</v>
      </c>
    </row>
    <row r="2736" spans="1:20">
      <c r="A2736" s="4">
        <v>45860</v>
      </c>
      <c r="B2736">
        <v>2025</v>
      </c>
      <c r="C2736">
        <v>7</v>
      </c>
      <c r="D2736" s="5" t="s">
        <v>35</v>
      </c>
      <c r="E2736" s="5" t="s">
        <v>36</v>
      </c>
      <c r="F2736" s="5" t="s">
        <v>37</v>
      </c>
      <c r="G2736" s="5" t="s">
        <v>38</v>
      </c>
      <c r="H2736" s="5" t="s">
        <v>85</v>
      </c>
      <c r="I2736" s="5" t="s">
        <v>58</v>
      </c>
      <c r="J2736" s="5" t="s">
        <v>49</v>
      </c>
      <c r="K2736">
        <v>23</v>
      </c>
      <c r="L2736">
        <v>965723</v>
      </c>
      <c r="M2736" s="26">
        <v>22211629</v>
      </c>
      <c r="N2736">
        <v>13927</v>
      </c>
      <c r="O2736" s="26">
        <v>1844436.66</v>
      </c>
      <c r="P2736" s="5" t="s">
        <v>42</v>
      </c>
      <c r="Q2736" s="5" t="s">
        <v>43</v>
      </c>
      <c r="R2736">
        <v>4.4000000000000004</v>
      </c>
      <c r="S2736">
        <v>5</v>
      </c>
      <c r="T2736">
        <f t="shared" si="42"/>
        <v>1</v>
      </c>
    </row>
    <row r="2737" spans="1:20">
      <c r="A2737" s="4">
        <v>45856</v>
      </c>
      <c r="B2737">
        <v>2025</v>
      </c>
      <c r="C2737">
        <v>7</v>
      </c>
      <c r="D2737" s="5" t="s">
        <v>35</v>
      </c>
      <c r="E2737" s="5" t="s">
        <v>36</v>
      </c>
      <c r="F2737" s="5" t="s">
        <v>37</v>
      </c>
      <c r="G2737" s="5" t="s">
        <v>38</v>
      </c>
      <c r="H2737" s="5" t="s">
        <v>73</v>
      </c>
      <c r="I2737" s="5" t="s">
        <v>40</v>
      </c>
      <c r="J2737" s="5" t="s">
        <v>49</v>
      </c>
      <c r="K2737">
        <v>50</v>
      </c>
      <c r="L2737">
        <v>716630</v>
      </c>
      <c r="M2737" s="26">
        <v>35831500</v>
      </c>
      <c r="N2737">
        <v>19746</v>
      </c>
      <c r="O2737" s="26">
        <v>4369624.01</v>
      </c>
      <c r="P2737" s="5" t="s">
        <v>50</v>
      </c>
      <c r="Q2737" s="5" t="s">
        <v>75</v>
      </c>
      <c r="R2737">
        <v>4.9000000000000004</v>
      </c>
      <c r="S2737">
        <v>18</v>
      </c>
      <c r="T2737">
        <f t="shared" si="42"/>
        <v>0</v>
      </c>
    </row>
    <row r="2738" spans="1:20">
      <c r="A2738" s="4">
        <v>45848</v>
      </c>
      <c r="B2738">
        <v>2025</v>
      </c>
      <c r="C2738">
        <v>7</v>
      </c>
      <c r="D2738" s="5" t="s">
        <v>35</v>
      </c>
      <c r="E2738" s="5" t="s">
        <v>76</v>
      </c>
      <c r="F2738" s="5" t="s">
        <v>77</v>
      </c>
      <c r="G2738" s="5" t="s">
        <v>78</v>
      </c>
      <c r="H2738" s="5" t="s">
        <v>73</v>
      </c>
      <c r="I2738" s="5" t="s">
        <v>40</v>
      </c>
      <c r="J2738" s="5" t="s">
        <v>49</v>
      </c>
      <c r="K2738">
        <v>39</v>
      </c>
      <c r="L2738">
        <v>746339</v>
      </c>
      <c r="M2738" s="26">
        <v>29107221</v>
      </c>
      <c r="N2738">
        <v>40733</v>
      </c>
      <c r="O2738" s="26">
        <v>3363400.37</v>
      </c>
      <c r="P2738" s="5" t="s">
        <v>42</v>
      </c>
      <c r="Q2738" s="5" t="s">
        <v>75</v>
      </c>
      <c r="R2738">
        <v>5</v>
      </c>
      <c r="S2738">
        <v>9</v>
      </c>
      <c r="T2738">
        <f t="shared" si="42"/>
        <v>1</v>
      </c>
    </row>
    <row r="2739" spans="1:20">
      <c r="A2739" s="4">
        <v>45859</v>
      </c>
      <c r="B2739">
        <v>2025</v>
      </c>
      <c r="C2739">
        <v>7</v>
      </c>
      <c r="D2739" s="5" t="s">
        <v>44</v>
      </c>
      <c r="E2739" s="5" t="s">
        <v>82</v>
      </c>
      <c r="F2739" s="5" t="s">
        <v>83</v>
      </c>
      <c r="G2739" s="5" t="s">
        <v>84</v>
      </c>
      <c r="H2739" s="5" t="s">
        <v>65</v>
      </c>
      <c r="I2739" s="5" t="s">
        <v>53</v>
      </c>
      <c r="J2739" s="5" t="s">
        <v>49</v>
      </c>
      <c r="K2739">
        <v>15</v>
      </c>
      <c r="L2739">
        <v>1224491</v>
      </c>
      <c r="M2739" s="26">
        <v>18367365</v>
      </c>
      <c r="N2739">
        <v>38027</v>
      </c>
      <c r="O2739" s="26">
        <v>2350044.1800000002</v>
      </c>
      <c r="P2739" s="5" t="s">
        <v>42</v>
      </c>
      <c r="Q2739" s="5" t="s">
        <v>75</v>
      </c>
      <c r="R2739">
        <v>3.6</v>
      </c>
      <c r="S2739">
        <v>11</v>
      </c>
      <c r="T2739">
        <f t="shared" si="42"/>
        <v>1</v>
      </c>
    </row>
    <row r="2740" spans="1:20">
      <c r="A2740" s="4">
        <v>45854</v>
      </c>
      <c r="B2740">
        <v>2025</v>
      </c>
      <c r="C2740">
        <v>7</v>
      </c>
      <c r="D2740" s="5" t="s">
        <v>35</v>
      </c>
      <c r="E2740" s="5" t="s">
        <v>60</v>
      </c>
      <c r="F2740" s="5" t="s">
        <v>61</v>
      </c>
      <c r="G2740" s="5" t="s">
        <v>62</v>
      </c>
      <c r="H2740" s="5" t="s">
        <v>52</v>
      </c>
      <c r="I2740" s="5" t="s">
        <v>53</v>
      </c>
      <c r="J2740" s="5" t="s">
        <v>41</v>
      </c>
      <c r="K2740">
        <v>28</v>
      </c>
      <c r="L2740">
        <v>950679</v>
      </c>
      <c r="M2740" s="26">
        <v>26619012</v>
      </c>
      <c r="N2740">
        <v>14248</v>
      </c>
      <c r="O2740" s="26">
        <v>2752750.23</v>
      </c>
      <c r="P2740" s="5" t="s">
        <v>42</v>
      </c>
      <c r="Q2740" s="5" t="s">
        <v>51</v>
      </c>
      <c r="R2740">
        <v>4.3</v>
      </c>
      <c r="S2740">
        <v>7</v>
      </c>
      <c r="T2740">
        <f t="shared" si="42"/>
        <v>1</v>
      </c>
    </row>
    <row r="2741" spans="1:20">
      <c r="A2741" s="4">
        <v>45866</v>
      </c>
      <c r="B2741">
        <v>2025</v>
      </c>
      <c r="C2741">
        <v>7</v>
      </c>
      <c r="D2741" s="5" t="s">
        <v>44</v>
      </c>
      <c r="E2741" s="5" t="s">
        <v>45</v>
      </c>
      <c r="F2741" s="5" t="s">
        <v>46</v>
      </c>
      <c r="G2741" s="5" t="s">
        <v>47</v>
      </c>
      <c r="H2741" s="5" t="s">
        <v>48</v>
      </c>
      <c r="I2741" s="5" t="s">
        <v>40</v>
      </c>
      <c r="J2741" s="5" t="s">
        <v>49</v>
      </c>
      <c r="K2741">
        <v>32</v>
      </c>
      <c r="L2741">
        <v>427913</v>
      </c>
      <c r="M2741" s="26">
        <v>13693216</v>
      </c>
      <c r="N2741">
        <v>43535</v>
      </c>
      <c r="O2741" s="26">
        <v>2180186.64</v>
      </c>
      <c r="P2741" s="5" t="s">
        <v>50</v>
      </c>
      <c r="Q2741" s="5" t="s">
        <v>43</v>
      </c>
      <c r="R2741">
        <v>4</v>
      </c>
      <c r="S2741">
        <v>21</v>
      </c>
      <c r="T2741">
        <f t="shared" si="42"/>
        <v>0</v>
      </c>
    </row>
    <row r="2742" spans="1:20">
      <c r="A2742" s="4">
        <v>45865</v>
      </c>
      <c r="B2742">
        <v>2025</v>
      </c>
      <c r="C2742">
        <v>7</v>
      </c>
      <c r="D2742" s="5" t="s">
        <v>44</v>
      </c>
      <c r="E2742" s="5" t="s">
        <v>82</v>
      </c>
      <c r="F2742" s="5" t="s">
        <v>83</v>
      </c>
      <c r="G2742" s="5" t="s">
        <v>84</v>
      </c>
      <c r="H2742" s="5" t="s">
        <v>39</v>
      </c>
      <c r="I2742" s="5" t="s">
        <v>40</v>
      </c>
      <c r="J2742" s="5" t="s">
        <v>41</v>
      </c>
      <c r="K2742">
        <v>35</v>
      </c>
      <c r="L2742">
        <v>561656</v>
      </c>
      <c r="M2742" s="26">
        <v>19657960</v>
      </c>
      <c r="N2742">
        <v>25085</v>
      </c>
      <c r="O2742" s="26">
        <v>1574531.62</v>
      </c>
      <c r="P2742" s="5" t="s">
        <v>42</v>
      </c>
      <c r="Q2742" s="5" t="s">
        <v>43</v>
      </c>
      <c r="R2742">
        <v>4.4000000000000004</v>
      </c>
      <c r="S2742">
        <v>16</v>
      </c>
      <c r="T2742">
        <f t="shared" si="42"/>
        <v>1</v>
      </c>
    </row>
    <row r="2743" spans="1:20">
      <c r="A2743" s="4">
        <v>45854</v>
      </c>
      <c r="B2743">
        <v>2025</v>
      </c>
      <c r="C2743">
        <v>7</v>
      </c>
      <c r="D2743" s="5" t="s">
        <v>35</v>
      </c>
      <c r="E2743" s="5" t="s">
        <v>60</v>
      </c>
      <c r="F2743" s="5" t="s">
        <v>61</v>
      </c>
      <c r="G2743" s="5" t="s">
        <v>62</v>
      </c>
      <c r="H2743" s="5" t="s">
        <v>86</v>
      </c>
      <c r="I2743" s="5" t="s">
        <v>40</v>
      </c>
      <c r="J2743" s="5" t="s">
        <v>41</v>
      </c>
      <c r="K2743">
        <v>49</v>
      </c>
      <c r="L2743">
        <v>587655</v>
      </c>
      <c r="M2743" s="26">
        <v>28795095</v>
      </c>
      <c r="N2743">
        <v>15027</v>
      </c>
      <c r="O2743" s="26">
        <v>2502784.61</v>
      </c>
      <c r="P2743" s="5" t="s">
        <v>50</v>
      </c>
      <c r="Q2743" s="5" t="s">
        <v>51</v>
      </c>
      <c r="R2743">
        <v>5</v>
      </c>
      <c r="S2743">
        <v>11</v>
      </c>
      <c r="T2743">
        <f t="shared" si="42"/>
        <v>0</v>
      </c>
    </row>
    <row r="2744" spans="1:20">
      <c r="A2744" s="4">
        <v>45847</v>
      </c>
      <c r="B2744">
        <v>2025</v>
      </c>
      <c r="C2744">
        <v>7</v>
      </c>
      <c r="D2744" s="5" t="s">
        <v>44</v>
      </c>
      <c r="E2744" s="5" t="s">
        <v>82</v>
      </c>
      <c r="F2744" s="5" t="s">
        <v>83</v>
      </c>
      <c r="G2744" s="5" t="s">
        <v>84</v>
      </c>
      <c r="H2744" s="5" t="s">
        <v>65</v>
      </c>
      <c r="I2744" s="5" t="s">
        <v>53</v>
      </c>
      <c r="J2744" s="5" t="s">
        <v>49</v>
      </c>
      <c r="K2744">
        <v>55</v>
      </c>
      <c r="L2744">
        <v>1243980</v>
      </c>
      <c r="M2744" s="26">
        <v>68418900</v>
      </c>
      <c r="N2744">
        <v>30464</v>
      </c>
      <c r="O2744" s="26">
        <v>5879811.29</v>
      </c>
      <c r="P2744" s="5" t="s">
        <v>42</v>
      </c>
      <c r="Q2744" s="5" t="s">
        <v>75</v>
      </c>
      <c r="R2744">
        <v>5</v>
      </c>
      <c r="S2744">
        <v>19</v>
      </c>
      <c r="T2744">
        <f t="shared" si="42"/>
        <v>1</v>
      </c>
    </row>
    <row r="2745" spans="1:20">
      <c r="A2745" s="4">
        <v>45861</v>
      </c>
      <c r="B2745">
        <v>2025</v>
      </c>
      <c r="C2745">
        <v>7</v>
      </c>
      <c r="D2745" s="5" t="s">
        <v>44</v>
      </c>
      <c r="E2745" s="5" t="s">
        <v>82</v>
      </c>
      <c r="F2745" s="5" t="s">
        <v>83</v>
      </c>
      <c r="G2745" s="5" t="s">
        <v>84</v>
      </c>
      <c r="H2745" s="5" t="s">
        <v>79</v>
      </c>
      <c r="I2745" s="5" t="s">
        <v>58</v>
      </c>
      <c r="J2745" s="5" t="s">
        <v>49</v>
      </c>
      <c r="K2745">
        <v>15</v>
      </c>
      <c r="L2745">
        <v>895829</v>
      </c>
      <c r="M2745" s="26">
        <v>13437435</v>
      </c>
      <c r="N2745">
        <v>5628</v>
      </c>
      <c r="O2745" s="26">
        <v>1411916.2</v>
      </c>
      <c r="P2745" s="5" t="s">
        <v>42</v>
      </c>
      <c r="Q2745" s="5" t="s">
        <v>51</v>
      </c>
      <c r="R2745">
        <v>4.8</v>
      </c>
      <c r="S2745">
        <v>20</v>
      </c>
      <c r="T2745">
        <f t="shared" si="42"/>
        <v>1</v>
      </c>
    </row>
    <row r="2746" spans="1:20">
      <c r="A2746" s="4">
        <v>45846</v>
      </c>
      <c r="B2746">
        <v>2025</v>
      </c>
      <c r="C2746">
        <v>7</v>
      </c>
      <c r="D2746" s="5" t="s">
        <v>44</v>
      </c>
      <c r="E2746" s="5" t="s">
        <v>45</v>
      </c>
      <c r="F2746" s="5" t="s">
        <v>46</v>
      </c>
      <c r="G2746" s="5" t="s">
        <v>47</v>
      </c>
      <c r="H2746" s="5" t="s">
        <v>52</v>
      </c>
      <c r="I2746" s="5" t="s">
        <v>53</v>
      </c>
      <c r="J2746" s="5" t="s">
        <v>41</v>
      </c>
      <c r="K2746">
        <v>34</v>
      </c>
      <c r="L2746">
        <v>979881</v>
      </c>
      <c r="M2746" s="26">
        <v>33315954</v>
      </c>
      <c r="N2746">
        <v>40668</v>
      </c>
      <c r="O2746" s="26">
        <v>3550923.54</v>
      </c>
      <c r="P2746" s="5" t="s">
        <v>42</v>
      </c>
      <c r="Q2746" s="5" t="s">
        <v>75</v>
      </c>
      <c r="R2746">
        <v>4.3</v>
      </c>
      <c r="S2746">
        <v>15</v>
      </c>
      <c r="T2746">
        <f t="shared" si="42"/>
        <v>1</v>
      </c>
    </row>
    <row r="2747" spans="1:20">
      <c r="A2747" s="4">
        <v>45856</v>
      </c>
      <c r="B2747">
        <v>2025</v>
      </c>
      <c r="C2747">
        <v>7</v>
      </c>
      <c r="D2747" s="5" t="s">
        <v>44</v>
      </c>
      <c r="E2747" s="5" t="s">
        <v>45</v>
      </c>
      <c r="F2747" s="5" t="s">
        <v>46</v>
      </c>
      <c r="G2747" s="5" t="s">
        <v>47</v>
      </c>
      <c r="H2747" s="5" t="s">
        <v>57</v>
      </c>
      <c r="I2747" s="5" t="s">
        <v>58</v>
      </c>
      <c r="J2747" s="5" t="s">
        <v>59</v>
      </c>
      <c r="K2747">
        <v>44</v>
      </c>
      <c r="L2747">
        <v>1415617</v>
      </c>
      <c r="M2747" s="26">
        <v>62287148</v>
      </c>
      <c r="N2747">
        <v>13100</v>
      </c>
      <c r="O2747" s="26">
        <v>6253315.79</v>
      </c>
      <c r="P2747" s="5" t="s">
        <v>50</v>
      </c>
      <c r="Q2747" s="5" t="s">
        <v>75</v>
      </c>
      <c r="R2747">
        <v>4.2</v>
      </c>
      <c r="S2747">
        <v>19</v>
      </c>
      <c r="T2747">
        <f t="shared" si="42"/>
        <v>0</v>
      </c>
    </row>
    <row r="2748" spans="1:20">
      <c r="A2748" s="4">
        <v>45851</v>
      </c>
      <c r="B2748">
        <v>2025</v>
      </c>
      <c r="C2748">
        <v>7</v>
      </c>
      <c r="D2748" s="5" t="s">
        <v>35</v>
      </c>
      <c r="E2748" s="5" t="s">
        <v>60</v>
      </c>
      <c r="F2748" s="5" t="s">
        <v>61</v>
      </c>
      <c r="G2748" s="5" t="s">
        <v>62</v>
      </c>
      <c r="H2748" s="5" t="s">
        <v>86</v>
      </c>
      <c r="I2748" s="5" t="s">
        <v>40</v>
      </c>
      <c r="J2748" s="5" t="s">
        <v>41</v>
      </c>
      <c r="K2748">
        <v>41</v>
      </c>
      <c r="L2748">
        <v>587187</v>
      </c>
      <c r="M2748" s="26">
        <v>24074667</v>
      </c>
      <c r="N2748">
        <v>27559</v>
      </c>
      <c r="O2748" s="26">
        <v>3794313.79</v>
      </c>
      <c r="P2748" s="5" t="s">
        <v>42</v>
      </c>
      <c r="Q2748" s="5" t="s">
        <v>75</v>
      </c>
      <c r="R2748">
        <v>3.9</v>
      </c>
      <c r="S2748">
        <v>15</v>
      </c>
      <c r="T2748">
        <f t="shared" si="42"/>
        <v>1</v>
      </c>
    </row>
    <row r="2749" spans="1:20">
      <c r="A2749" s="4">
        <v>45847</v>
      </c>
      <c r="B2749">
        <v>2025</v>
      </c>
      <c r="C2749">
        <v>7</v>
      </c>
      <c r="D2749" s="5" t="s">
        <v>44</v>
      </c>
      <c r="E2749" s="5" t="s">
        <v>82</v>
      </c>
      <c r="F2749" s="5" t="s">
        <v>83</v>
      </c>
      <c r="G2749" s="5" t="s">
        <v>84</v>
      </c>
      <c r="H2749" s="5" t="s">
        <v>86</v>
      </c>
      <c r="I2749" s="5" t="s">
        <v>40</v>
      </c>
      <c r="J2749" s="5" t="s">
        <v>41</v>
      </c>
      <c r="K2749">
        <v>19</v>
      </c>
      <c r="L2749">
        <v>594592</v>
      </c>
      <c r="M2749" s="26">
        <v>11297248</v>
      </c>
      <c r="N2749">
        <v>16949</v>
      </c>
      <c r="O2749" s="26">
        <v>1392158.95</v>
      </c>
      <c r="P2749" s="5" t="s">
        <v>50</v>
      </c>
      <c r="Q2749" s="5" t="s">
        <v>43</v>
      </c>
      <c r="R2749">
        <v>4.9000000000000004</v>
      </c>
      <c r="S2749">
        <v>19</v>
      </c>
      <c r="T2749">
        <f t="shared" si="42"/>
        <v>0</v>
      </c>
    </row>
    <row r="2750" spans="1:20">
      <c r="A2750" s="4">
        <v>45852</v>
      </c>
      <c r="B2750">
        <v>2025</v>
      </c>
      <c r="C2750">
        <v>7</v>
      </c>
      <c r="D2750" s="5" t="s">
        <v>44</v>
      </c>
      <c r="E2750" s="5" t="s">
        <v>82</v>
      </c>
      <c r="F2750" s="5" t="s">
        <v>83</v>
      </c>
      <c r="G2750" s="5" t="s">
        <v>84</v>
      </c>
      <c r="H2750" s="5" t="s">
        <v>65</v>
      </c>
      <c r="I2750" s="5" t="s">
        <v>53</v>
      </c>
      <c r="J2750" s="5" t="s">
        <v>49</v>
      </c>
      <c r="K2750">
        <v>48</v>
      </c>
      <c r="L2750">
        <v>1231395</v>
      </c>
      <c r="M2750" s="26">
        <v>59106960</v>
      </c>
      <c r="N2750">
        <v>18138</v>
      </c>
      <c r="O2750" s="26">
        <v>6622916.3300000001</v>
      </c>
      <c r="P2750" s="5" t="s">
        <v>42</v>
      </c>
      <c r="Q2750" s="5" t="s">
        <v>75</v>
      </c>
      <c r="R2750">
        <v>4.9000000000000004</v>
      </c>
      <c r="S2750">
        <v>11</v>
      </c>
      <c r="T2750">
        <f t="shared" si="42"/>
        <v>1</v>
      </c>
    </row>
    <row r="2751" spans="1:20">
      <c r="A2751" s="4">
        <v>45860</v>
      </c>
      <c r="B2751">
        <v>2025</v>
      </c>
      <c r="C2751">
        <v>7</v>
      </c>
      <c r="D2751" s="5" t="s">
        <v>35</v>
      </c>
      <c r="E2751" s="5" t="s">
        <v>36</v>
      </c>
      <c r="F2751" s="5" t="s">
        <v>37</v>
      </c>
      <c r="G2751" s="5" t="s">
        <v>38</v>
      </c>
      <c r="H2751" s="5" t="s">
        <v>79</v>
      </c>
      <c r="I2751" s="5" t="s">
        <v>58</v>
      </c>
      <c r="J2751" s="5" t="s">
        <v>49</v>
      </c>
      <c r="K2751">
        <v>12</v>
      </c>
      <c r="L2751">
        <v>870999</v>
      </c>
      <c r="M2751" s="26">
        <v>10451988</v>
      </c>
      <c r="N2751">
        <v>29470</v>
      </c>
      <c r="O2751" s="26">
        <v>895883.31</v>
      </c>
      <c r="P2751" s="5" t="s">
        <v>50</v>
      </c>
      <c r="Q2751" s="5" t="s">
        <v>75</v>
      </c>
      <c r="R2751">
        <v>3.9</v>
      </c>
      <c r="S2751">
        <v>19</v>
      </c>
      <c r="T2751">
        <f t="shared" si="42"/>
        <v>0</v>
      </c>
    </row>
    <row r="2752" spans="1:20">
      <c r="A2752" s="4">
        <v>45876</v>
      </c>
      <c r="B2752">
        <v>2025</v>
      </c>
      <c r="C2752">
        <v>8</v>
      </c>
      <c r="D2752" s="5" t="s">
        <v>54</v>
      </c>
      <c r="E2752" s="5" t="s">
        <v>70</v>
      </c>
      <c r="F2752" s="5" t="s">
        <v>71</v>
      </c>
      <c r="G2752" s="5" t="s">
        <v>72</v>
      </c>
      <c r="H2752" s="5" t="s">
        <v>80</v>
      </c>
      <c r="I2752" s="5" t="s">
        <v>81</v>
      </c>
      <c r="J2752" s="5" t="s">
        <v>41</v>
      </c>
      <c r="K2752">
        <v>6</v>
      </c>
      <c r="L2752">
        <v>528303</v>
      </c>
      <c r="M2752" s="26">
        <v>3169818</v>
      </c>
      <c r="N2752">
        <v>45010</v>
      </c>
      <c r="O2752" s="26">
        <v>382268.99</v>
      </c>
      <c r="P2752" s="5" t="s">
        <v>50</v>
      </c>
      <c r="Q2752" s="5" t="s">
        <v>75</v>
      </c>
      <c r="R2752">
        <v>4.5999999999999996</v>
      </c>
      <c r="S2752">
        <v>15</v>
      </c>
      <c r="T2752">
        <f t="shared" si="42"/>
        <v>0</v>
      </c>
    </row>
    <row r="2753" spans="1:20">
      <c r="A2753" s="4">
        <v>45897</v>
      </c>
      <c r="B2753">
        <v>2025</v>
      </c>
      <c r="C2753">
        <v>8</v>
      </c>
      <c r="D2753" s="5" t="s">
        <v>35</v>
      </c>
      <c r="E2753" s="5" t="s">
        <v>60</v>
      </c>
      <c r="F2753" s="5" t="s">
        <v>61</v>
      </c>
      <c r="G2753" s="5" t="s">
        <v>62</v>
      </c>
      <c r="H2753" s="5" t="s">
        <v>57</v>
      </c>
      <c r="I2753" s="5" t="s">
        <v>58</v>
      </c>
      <c r="J2753" s="5" t="s">
        <v>59</v>
      </c>
      <c r="K2753">
        <v>38</v>
      </c>
      <c r="L2753">
        <v>1428682</v>
      </c>
      <c r="M2753" s="26">
        <v>54289916</v>
      </c>
      <c r="N2753">
        <v>41372</v>
      </c>
      <c r="O2753" s="26">
        <v>8229439.9000000004</v>
      </c>
      <c r="P2753" s="5" t="s">
        <v>42</v>
      </c>
      <c r="Q2753" s="5" t="s">
        <v>43</v>
      </c>
      <c r="R2753">
        <v>4.0999999999999996</v>
      </c>
      <c r="S2753">
        <v>21</v>
      </c>
      <c r="T2753">
        <f t="shared" si="42"/>
        <v>1</v>
      </c>
    </row>
    <row r="2754" spans="1:20">
      <c r="A2754" s="4">
        <v>45878</v>
      </c>
      <c r="B2754">
        <v>2025</v>
      </c>
      <c r="C2754">
        <v>8</v>
      </c>
      <c r="D2754" s="5" t="s">
        <v>44</v>
      </c>
      <c r="E2754" s="5" t="s">
        <v>82</v>
      </c>
      <c r="F2754" s="5" t="s">
        <v>83</v>
      </c>
      <c r="G2754" s="5" t="s">
        <v>84</v>
      </c>
      <c r="H2754" s="5" t="s">
        <v>48</v>
      </c>
      <c r="I2754" s="5" t="s">
        <v>40</v>
      </c>
      <c r="J2754" s="5" t="s">
        <v>49</v>
      </c>
      <c r="K2754">
        <v>55</v>
      </c>
      <c r="L2754">
        <v>421444</v>
      </c>
      <c r="M2754" s="26">
        <v>23179420</v>
      </c>
      <c r="N2754">
        <v>12062</v>
      </c>
      <c r="O2754" s="26">
        <v>2547826.02</v>
      </c>
      <c r="P2754" s="5" t="s">
        <v>42</v>
      </c>
      <c r="Q2754" s="5" t="s">
        <v>43</v>
      </c>
      <c r="R2754">
        <v>4.9000000000000004</v>
      </c>
      <c r="S2754">
        <v>12</v>
      </c>
      <c r="T2754">
        <f t="shared" ref="T2754:T2817" si="43">IF(AND(OR($B2754=Sel_Year,Sel_Year="All"),OR($C2754=Sel_Month,Sel_Month="All"),OR($D2754=Sel_Region,Sel_Region="All"),OR($E2754=Sel_State,Sel_State="All"),OR($F2754=Sel_City,Sel_City="All"),OR($G2754=Sel_Dealer,Sel_Dealer="All"),OR($H2754=Sel_Model,Sel_Model="All"),OR($I2754=Sel_Segment,Sel_Segment="All"),OR($J2754=Sel_Fuel,Sel_Fuel="All"),OR($P2754=Sel_CustType,Sel_CustType="All"),OR($Q2754=Sel_Payment,Sel_Payment="All")),1,0)</f>
        <v>1</v>
      </c>
    </row>
    <row r="2755" spans="1:20">
      <c r="A2755" s="4">
        <v>45884</v>
      </c>
      <c r="B2755">
        <v>2025</v>
      </c>
      <c r="C2755">
        <v>8</v>
      </c>
      <c r="D2755" s="5" t="s">
        <v>66</v>
      </c>
      <c r="E2755" s="5" t="s">
        <v>67</v>
      </c>
      <c r="F2755" s="5" t="s">
        <v>68</v>
      </c>
      <c r="G2755" s="5" t="s">
        <v>69</v>
      </c>
      <c r="H2755" s="5" t="s">
        <v>48</v>
      </c>
      <c r="I2755" s="5" t="s">
        <v>40</v>
      </c>
      <c r="J2755" s="5" t="s">
        <v>49</v>
      </c>
      <c r="K2755">
        <v>12</v>
      </c>
      <c r="L2755">
        <v>452439</v>
      </c>
      <c r="M2755" s="26">
        <v>5429268</v>
      </c>
      <c r="N2755">
        <v>30417</v>
      </c>
      <c r="O2755" s="26">
        <v>818834.66</v>
      </c>
      <c r="P2755" s="5" t="s">
        <v>42</v>
      </c>
      <c r="Q2755" s="5" t="s">
        <v>51</v>
      </c>
      <c r="R2755">
        <v>4.2</v>
      </c>
      <c r="S2755">
        <v>8</v>
      </c>
      <c r="T2755">
        <f t="shared" si="43"/>
        <v>1</v>
      </c>
    </row>
    <row r="2756" spans="1:20">
      <c r="A2756" s="4">
        <v>45884</v>
      </c>
      <c r="B2756">
        <v>2025</v>
      </c>
      <c r="C2756">
        <v>8</v>
      </c>
      <c r="D2756" s="5" t="s">
        <v>54</v>
      </c>
      <c r="E2756" s="5" t="s">
        <v>70</v>
      </c>
      <c r="F2756" s="5" t="s">
        <v>71</v>
      </c>
      <c r="G2756" s="5" t="s">
        <v>72</v>
      </c>
      <c r="H2756" s="5" t="s">
        <v>57</v>
      </c>
      <c r="I2756" s="5" t="s">
        <v>58</v>
      </c>
      <c r="J2756" s="5" t="s">
        <v>59</v>
      </c>
      <c r="K2756">
        <v>31</v>
      </c>
      <c r="L2756">
        <v>1425727</v>
      </c>
      <c r="M2756" s="26">
        <v>44197537</v>
      </c>
      <c r="N2756">
        <v>34346</v>
      </c>
      <c r="O2756" s="26">
        <v>6240814.6500000004</v>
      </c>
      <c r="P2756" s="5" t="s">
        <v>42</v>
      </c>
      <c r="Q2756" s="5" t="s">
        <v>43</v>
      </c>
      <c r="R2756">
        <v>3.8</v>
      </c>
      <c r="S2756">
        <v>4</v>
      </c>
      <c r="T2756">
        <f t="shared" si="43"/>
        <v>1</v>
      </c>
    </row>
    <row r="2757" spans="1:20">
      <c r="A2757" s="4">
        <v>45884</v>
      </c>
      <c r="B2757">
        <v>2025</v>
      </c>
      <c r="C2757">
        <v>8</v>
      </c>
      <c r="D2757" s="5" t="s">
        <v>54</v>
      </c>
      <c r="E2757" s="5" t="s">
        <v>55</v>
      </c>
      <c r="F2757" s="5" t="s">
        <v>55</v>
      </c>
      <c r="G2757" s="5" t="s">
        <v>56</v>
      </c>
      <c r="H2757" s="5" t="s">
        <v>74</v>
      </c>
      <c r="I2757" s="5" t="s">
        <v>40</v>
      </c>
      <c r="J2757" s="5" t="s">
        <v>49</v>
      </c>
      <c r="K2757">
        <v>21</v>
      </c>
      <c r="L2757">
        <v>649660</v>
      </c>
      <c r="M2757" s="26">
        <v>13642860</v>
      </c>
      <c r="N2757">
        <v>13234</v>
      </c>
      <c r="O2757" s="26">
        <v>2123501.0699999998</v>
      </c>
      <c r="P2757" s="5" t="s">
        <v>42</v>
      </c>
      <c r="Q2757" s="5" t="s">
        <v>43</v>
      </c>
      <c r="R2757">
        <v>3.9</v>
      </c>
      <c r="S2757">
        <v>4</v>
      </c>
      <c r="T2757">
        <f t="shared" si="43"/>
        <v>1</v>
      </c>
    </row>
    <row r="2758" spans="1:20">
      <c r="A2758" s="4">
        <v>45894</v>
      </c>
      <c r="B2758">
        <v>2025</v>
      </c>
      <c r="C2758">
        <v>8</v>
      </c>
      <c r="D2758" s="5" t="s">
        <v>54</v>
      </c>
      <c r="E2758" s="5" t="s">
        <v>70</v>
      </c>
      <c r="F2758" s="5" t="s">
        <v>71</v>
      </c>
      <c r="G2758" s="5" t="s">
        <v>72</v>
      </c>
      <c r="H2758" s="5" t="s">
        <v>74</v>
      </c>
      <c r="I2758" s="5" t="s">
        <v>40</v>
      </c>
      <c r="J2758" s="5" t="s">
        <v>49</v>
      </c>
      <c r="K2758">
        <v>34</v>
      </c>
      <c r="L2758">
        <v>668183</v>
      </c>
      <c r="M2758" s="26">
        <v>22718222</v>
      </c>
      <c r="N2758">
        <v>25229</v>
      </c>
      <c r="O2758" s="26">
        <v>1874596.09</v>
      </c>
      <c r="P2758" s="5" t="s">
        <v>50</v>
      </c>
      <c r="Q2758" s="5" t="s">
        <v>75</v>
      </c>
      <c r="R2758">
        <v>3.8</v>
      </c>
      <c r="S2758">
        <v>15</v>
      </c>
      <c r="T2758">
        <f t="shared" si="43"/>
        <v>0</v>
      </c>
    </row>
    <row r="2759" spans="1:20">
      <c r="A2759" s="4">
        <v>45895</v>
      </c>
      <c r="B2759">
        <v>2025</v>
      </c>
      <c r="C2759">
        <v>8</v>
      </c>
      <c r="D2759" s="5" t="s">
        <v>35</v>
      </c>
      <c r="E2759" s="5" t="s">
        <v>76</v>
      </c>
      <c r="F2759" s="5" t="s">
        <v>77</v>
      </c>
      <c r="G2759" s="5" t="s">
        <v>78</v>
      </c>
      <c r="H2759" s="5" t="s">
        <v>79</v>
      </c>
      <c r="I2759" s="5" t="s">
        <v>58</v>
      </c>
      <c r="J2759" s="5" t="s">
        <v>49</v>
      </c>
      <c r="K2759">
        <v>53</v>
      </c>
      <c r="L2759">
        <v>890799</v>
      </c>
      <c r="M2759" s="26">
        <v>47212347</v>
      </c>
      <c r="N2759">
        <v>10000</v>
      </c>
      <c r="O2759" s="26">
        <v>3930034.58</v>
      </c>
      <c r="P2759" s="5" t="s">
        <v>50</v>
      </c>
      <c r="Q2759" s="5" t="s">
        <v>51</v>
      </c>
      <c r="R2759">
        <v>4.2</v>
      </c>
      <c r="S2759">
        <v>16</v>
      </c>
      <c r="T2759">
        <f t="shared" si="43"/>
        <v>0</v>
      </c>
    </row>
    <row r="2760" spans="1:20">
      <c r="A2760" s="4">
        <v>45894</v>
      </c>
      <c r="B2760">
        <v>2025</v>
      </c>
      <c r="C2760">
        <v>8</v>
      </c>
      <c r="D2760" s="5" t="s">
        <v>44</v>
      </c>
      <c r="E2760" s="5" t="s">
        <v>45</v>
      </c>
      <c r="F2760" s="5" t="s">
        <v>46</v>
      </c>
      <c r="G2760" s="5" t="s">
        <v>47</v>
      </c>
      <c r="H2760" s="5" t="s">
        <v>63</v>
      </c>
      <c r="I2760" s="5" t="s">
        <v>64</v>
      </c>
      <c r="J2760" s="5" t="s">
        <v>41</v>
      </c>
      <c r="K2760">
        <v>8</v>
      </c>
      <c r="L2760">
        <v>751435</v>
      </c>
      <c r="M2760" s="26">
        <v>6011480</v>
      </c>
      <c r="N2760">
        <v>12136</v>
      </c>
      <c r="O2760" s="26">
        <v>483437.66</v>
      </c>
      <c r="P2760" s="5" t="s">
        <v>50</v>
      </c>
      <c r="Q2760" s="5" t="s">
        <v>75</v>
      </c>
      <c r="R2760">
        <v>4.4000000000000004</v>
      </c>
      <c r="S2760">
        <v>6</v>
      </c>
      <c r="T2760">
        <f t="shared" si="43"/>
        <v>0</v>
      </c>
    </row>
    <row r="2761" spans="1:20">
      <c r="A2761" s="4">
        <v>45879</v>
      </c>
      <c r="B2761">
        <v>2025</v>
      </c>
      <c r="C2761">
        <v>8</v>
      </c>
      <c r="D2761" s="5" t="s">
        <v>35</v>
      </c>
      <c r="E2761" s="5" t="s">
        <v>76</v>
      </c>
      <c r="F2761" s="5" t="s">
        <v>77</v>
      </c>
      <c r="G2761" s="5" t="s">
        <v>78</v>
      </c>
      <c r="H2761" s="5" t="s">
        <v>79</v>
      </c>
      <c r="I2761" s="5" t="s">
        <v>58</v>
      </c>
      <c r="J2761" s="5" t="s">
        <v>49</v>
      </c>
      <c r="K2761">
        <v>49</v>
      </c>
      <c r="L2761">
        <v>879842</v>
      </c>
      <c r="M2761" s="26">
        <v>43112258</v>
      </c>
      <c r="N2761">
        <v>18734</v>
      </c>
      <c r="O2761" s="26">
        <v>4946618.0999999996</v>
      </c>
      <c r="P2761" s="5" t="s">
        <v>42</v>
      </c>
      <c r="Q2761" s="5" t="s">
        <v>43</v>
      </c>
      <c r="R2761">
        <v>4.4000000000000004</v>
      </c>
      <c r="S2761">
        <v>2</v>
      </c>
      <c r="T2761">
        <f t="shared" si="43"/>
        <v>1</v>
      </c>
    </row>
    <row r="2762" spans="1:20">
      <c r="A2762" s="4">
        <v>45896</v>
      </c>
      <c r="B2762">
        <v>2025</v>
      </c>
      <c r="C2762">
        <v>8</v>
      </c>
      <c r="D2762" s="5" t="s">
        <v>35</v>
      </c>
      <c r="E2762" s="5" t="s">
        <v>36</v>
      </c>
      <c r="F2762" s="5" t="s">
        <v>37</v>
      </c>
      <c r="G2762" s="5" t="s">
        <v>38</v>
      </c>
      <c r="H2762" s="5" t="s">
        <v>73</v>
      </c>
      <c r="I2762" s="5" t="s">
        <v>40</v>
      </c>
      <c r="J2762" s="5" t="s">
        <v>49</v>
      </c>
      <c r="K2762">
        <v>29</v>
      </c>
      <c r="L2762">
        <v>741491</v>
      </c>
      <c r="M2762" s="26">
        <v>21503239</v>
      </c>
      <c r="N2762">
        <v>41163</v>
      </c>
      <c r="O2762" s="26">
        <v>2378674.42</v>
      </c>
      <c r="P2762" s="5" t="s">
        <v>42</v>
      </c>
      <c r="Q2762" s="5" t="s">
        <v>51</v>
      </c>
      <c r="R2762">
        <v>4.5</v>
      </c>
      <c r="S2762">
        <v>6</v>
      </c>
      <c r="T2762">
        <f t="shared" si="43"/>
        <v>1</v>
      </c>
    </row>
    <row r="2763" spans="1:20">
      <c r="A2763" s="4">
        <v>45880</v>
      </c>
      <c r="B2763">
        <v>2025</v>
      </c>
      <c r="C2763">
        <v>8</v>
      </c>
      <c r="D2763" s="5" t="s">
        <v>54</v>
      </c>
      <c r="E2763" s="5" t="s">
        <v>55</v>
      </c>
      <c r="F2763" s="5" t="s">
        <v>55</v>
      </c>
      <c r="G2763" s="5" t="s">
        <v>56</v>
      </c>
      <c r="H2763" s="5" t="s">
        <v>74</v>
      </c>
      <c r="I2763" s="5" t="s">
        <v>40</v>
      </c>
      <c r="J2763" s="5" t="s">
        <v>49</v>
      </c>
      <c r="K2763">
        <v>32</v>
      </c>
      <c r="L2763">
        <v>661341</v>
      </c>
      <c r="M2763" s="26">
        <v>21162912</v>
      </c>
      <c r="N2763">
        <v>10333</v>
      </c>
      <c r="O2763" s="26">
        <v>3043874.25</v>
      </c>
      <c r="P2763" s="5" t="s">
        <v>42</v>
      </c>
      <c r="Q2763" s="5" t="s">
        <v>43</v>
      </c>
      <c r="R2763">
        <v>4.8</v>
      </c>
      <c r="S2763">
        <v>14</v>
      </c>
      <c r="T2763">
        <f t="shared" si="43"/>
        <v>1</v>
      </c>
    </row>
    <row r="2764" spans="1:20">
      <c r="A2764" s="4">
        <v>45891</v>
      </c>
      <c r="B2764">
        <v>2025</v>
      </c>
      <c r="C2764">
        <v>8</v>
      </c>
      <c r="D2764" s="5" t="s">
        <v>35</v>
      </c>
      <c r="E2764" s="5" t="s">
        <v>76</v>
      </c>
      <c r="F2764" s="5" t="s">
        <v>77</v>
      </c>
      <c r="G2764" s="5" t="s">
        <v>78</v>
      </c>
      <c r="H2764" s="5" t="s">
        <v>85</v>
      </c>
      <c r="I2764" s="5" t="s">
        <v>58</v>
      </c>
      <c r="J2764" s="5" t="s">
        <v>49</v>
      </c>
      <c r="K2764">
        <v>31</v>
      </c>
      <c r="L2764">
        <v>960452</v>
      </c>
      <c r="M2764" s="26">
        <v>29774012</v>
      </c>
      <c r="N2764">
        <v>9557</v>
      </c>
      <c r="O2764" s="26">
        <v>2770615.12</v>
      </c>
      <c r="P2764" s="5" t="s">
        <v>42</v>
      </c>
      <c r="Q2764" s="5" t="s">
        <v>51</v>
      </c>
      <c r="R2764">
        <v>4.5999999999999996</v>
      </c>
      <c r="S2764">
        <v>3</v>
      </c>
      <c r="T2764">
        <f t="shared" si="43"/>
        <v>1</v>
      </c>
    </row>
    <row r="2765" spans="1:20">
      <c r="A2765" s="4">
        <v>45888</v>
      </c>
      <c r="B2765">
        <v>2025</v>
      </c>
      <c r="C2765">
        <v>8</v>
      </c>
      <c r="D2765" s="5" t="s">
        <v>54</v>
      </c>
      <c r="E2765" s="5" t="s">
        <v>55</v>
      </c>
      <c r="F2765" s="5" t="s">
        <v>55</v>
      </c>
      <c r="G2765" s="5" t="s">
        <v>56</v>
      </c>
      <c r="H2765" s="5" t="s">
        <v>80</v>
      </c>
      <c r="I2765" s="5" t="s">
        <v>81</v>
      </c>
      <c r="J2765" s="5" t="s">
        <v>41</v>
      </c>
      <c r="K2765">
        <v>5</v>
      </c>
      <c r="L2765">
        <v>570370</v>
      </c>
      <c r="M2765" s="26">
        <v>2851850</v>
      </c>
      <c r="N2765">
        <v>27592</v>
      </c>
      <c r="O2765" s="26">
        <v>363272.45</v>
      </c>
      <c r="P2765" s="5" t="s">
        <v>50</v>
      </c>
      <c r="Q2765" s="5" t="s">
        <v>43</v>
      </c>
      <c r="R2765">
        <v>4.7</v>
      </c>
      <c r="S2765">
        <v>20</v>
      </c>
      <c r="T2765">
        <f t="shared" si="43"/>
        <v>0</v>
      </c>
    </row>
    <row r="2766" spans="1:20">
      <c r="A2766" s="4">
        <v>45897</v>
      </c>
      <c r="B2766">
        <v>2025</v>
      </c>
      <c r="C2766">
        <v>8</v>
      </c>
      <c r="D2766" s="5" t="s">
        <v>66</v>
      </c>
      <c r="E2766" s="5" t="s">
        <v>67</v>
      </c>
      <c r="F2766" s="5" t="s">
        <v>68</v>
      </c>
      <c r="G2766" s="5" t="s">
        <v>69</v>
      </c>
      <c r="H2766" s="5" t="s">
        <v>39</v>
      </c>
      <c r="I2766" s="5" t="s">
        <v>40</v>
      </c>
      <c r="J2766" s="5" t="s">
        <v>41</v>
      </c>
      <c r="K2766">
        <v>37</v>
      </c>
      <c r="L2766">
        <v>576690</v>
      </c>
      <c r="M2766" s="26">
        <v>21337530</v>
      </c>
      <c r="N2766">
        <v>34925</v>
      </c>
      <c r="O2766" s="26">
        <v>1981665.96</v>
      </c>
      <c r="P2766" s="5" t="s">
        <v>50</v>
      </c>
      <c r="Q2766" s="5" t="s">
        <v>75</v>
      </c>
      <c r="R2766">
        <v>4.7</v>
      </c>
      <c r="S2766">
        <v>2</v>
      </c>
      <c r="T2766">
        <f t="shared" si="43"/>
        <v>0</v>
      </c>
    </row>
    <row r="2767" spans="1:20">
      <c r="A2767" s="4">
        <v>45876</v>
      </c>
      <c r="B2767">
        <v>2025</v>
      </c>
      <c r="C2767">
        <v>8</v>
      </c>
      <c r="D2767" s="5" t="s">
        <v>54</v>
      </c>
      <c r="E2767" s="5" t="s">
        <v>70</v>
      </c>
      <c r="F2767" s="5" t="s">
        <v>71</v>
      </c>
      <c r="G2767" s="5" t="s">
        <v>72</v>
      </c>
      <c r="H2767" s="5" t="s">
        <v>79</v>
      </c>
      <c r="I2767" s="5" t="s">
        <v>58</v>
      </c>
      <c r="J2767" s="5" t="s">
        <v>49</v>
      </c>
      <c r="K2767">
        <v>17</v>
      </c>
      <c r="L2767">
        <v>915157</v>
      </c>
      <c r="M2767" s="26">
        <v>15557669</v>
      </c>
      <c r="N2767">
        <v>14162</v>
      </c>
      <c r="O2767" s="26">
        <v>2026540.51</v>
      </c>
      <c r="P2767" s="5" t="s">
        <v>42</v>
      </c>
      <c r="Q2767" s="5" t="s">
        <v>75</v>
      </c>
      <c r="R2767">
        <v>3.8</v>
      </c>
      <c r="S2767">
        <v>14</v>
      </c>
      <c r="T2767">
        <f t="shared" si="43"/>
        <v>1</v>
      </c>
    </row>
    <row r="2768" spans="1:20">
      <c r="A2768" s="4">
        <v>45884</v>
      </c>
      <c r="B2768">
        <v>2025</v>
      </c>
      <c r="C2768">
        <v>8</v>
      </c>
      <c r="D2768" s="5" t="s">
        <v>54</v>
      </c>
      <c r="E2768" s="5" t="s">
        <v>55</v>
      </c>
      <c r="F2768" s="5" t="s">
        <v>55</v>
      </c>
      <c r="G2768" s="5" t="s">
        <v>56</v>
      </c>
      <c r="H2768" s="5" t="s">
        <v>74</v>
      </c>
      <c r="I2768" s="5" t="s">
        <v>40</v>
      </c>
      <c r="J2768" s="5" t="s">
        <v>49</v>
      </c>
      <c r="K2768">
        <v>13</v>
      </c>
      <c r="L2768">
        <v>679584</v>
      </c>
      <c r="M2768" s="26">
        <v>8834592</v>
      </c>
      <c r="N2768">
        <v>47294</v>
      </c>
      <c r="O2768" s="26">
        <v>1356925.08</v>
      </c>
      <c r="P2768" s="5" t="s">
        <v>50</v>
      </c>
      <c r="Q2768" s="5" t="s">
        <v>51</v>
      </c>
      <c r="R2768">
        <v>4</v>
      </c>
      <c r="S2768">
        <v>7</v>
      </c>
      <c r="T2768">
        <f t="shared" si="43"/>
        <v>0</v>
      </c>
    </row>
    <row r="2769" spans="1:20">
      <c r="A2769" s="4">
        <v>45893</v>
      </c>
      <c r="B2769">
        <v>2025</v>
      </c>
      <c r="C2769">
        <v>8</v>
      </c>
      <c r="D2769" s="5" t="s">
        <v>66</v>
      </c>
      <c r="E2769" s="5" t="s">
        <v>67</v>
      </c>
      <c r="F2769" s="5" t="s">
        <v>68</v>
      </c>
      <c r="G2769" s="5" t="s">
        <v>69</v>
      </c>
      <c r="H2769" s="5" t="s">
        <v>48</v>
      </c>
      <c r="I2769" s="5" t="s">
        <v>40</v>
      </c>
      <c r="J2769" s="5" t="s">
        <v>49</v>
      </c>
      <c r="K2769">
        <v>59</v>
      </c>
      <c r="L2769">
        <v>451728</v>
      </c>
      <c r="M2769" s="26">
        <v>26651952</v>
      </c>
      <c r="N2769">
        <v>6457</v>
      </c>
      <c r="O2769" s="26">
        <v>3679253.72</v>
      </c>
      <c r="P2769" s="5" t="s">
        <v>50</v>
      </c>
      <c r="Q2769" s="5" t="s">
        <v>43</v>
      </c>
      <c r="R2769">
        <v>4.9000000000000004</v>
      </c>
      <c r="S2769">
        <v>18</v>
      </c>
      <c r="T2769">
        <f t="shared" si="43"/>
        <v>0</v>
      </c>
    </row>
    <row r="2770" spans="1:20">
      <c r="A2770" s="4">
        <v>45878</v>
      </c>
      <c r="B2770">
        <v>2025</v>
      </c>
      <c r="C2770">
        <v>8</v>
      </c>
      <c r="D2770" s="5" t="s">
        <v>35</v>
      </c>
      <c r="E2770" s="5" t="s">
        <v>76</v>
      </c>
      <c r="F2770" s="5" t="s">
        <v>77</v>
      </c>
      <c r="G2770" s="5" t="s">
        <v>78</v>
      </c>
      <c r="H2770" s="5" t="s">
        <v>80</v>
      </c>
      <c r="I2770" s="5" t="s">
        <v>81</v>
      </c>
      <c r="J2770" s="5" t="s">
        <v>41</v>
      </c>
      <c r="K2770">
        <v>25</v>
      </c>
      <c r="L2770">
        <v>534432</v>
      </c>
      <c r="M2770" s="26">
        <v>13360800</v>
      </c>
      <c r="N2770">
        <v>25089</v>
      </c>
      <c r="O2770" s="26">
        <v>1845086.99</v>
      </c>
      <c r="P2770" s="5" t="s">
        <v>50</v>
      </c>
      <c r="Q2770" s="5" t="s">
        <v>75</v>
      </c>
      <c r="R2770">
        <v>4.5999999999999996</v>
      </c>
      <c r="S2770">
        <v>2</v>
      </c>
      <c r="T2770">
        <f t="shared" si="43"/>
        <v>0</v>
      </c>
    </row>
    <row r="2771" spans="1:20">
      <c r="A2771" s="4">
        <v>45887</v>
      </c>
      <c r="B2771">
        <v>2025</v>
      </c>
      <c r="C2771">
        <v>8</v>
      </c>
      <c r="D2771" s="5" t="s">
        <v>35</v>
      </c>
      <c r="E2771" s="5" t="s">
        <v>36</v>
      </c>
      <c r="F2771" s="5" t="s">
        <v>37</v>
      </c>
      <c r="G2771" s="5" t="s">
        <v>38</v>
      </c>
      <c r="H2771" s="5" t="s">
        <v>79</v>
      </c>
      <c r="I2771" s="5" t="s">
        <v>58</v>
      </c>
      <c r="J2771" s="5" t="s">
        <v>49</v>
      </c>
      <c r="K2771">
        <v>13</v>
      </c>
      <c r="L2771">
        <v>895906</v>
      </c>
      <c r="M2771" s="26">
        <v>11646778</v>
      </c>
      <c r="N2771">
        <v>16141</v>
      </c>
      <c r="O2771" s="26">
        <v>1347080.24</v>
      </c>
      <c r="P2771" s="5" t="s">
        <v>42</v>
      </c>
      <c r="Q2771" s="5" t="s">
        <v>43</v>
      </c>
      <c r="R2771">
        <v>4.8</v>
      </c>
      <c r="S2771">
        <v>20</v>
      </c>
      <c r="T2771">
        <f t="shared" si="43"/>
        <v>1</v>
      </c>
    </row>
    <row r="2772" spans="1:20">
      <c r="A2772" s="4">
        <v>45887</v>
      </c>
      <c r="B2772">
        <v>2025</v>
      </c>
      <c r="C2772">
        <v>8</v>
      </c>
      <c r="D2772" s="5" t="s">
        <v>44</v>
      </c>
      <c r="E2772" s="5" t="s">
        <v>45</v>
      </c>
      <c r="F2772" s="5" t="s">
        <v>46</v>
      </c>
      <c r="G2772" s="5" t="s">
        <v>47</v>
      </c>
      <c r="H2772" s="5" t="s">
        <v>79</v>
      </c>
      <c r="I2772" s="5" t="s">
        <v>58</v>
      </c>
      <c r="J2772" s="5" t="s">
        <v>49</v>
      </c>
      <c r="K2772">
        <v>60</v>
      </c>
      <c r="L2772">
        <v>920499</v>
      </c>
      <c r="M2772" s="26">
        <v>55229940</v>
      </c>
      <c r="N2772">
        <v>39857</v>
      </c>
      <c r="O2772" s="26">
        <v>7115110.5800000001</v>
      </c>
      <c r="P2772" s="5" t="s">
        <v>42</v>
      </c>
      <c r="Q2772" s="5" t="s">
        <v>51</v>
      </c>
      <c r="R2772">
        <v>3.8</v>
      </c>
      <c r="S2772">
        <v>9</v>
      </c>
      <c r="T2772">
        <f t="shared" si="43"/>
        <v>1</v>
      </c>
    </row>
    <row r="2773" spans="1:20">
      <c r="A2773" s="4">
        <v>45897</v>
      </c>
      <c r="B2773">
        <v>2025</v>
      </c>
      <c r="C2773">
        <v>8</v>
      </c>
      <c r="D2773" s="5" t="s">
        <v>35</v>
      </c>
      <c r="E2773" s="5" t="s">
        <v>60</v>
      </c>
      <c r="F2773" s="5" t="s">
        <v>61</v>
      </c>
      <c r="G2773" s="5" t="s">
        <v>62</v>
      </c>
      <c r="H2773" s="5" t="s">
        <v>39</v>
      </c>
      <c r="I2773" s="5" t="s">
        <v>40</v>
      </c>
      <c r="J2773" s="5" t="s">
        <v>41</v>
      </c>
      <c r="K2773">
        <v>45</v>
      </c>
      <c r="L2773">
        <v>552018</v>
      </c>
      <c r="M2773" s="26">
        <v>24840810</v>
      </c>
      <c r="N2773">
        <v>33870</v>
      </c>
      <c r="O2773" s="26">
        <v>3099208.27</v>
      </c>
      <c r="P2773" s="5" t="s">
        <v>42</v>
      </c>
      <c r="Q2773" s="5" t="s">
        <v>43</v>
      </c>
      <c r="R2773">
        <v>4</v>
      </c>
      <c r="S2773">
        <v>8</v>
      </c>
      <c r="T2773">
        <f t="shared" si="43"/>
        <v>1</v>
      </c>
    </row>
    <row r="2774" spans="1:20">
      <c r="A2774" s="4">
        <v>45870</v>
      </c>
      <c r="B2774">
        <v>2025</v>
      </c>
      <c r="C2774">
        <v>8</v>
      </c>
      <c r="D2774" s="5" t="s">
        <v>35</v>
      </c>
      <c r="E2774" s="5" t="s">
        <v>36</v>
      </c>
      <c r="F2774" s="5" t="s">
        <v>37</v>
      </c>
      <c r="G2774" s="5" t="s">
        <v>38</v>
      </c>
      <c r="H2774" s="5" t="s">
        <v>57</v>
      </c>
      <c r="I2774" s="5" t="s">
        <v>58</v>
      </c>
      <c r="J2774" s="5" t="s">
        <v>59</v>
      </c>
      <c r="K2774">
        <v>13</v>
      </c>
      <c r="L2774">
        <v>1378006</v>
      </c>
      <c r="M2774" s="26">
        <v>17914078</v>
      </c>
      <c r="N2774">
        <v>48344</v>
      </c>
      <c r="O2774" s="26">
        <v>2691582.35</v>
      </c>
      <c r="P2774" s="5" t="s">
        <v>50</v>
      </c>
      <c r="Q2774" s="5" t="s">
        <v>75</v>
      </c>
      <c r="R2774">
        <v>4</v>
      </c>
      <c r="S2774">
        <v>14</v>
      </c>
      <c r="T2774">
        <f t="shared" si="43"/>
        <v>0</v>
      </c>
    </row>
    <row r="2775" spans="1:20">
      <c r="A2775" s="4">
        <v>45896</v>
      </c>
      <c r="B2775">
        <v>2025</v>
      </c>
      <c r="C2775">
        <v>8</v>
      </c>
      <c r="D2775" s="5" t="s">
        <v>35</v>
      </c>
      <c r="E2775" s="5" t="s">
        <v>76</v>
      </c>
      <c r="F2775" s="5" t="s">
        <v>77</v>
      </c>
      <c r="G2775" s="5" t="s">
        <v>78</v>
      </c>
      <c r="H2775" s="5" t="s">
        <v>39</v>
      </c>
      <c r="I2775" s="5" t="s">
        <v>40</v>
      </c>
      <c r="J2775" s="5" t="s">
        <v>41</v>
      </c>
      <c r="K2775">
        <v>32</v>
      </c>
      <c r="L2775">
        <v>567817</v>
      </c>
      <c r="M2775" s="26">
        <v>18170144</v>
      </c>
      <c r="N2775">
        <v>24645</v>
      </c>
      <c r="O2775" s="26">
        <v>1653385.51</v>
      </c>
      <c r="P2775" s="5" t="s">
        <v>50</v>
      </c>
      <c r="Q2775" s="5" t="s">
        <v>43</v>
      </c>
      <c r="R2775">
        <v>4</v>
      </c>
      <c r="S2775">
        <v>8</v>
      </c>
      <c r="T2775">
        <f t="shared" si="43"/>
        <v>0</v>
      </c>
    </row>
    <row r="2776" spans="1:20">
      <c r="A2776" s="4">
        <v>45894</v>
      </c>
      <c r="B2776">
        <v>2025</v>
      </c>
      <c r="C2776">
        <v>8</v>
      </c>
      <c r="D2776" s="5" t="s">
        <v>35</v>
      </c>
      <c r="E2776" s="5" t="s">
        <v>76</v>
      </c>
      <c r="F2776" s="5" t="s">
        <v>77</v>
      </c>
      <c r="G2776" s="5" t="s">
        <v>78</v>
      </c>
      <c r="H2776" s="5" t="s">
        <v>65</v>
      </c>
      <c r="I2776" s="5" t="s">
        <v>53</v>
      </c>
      <c r="J2776" s="5" t="s">
        <v>49</v>
      </c>
      <c r="K2776">
        <v>43</v>
      </c>
      <c r="L2776">
        <v>1239329</v>
      </c>
      <c r="M2776" s="26">
        <v>53291147</v>
      </c>
      <c r="N2776">
        <v>22638</v>
      </c>
      <c r="O2776" s="26">
        <v>5345408.92</v>
      </c>
      <c r="P2776" s="5" t="s">
        <v>42</v>
      </c>
      <c r="Q2776" s="5" t="s">
        <v>75</v>
      </c>
      <c r="R2776">
        <v>3.8</v>
      </c>
      <c r="S2776">
        <v>11</v>
      </c>
      <c r="T2776">
        <f t="shared" si="43"/>
        <v>1</v>
      </c>
    </row>
    <row r="2777" spans="1:20">
      <c r="A2777" s="4">
        <v>45888</v>
      </c>
      <c r="B2777">
        <v>2025</v>
      </c>
      <c r="C2777">
        <v>8</v>
      </c>
      <c r="D2777" s="5" t="s">
        <v>54</v>
      </c>
      <c r="E2777" s="5" t="s">
        <v>70</v>
      </c>
      <c r="F2777" s="5" t="s">
        <v>71</v>
      </c>
      <c r="G2777" s="5" t="s">
        <v>72</v>
      </c>
      <c r="H2777" s="5" t="s">
        <v>63</v>
      </c>
      <c r="I2777" s="5" t="s">
        <v>64</v>
      </c>
      <c r="J2777" s="5" t="s">
        <v>41</v>
      </c>
      <c r="K2777">
        <v>29</v>
      </c>
      <c r="L2777">
        <v>745405</v>
      </c>
      <c r="M2777" s="26">
        <v>21616745</v>
      </c>
      <c r="N2777">
        <v>15745</v>
      </c>
      <c r="O2777" s="26">
        <v>2682671.29</v>
      </c>
      <c r="P2777" s="5" t="s">
        <v>42</v>
      </c>
      <c r="Q2777" s="5" t="s">
        <v>51</v>
      </c>
      <c r="R2777">
        <v>4.2</v>
      </c>
      <c r="S2777">
        <v>20</v>
      </c>
      <c r="T2777">
        <f t="shared" si="43"/>
        <v>1</v>
      </c>
    </row>
    <row r="2778" spans="1:20">
      <c r="A2778" s="4">
        <v>45873</v>
      </c>
      <c r="B2778">
        <v>2025</v>
      </c>
      <c r="C2778">
        <v>8</v>
      </c>
      <c r="D2778" s="5" t="s">
        <v>35</v>
      </c>
      <c r="E2778" s="5" t="s">
        <v>60</v>
      </c>
      <c r="F2778" s="5" t="s">
        <v>61</v>
      </c>
      <c r="G2778" s="5" t="s">
        <v>62</v>
      </c>
      <c r="H2778" s="5" t="s">
        <v>86</v>
      </c>
      <c r="I2778" s="5" t="s">
        <v>40</v>
      </c>
      <c r="J2778" s="5" t="s">
        <v>41</v>
      </c>
      <c r="K2778">
        <v>58</v>
      </c>
      <c r="L2778">
        <v>599181</v>
      </c>
      <c r="M2778" s="26">
        <v>34752498</v>
      </c>
      <c r="N2778">
        <v>17106</v>
      </c>
      <c r="O2778" s="26">
        <v>4800669.58</v>
      </c>
      <c r="P2778" s="5" t="s">
        <v>42</v>
      </c>
      <c r="Q2778" s="5" t="s">
        <v>51</v>
      </c>
      <c r="R2778">
        <v>4.4000000000000004</v>
      </c>
      <c r="S2778">
        <v>18</v>
      </c>
      <c r="T2778">
        <f t="shared" si="43"/>
        <v>1</v>
      </c>
    </row>
    <row r="2779" spans="1:20">
      <c r="A2779" s="4">
        <v>45871</v>
      </c>
      <c r="B2779">
        <v>2025</v>
      </c>
      <c r="C2779">
        <v>8</v>
      </c>
      <c r="D2779" s="5" t="s">
        <v>35</v>
      </c>
      <c r="E2779" s="5" t="s">
        <v>76</v>
      </c>
      <c r="F2779" s="5" t="s">
        <v>77</v>
      </c>
      <c r="G2779" s="5" t="s">
        <v>78</v>
      </c>
      <c r="H2779" s="5" t="s">
        <v>80</v>
      </c>
      <c r="I2779" s="5" t="s">
        <v>81</v>
      </c>
      <c r="J2779" s="5" t="s">
        <v>41</v>
      </c>
      <c r="K2779">
        <v>51</v>
      </c>
      <c r="L2779">
        <v>560755</v>
      </c>
      <c r="M2779" s="26">
        <v>28598505</v>
      </c>
      <c r="N2779">
        <v>42140</v>
      </c>
      <c r="O2779" s="26">
        <v>3793112.62</v>
      </c>
      <c r="P2779" s="5" t="s">
        <v>50</v>
      </c>
      <c r="Q2779" s="5" t="s">
        <v>75</v>
      </c>
      <c r="R2779">
        <v>4.8</v>
      </c>
      <c r="S2779">
        <v>5</v>
      </c>
      <c r="T2779">
        <f t="shared" si="43"/>
        <v>0</v>
      </c>
    </row>
    <row r="2780" spans="1:20">
      <c r="A2780" s="4">
        <v>45885</v>
      </c>
      <c r="B2780">
        <v>2025</v>
      </c>
      <c r="C2780">
        <v>8</v>
      </c>
      <c r="D2780" s="5" t="s">
        <v>54</v>
      </c>
      <c r="E2780" s="5" t="s">
        <v>55</v>
      </c>
      <c r="F2780" s="5" t="s">
        <v>55</v>
      </c>
      <c r="G2780" s="5" t="s">
        <v>56</v>
      </c>
      <c r="H2780" s="5" t="s">
        <v>73</v>
      </c>
      <c r="I2780" s="5" t="s">
        <v>40</v>
      </c>
      <c r="J2780" s="5" t="s">
        <v>49</v>
      </c>
      <c r="K2780">
        <v>24</v>
      </c>
      <c r="L2780">
        <v>707171</v>
      </c>
      <c r="M2780" s="26">
        <v>16972104</v>
      </c>
      <c r="N2780">
        <v>29023</v>
      </c>
      <c r="O2780" s="26">
        <v>1978472.45</v>
      </c>
      <c r="P2780" s="5" t="s">
        <v>42</v>
      </c>
      <c r="Q2780" s="5" t="s">
        <v>43</v>
      </c>
      <c r="R2780">
        <v>4.9000000000000004</v>
      </c>
      <c r="S2780">
        <v>13</v>
      </c>
      <c r="T2780">
        <f t="shared" si="43"/>
        <v>1</v>
      </c>
    </row>
    <row r="2781" spans="1:20">
      <c r="A2781" s="4">
        <v>45870</v>
      </c>
      <c r="B2781">
        <v>2025</v>
      </c>
      <c r="C2781">
        <v>8</v>
      </c>
      <c r="D2781" s="5" t="s">
        <v>44</v>
      </c>
      <c r="E2781" s="5" t="s">
        <v>45</v>
      </c>
      <c r="F2781" s="5" t="s">
        <v>46</v>
      </c>
      <c r="G2781" s="5" t="s">
        <v>47</v>
      </c>
      <c r="H2781" s="5" t="s">
        <v>73</v>
      </c>
      <c r="I2781" s="5" t="s">
        <v>40</v>
      </c>
      <c r="J2781" s="5" t="s">
        <v>49</v>
      </c>
      <c r="K2781">
        <v>25</v>
      </c>
      <c r="L2781">
        <v>721657</v>
      </c>
      <c r="M2781" s="26">
        <v>18041425</v>
      </c>
      <c r="N2781">
        <v>5452</v>
      </c>
      <c r="O2781" s="26">
        <v>2535755.19</v>
      </c>
      <c r="P2781" s="5" t="s">
        <v>50</v>
      </c>
      <c r="Q2781" s="5" t="s">
        <v>51</v>
      </c>
      <c r="R2781">
        <v>4.3</v>
      </c>
      <c r="S2781">
        <v>7</v>
      </c>
      <c r="T2781">
        <f t="shared" si="43"/>
        <v>0</v>
      </c>
    </row>
    <row r="2782" spans="1:20">
      <c r="A2782" s="4">
        <v>45885</v>
      </c>
      <c r="B2782">
        <v>2025</v>
      </c>
      <c r="C2782">
        <v>8</v>
      </c>
      <c r="D2782" s="5" t="s">
        <v>44</v>
      </c>
      <c r="E2782" s="5" t="s">
        <v>82</v>
      </c>
      <c r="F2782" s="5" t="s">
        <v>83</v>
      </c>
      <c r="G2782" s="5" t="s">
        <v>84</v>
      </c>
      <c r="H2782" s="5" t="s">
        <v>39</v>
      </c>
      <c r="I2782" s="5" t="s">
        <v>40</v>
      </c>
      <c r="J2782" s="5" t="s">
        <v>41</v>
      </c>
      <c r="K2782">
        <v>28</v>
      </c>
      <c r="L2782">
        <v>562029</v>
      </c>
      <c r="M2782" s="26">
        <v>15736812</v>
      </c>
      <c r="N2782">
        <v>49287</v>
      </c>
      <c r="O2782" s="26">
        <v>1953784.31</v>
      </c>
      <c r="P2782" s="5" t="s">
        <v>42</v>
      </c>
      <c r="Q2782" s="5" t="s">
        <v>51</v>
      </c>
      <c r="R2782">
        <v>3.8</v>
      </c>
      <c r="S2782">
        <v>9</v>
      </c>
      <c r="T2782">
        <f t="shared" si="43"/>
        <v>1</v>
      </c>
    </row>
    <row r="2783" spans="1:20">
      <c r="A2783" s="4">
        <v>45870</v>
      </c>
      <c r="B2783">
        <v>2025</v>
      </c>
      <c r="C2783">
        <v>8</v>
      </c>
      <c r="D2783" s="5" t="s">
        <v>44</v>
      </c>
      <c r="E2783" s="5" t="s">
        <v>82</v>
      </c>
      <c r="F2783" s="5" t="s">
        <v>83</v>
      </c>
      <c r="G2783" s="5" t="s">
        <v>84</v>
      </c>
      <c r="H2783" s="5" t="s">
        <v>65</v>
      </c>
      <c r="I2783" s="5" t="s">
        <v>53</v>
      </c>
      <c r="J2783" s="5" t="s">
        <v>49</v>
      </c>
      <c r="K2783">
        <v>51</v>
      </c>
      <c r="L2783">
        <v>1228494</v>
      </c>
      <c r="M2783" s="26">
        <v>62653194</v>
      </c>
      <c r="N2783">
        <v>44826</v>
      </c>
      <c r="O2783" s="26">
        <v>5481959.5499999998</v>
      </c>
      <c r="P2783" s="5" t="s">
        <v>42</v>
      </c>
      <c r="Q2783" s="5" t="s">
        <v>75</v>
      </c>
      <c r="R2783">
        <v>4.2</v>
      </c>
      <c r="S2783">
        <v>19</v>
      </c>
      <c r="T2783">
        <f t="shared" si="43"/>
        <v>1</v>
      </c>
    </row>
    <row r="2784" spans="1:20">
      <c r="A2784" s="4">
        <v>45879</v>
      </c>
      <c r="B2784">
        <v>2025</v>
      </c>
      <c r="C2784">
        <v>8</v>
      </c>
      <c r="D2784" s="5" t="s">
        <v>35</v>
      </c>
      <c r="E2784" s="5" t="s">
        <v>76</v>
      </c>
      <c r="F2784" s="5" t="s">
        <v>77</v>
      </c>
      <c r="G2784" s="5" t="s">
        <v>78</v>
      </c>
      <c r="H2784" s="5" t="s">
        <v>74</v>
      </c>
      <c r="I2784" s="5" t="s">
        <v>40</v>
      </c>
      <c r="J2784" s="5" t="s">
        <v>49</v>
      </c>
      <c r="K2784">
        <v>46</v>
      </c>
      <c r="L2784">
        <v>624232</v>
      </c>
      <c r="M2784" s="26">
        <v>28714672</v>
      </c>
      <c r="N2784">
        <v>10588</v>
      </c>
      <c r="O2784" s="26">
        <v>4557061.6500000004</v>
      </c>
      <c r="P2784" s="5" t="s">
        <v>42</v>
      </c>
      <c r="Q2784" s="5" t="s">
        <v>51</v>
      </c>
      <c r="R2784">
        <v>3.8</v>
      </c>
      <c r="S2784">
        <v>3</v>
      </c>
      <c r="T2784">
        <f t="shared" si="43"/>
        <v>1</v>
      </c>
    </row>
    <row r="2785" spans="1:20">
      <c r="A2785" s="4">
        <v>45882</v>
      </c>
      <c r="B2785">
        <v>2025</v>
      </c>
      <c r="C2785">
        <v>8</v>
      </c>
      <c r="D2785" s="5" t="s">
        <v>66</v>
      </c>
      <c r="E2785" s="5" t="s">
        <v>67</v>
      </c>
      <c r="F2785" s="5" t="s">
        <v>68</v>
      </c>
      <c r="G2785" s="5" t="s">
        <v>69</v>
      </c>
      <c r="H2785" s="5" t="s">
        <v>63</v>
      </c>
      <c r="I2785" s="5" t="s">
        <v>64</v>
      </c>
      <c r="J2785" s="5" t="s">
        <v>41</v>
      </c>
      <c r="K2785">
        <v>32</v>
      </c>
      <c r="L2785">
        <v>747421</v>
      </c>
      <c r="M2785" s="26">
        <v>23917472</v>
      </c>
      <c r="N2785">
        <v>19243</v>
      </c>
      <c r="O2785" s="26">
        <v>3400089.13</v>
      </c>
      <c r="P2785" s="5" t="s">
        <v>50</v>
      </c>
      <c r="Q2785" s="5" t="s">
        <v>75</v>
      </c>
      <c r="R2785">
        <v>4.7</v>
      </c>
      <c r="S2785">
        <v>8</v>
      </c>
      <c r="T2785">
        <f t="shared" si="43"/>
        <v>0</v>
      </c>
    </row>
    <row r="2786" spans="1:20">
      <c r="A2786" s="4">
        <v>45878</v>
      </c>
      <c r="B2786">
        <v>2025</v>
      </c>
      <c r="C2786">
        <v>8</v>
      </c>
      <c r="D2786" s="5" t="s">
        <v>44</v>
      </c>
      <c r="E2786" s="5" t="s">
        <v>82</v>
      </c>
      <c r="F2786" s="5" t="s">
        <v>83</v>
      </c>
      <c r="G2786" s="5" t="s">
        <v>84</v>
      </c>
      <c r="H2786" s="5" t="s">
        <v>85</v>
      </c>
      <c r="I2786" s="5" t="s">
        <v>58</v>
      </c>
      <c r="J2786" s="5" t="s">
        <v>49</v>
      </c>
      <c r="K2786">
        <v>47</v>
      </c>
      <c r="L2786">
        <v>988782</v>
      </c>
      <c r="M2786" s="26">
        <v>46472754</v>
      </c>
      <c r="N2786">
        <v>5519</v>
      </c>
      <c r="O2786" s="26">
        <v>6067861.4699999997</v>
      </c>
      <c r="P2786" s="5" t="s">
        <v>42</v>
      </c>
      <c r="Q2786" s="5" t="s">
        <v>43</v>
      </c>
      <c r="R2786">
        <v>4.7</v>
      </c>
      <c r="S2786">
        <v>16</v>
      </c>
      <c r="T2786">
        <f t="shared" si="43"/>
        <v>1</v>
      </c>
    </row>
    <row r="2787" spans="1:20">
      <c r="A2787" s="4">
        <v>45896</v>
      </c>
      <c r="B2787">
        <v>2025</v>
      </c>
      <c r="C2787">
        <v>8</v>
      </c>
      <c r="D2787" s="5" t="s">
        <v>44</v>
      </c>
      <c r="E2787" s="5" t="s">
        <v>45</v>
      </c>
      <c r="F2787" s="5" t="s">
        <v>46</v>
      </c>
      <c r="G2787" s="5" t="s">
        <v>47</v>
      </c>
      <c r="H2787" s="5" t="s">
        <v>39</v>
      </c>
      <c r="I2787" s="5" t="s">
        <v>40</v>
      </c>
      <c r="J2787" s="5" t="s">
        <v>41</v>
      </c>
      <c r="K2787">
        <v>60</v>
      </c>
      <c r="L2787">
        <v>586650</v>
      </c>
      <c r="M2787" s="26">
        <v>35199000</v>
      </c>
      <c r="N2787">
        <v>22307</v>
      </c>
      <c r="O2787" s="26">
        <v>4426576.72</v>
      </c>
      <c r="P2787" s="5" t="s">
        <v>50</v>
      </c>
      <c r="Q2787" s="5" t="s">
        <v>51</v>
      </c>
      <c r="R2787">
        <v>3.7</v>
      </c>
      <c r="S2787">
        <v>2</v>
      </c>
      <c r="T2787">
        <f t="shared" si="43"/>
        <v>0</v>
      </c>
    </row>
    <row r="2788" spans="1:20">
      <c r="A2788" s="4">
        <v>45881</v>
      </c>
      <c r="B2788">
        <v>2025</v>
      </c>
      <c r="C2788">
        <v>8</v>
      </c>
      <c r="D2788" s="5" t="s">
        <v>35</v>
      </c>
      <c r="E2788" s="5" t="s">
        <v>36</v>
      </c>
      <c r="F2788" s="5" t="s">
        <v>37</v>
      </c>
      <c r="G2788" s="5" t="s">
        <v>38</v>
      </c>
      <c r="H2788" s="5" t="s">
        <v>73</v>
      </c>
      <c r="I2788" s="5" t="s">
        <v>40</v>
      </c>
      <c r="J2788" s="5" t="s">
        <v>49</v>
      </c>
      <c r="K2788">
        <v>22</v>
      </c>
      <c r="L2788">
        <v>703050</v>
      </c>
      <c r="M2788" s="26">
        <v>15467100</v>
      </c>
      <c r="N2788">
        <v>6037</v>
      </c>
      <c r="O2788" s="26">
        <v>1862137.68</v>
      </c>
      <c r="P2788" s="5" t="s">
        <v>42</v>
      </c>
      <c r="Q2788" s="5" t="s">
        <v>75</v>
      </c>
      <c r="R2788">
        <v>4.8</v>
      </c>
      <c r="S2788">
        <v>11</v>
      </c>
      <c r="T2788">
        <f t="shared" si="43"/>
        <v>1</v>
      </c>
    </row>
    <row r="2789" spans="1:20">
      <c r="A2789" s="4">
        <v>45889</v>
      </c>
      <c r="B2789">
        <v>2025</v>
      </c>
      <c r="C2789">
        <v>8</v>
      </c>
      <c r="D2789" s="5" t="s">
        <v>54</v>
      </c>
      <c r="E2789" s="5" t="s">
        <v>70</v>
      </c>
      <c r="F2789" s="5" t="s">
        <v>71</v>
      </c>
      <c r="G2789" s="5" t="s">
        <v>72</v>
      </c>
      <c r="H2789" s="5" t="s">
        <v>85</v>
      </c>
      <c r="I2789" s="5" t="s">
        <v>58</v>
      </c>
      <c r="J2789" s="5" t="s">
        <v>49</v>
      </c>
      <c r="K2789">
        <v>30</v>
      </c>
      <c r="L2789">
        <v>966740</v>
      </c>
      <c r="M2789" s="26">
        <v>29002200</v>
      </c>
      <c r="N2789">
        <v>6758</v>
      </c>
      <c r="O2789" s="26">
        <v>4487382.26</v>
      </c>
      <c r="P2789" s="5" t="s">
        <v>42</v>
      </c>
      <c r="Q2789" s="5" t="s">
        <v>75</v>
      </c>
      <c r="R2789">
        <v>4.5999999999999996</v>
      </c>
      <c r="S2789">
        <v>2</v>
      </c>
      <c r="T2789">
        <f t="shared" si="43"/>
        <v>1</v>
      </c>
    </row>
    <row r="2790" spans="1:20">
      <c r="A2790" s="4">
        <v>45893</v>
      </c>
      <c r="B2790">
        <v>2025</v>
      </c>
      <c r="C2790">
        <v>8</v>
      </c>
      <c r="D2790" s="5" t="s">
        <v>35</v>
      </c>
      <c r="E2790" s="5" t="s">
        <v>60</v>
      </c>
      <c r="F2790" s="5" t="s">
        <v>61</v>
      </c>
      <c r="G2790" s="5" t="s">
        <v>62</v>
      </c>
      <c r="H2790" s="5" t="s">
        <v>65</v>
      </c>
      <c r="I2790" s="5" t="s">
        <v>53</v>
      </c>
      <c r="J2790" s="5" t="s">
        <v>49</v>
      </c>
      <c r="K2790">
        <v>40</v>
      </c>
      <c r="L2790">
        <v>1247496</v>
      </c>
      <c r="M2790" s="26">
        <v>49899840</v>
      </c>
      <c r="N2790">
        <v>46502</v>
      </c>
      <c r="O2790" s="26">
        <v>6861051.5300000003</v>
      </c>
      <c r="P2790" s="5" t="s">
        <v>50</v>
      </c>
      <c r="Q2790" s="5" t="s">
        <v>43</v>
      </c>
      <c r="R2790">
        <v>4</v>
      </c>
      <c r="S2790">
        <v>4</v>
      </c>
      <c r="T2790">
        <f t="shared" si="43"/>
        <v>0</v>
      </c>
    </row>
    <row r="2791" spans="1:20">
      <c r="A2791" s="4">
        <v>45880</v>
      </c>
      <c r="B2791">
        <v>2025</v>
      </c>
      <c r="C2791">
        <v>8</v>
      </c>
      <c r="D2791" s="5" t="s">
        <v>44</v>
      </c>
      <c r="E2791" s="5" t="s">
        <v>82</v>
      </c>
      <c r="F2791" s="5" t="s">
        <v>83</v>
      </c>
      <c r="G2791" s="5" t="s">
        <v>84</v>
      </c>
      <c r="H2791" s="5" t="s">
        <v>57</v>
      </c>
      <c r="I2791" s="5" t="s">
        <v>58</v>
      </c>
      <c r="J2791" s="5" t="s">
        <v>59</v>
      </c>
      <c r="K2791">
        <v>26</v>
      </c>
      <c r="L2791">
        <v>1396743</v>
      </c>
      <c r="M2791" s="26">
        <v>36315318</v>
      </c>
      <c r="N2791">
        <v>46418</v>
      </c>
      <c r="O2791" s="26">
        <v>5742569.4000000004</v>
      </c>
      <c r="P2791" s="5" t="s">
        <v>42</v>
      </c>
      <c r="Q2791" s="5" t="s">
        <v>75</v>
      </c>
      <c r="R2791">
        <v>3.9</v>
      </c>
      <c r="S2791">
        <v>6</v>
      </c>
      <c r="T2791">
        <f t="shared" si="43"/>
        <v>1</v>
      </c>
    </row>
    <row r="2792" spans="1:20">
      <c r="A2792" s="4">
        <v>45870</v>
      </c>
      <c r="B2792">
        <v>2025</v>
      </c>
      <c r="C2792">
        <v>8</v>
      </c>
      <c r="D2792" s="5" t="s">
        <v>35</v>
      </c>
      <c r="E2792" s="5" t="s">
        <v>76</v>
      </c>
      <c r="F2792" s="5" t="s">
        <v>77</v>
      </c>
      <c r="G2792" s="5" t="s">
        <v>78</v>
      </c>
      <c r="H2792" s="5" t="s">
        <v>57</v>
      </c>
      <c r="I2792" s="5" t="s">
        <v>58</v>
      </c>
      <c r="J2792" s="5" t="s">
        <v>59</v>
      </c>
      <c r="K2792">
        <v>49</v>
      </c>
      <c r="L2792">
        <v>1371226</v>
      </c>
      <c r="M2792" s="26">
        <v>67190074</v>
      </c>
      <c r="N2792">
        <v>38508</v>
      </c>
      <c r="O2792" s="26">
        <v>6631564.1500000004</v>
      </c>
      <c r="P2792" s="5" t="s">
        <v>42</v>
      </c>
      <c r="Q2792" s="5" t="s">
        <v>51</v>
      </c>
      <c r="R2792">
        <v>4.3</v>
      </c>
      <c r="S2792">
        <v>10</v>
      </c>
      <c r="T2792">
        <f t="shared" si="43"/>
        <v>1</v>
      </c>
    </row>
    <row r="2793" spans="1:20">
      <c r="A2793" s="4">
        <v>45878</v>
      </c>
      <c r="B2793">
        <v>2025</v>
      </c>
      <c r="C2793">
        <v>8</v>
      </c>
      <c r="D2793" s="5" t="s">
        <v>66</v>
      </c>
      <c r="E2793" s="5" t="s">
        <v>67</v>
      </c>
      <c r="F2793" s="5" t="s">
        <v>68</v>
      </c>
      <c r="G2793" s="5" t="s">
        <v>69</v>
      </c>
      <c r="H2793" s="5" t="s">
        <v>74</v>
      </c>
      <c r="I2793" s="5" t="s">
        <v>40</v>
      </c>
      <c r="J2793" s="5" t="s">
        <v>49</v>
      </c>
      <c r="K2793">
        <v>46</v>
      </c>
      <c r="L2793">
        <v>679556</v>
      </c>
      <c r="M2793" s="26">
        <v>31259576</v>
      </c>
      <c r="N2793">
        <v>45717</v>
      </c>
      <c r="O2793" s="26">
        <v>4684744.16</v>
      </c>
      <c r="P2793" s="5" t="s">
        <v>50</v>
      </c>
      <c r="Q2793" s="5" t="s">
        <v>75</v>
      </c>
      <c r="R2793">
        <v>3.8</v>
      </c>
      <c r="S2793">
        <v>4</v>
      </c>
      <c r="T2793">
        <f t="shared" si="43"/>
        <v>0</v>
      </c>
    </row>
    <row r="2794" spans="1:20">
      <c r="A2794" s="4">
        <v>45875</v>
      </c>
      <c r="B2794">
        <v>2025</v>
      </c>
      <c r="C2794">
        <v>8</v>
      </c>
      <c r="D2794" s="5" t="s">
        <v>35</v>
      </c>
      <c r="E2794" s="5" t="s">
        <v>76</v>
      </c>
      <c r="F2794" s="5" t="s">
        <v>77</v>
      </c>
      <c r="G2794" s="5" t="s">
        <v>78</v>
      </c>
      <c r="H2794" s="5" t="s">
        <v>85</v>
      </c>
      <c r="I2794" s="5" t="s">
        <v>58</v>
      </c>
      <c r="J2794" s="5" t="s">
        <v>49</v>
      </c>
      <c r="K2794">
        <v>44</v>
      </c>
      <c r="L2794">
        <v>986930</v>
      </c>
      <c r="M2794" s="26">
        <v>43424920</v>
      </c>
      <c r="N2794">
        <v>35284</v>
      </c>
      <c r="O2794" s="26">
        <v>6297543.21</v>
      </c>
      <c r="P2794" s="5" t="s">
        <v>50</v>
      </c>
      <c r="Q2794" s="5" t="s">
        <v>43</v>
      </c>
      <c r="R2794">
        <v>4.9000000000000004</v>
      </c>
      <c r="S2794">
        <v>10</v>
      </c>
      <c r="T2794">
        <f t="shared" si="43"/>
        <v>0</v>
      </c>
    </row>
    <row r="2795" spans="1:20">
      <c r="A2795" s="4">
        <v>45881</v>
      </c>
      <c r="B2795">
        <v>2025</v>
      </c>
      <c r="C2795">
        <v>8</v>
      </c>
      <c r="D2795" s="5" t="s">
        <v>35</v>
      </c>
      <c r="E2795" s="5" t="s">
        <v>36</v>
      </c>
      <c r="F2795" s="5" t="s">
        <v>37</v>
      </c>
      <c r="G2795" s="5" t="s">
        <v>38</v>
      </c>
      <c r="H2795" s="5" t="s">
        <v>65</v>
      </c>
      <c r="I2795" s="5" t="s">
        <v>53</v>
      </c>
      <c r="J2795" s="5" t="s">
        <v>49</v>
      </c>
      <c r="K2795">
        <v>49</v>
      </c>
      <c r="L2795">
        <v>1251876</v>
      </c>
      <c r="M2795" s="26">
        <v>61341924</v>
      </c>
      <c r="N2795">
        <v>12021</v>
      </c>
      <c r="O2795" s="26">
        <v>7669637.3499999996</v>
      </c>
      <c r="P2795" s="5" t="s">
        <v>50</v>
      </c>
      <c r="Q2795" s="5" t="s">
        <v>51</v>
      </c>
      <c r="R2795">
        <v>4.8</v>
      </c>
      <c r="S2795">
        <v>13</v>
      </c>
      <c r="T2795">
        <f t="shared" si="43"/>
        <v>0</v>
      </c>
    </row>
    <row r="2796" spans="1:20">
      <c r="A2796" s="4">
        <v>45897</v>
      </c>
      <c r="B2796">
        <v>2025</v>
      </c>
      <c r="C2796">
        <v>8</v>
      </c>
      <c r="D2796" s="5" t="s">
        <v>35</v>
      </c>
      <c r="E2796" s="5" t="s">
        <v>76</v>
      </c>
      <c r="F2796" s="5" t="s">
        <v>77</v>
      </c>
      <c r="G2796" s="5" t="s">
        <v>78</v>
      </c>
      <c r="H2796" s="5" t="s">
        <v>86</v>
      </c>
      <c r="I2796" s="5" t="s">
        <v>40</v>
      </c>
      <c r="J2796" s="5" t="s">
        <v>41</v>
      </c>
      <c r="K2796">
        <v>19</v>
      </c>
      <c r="L2796">
        <v>627483</v>
      </c>
      <c r="M2796" s="26">
        <v>11922177</v>
      </c>
      <c r="N2796">
        <v>21609</v>
      </c>
      <c r="O2796" s="26">
        <v>1010848.79</v>
      </c>
      <c r="P2796" s="5" t="s">
        <v>42</v>
      </c>
      <c r="Q2796" s="5" t="s">
        <v>43</v>
      </c>
      <c r="R2796">
        <v>4.9000000000000004</v>
      </c>
      <c r="S2796">
        <v>15</v>
      </c>
      <c r="T2796">
        <f t="shared" si="43"/>
        <v>1</v>
      </c>
    </row>
    <row r="2797" spans="1:20">
      <c r="A2797" s="4">
        <v>45874</v>
      </c>
      <c r="B2797">
        <v>2025</v>
      </c>
      <c r="C2797">
        <v>8</v>
      </c>
      <c r="D2797" s="5" t="s">
        <v>44</v>
      </c>
      <c r="E2797" s="5" t="s">
        <v>45</v>
      </c>
      <c r="F2797" s="5" t="s">
        <v>46</v>
      </c>
      <c r="G2797" s="5" t="s">
        <v>47</v>
      </c>
      <c r="H2797" s="5" t="s">
        <v>65</v>
      </c>
      <c r="I2797" s="5" t="s">
        <v>53</v>
      </c>
      <c r="J2797" s="5" t="s">
        <v>49</v>
      </c>
      <c r="K2797">
        <v>22</v>
      </c>
      <c r="L2797">
        <v>1256561</v>
      </c>
      <c r="M2797" s="26">
        <v>27644342</v>
      </c>
      <c r="N2797">
        <v>37303</v>
      </c>
      <c r="O2797" s="26">
        <v>2597694.1</v>
      </c>
      <c r="P2797" s="5" t="s">
        <v>50</v>
      </c>
      <c r="Q2797" s="5" t="s">
        <v>51</v>
      </c>
      <c r="R2797">
        <v>3.9</v>
      </c>
      <c r="S2797">
        <v>16</v>
      </c>
      <c r="T2797">
        <f t="shared" si="43"/>
        <v>0</v>
      </c>
    </row>
    <row r="2798" spans="1:20">
      <c r="A2798" s="4">
        <v>45890</v>
      </c>
      <c r="B2798">
        <v>2025</v>
      </c>
      <c r="C2798">
        <v>8</v>
      </c>
      <c r="D2798" s="5" t="s">
        <v>54</v>
      </c>
      <c r="E2798" s="5" t="s">
        <v>55</v>
      </c>
      <c r="F2798" s="5" t="s">
        <v>55</v>
      </c>
      <c r="G2798" s="5" t="s">
        <v>56</v>
      </c>
      <c r="H2798" s="5" t="s">
        <v>39</v>
      </c>
      <c r="I2798" s="5" t="s">
        <v>40</v>
      </c>
      <c r="J2798" s="5" t="s">
        <v>41</v>
      </c>
      <c r="K2798">
        <v>51</v>
      </c>
      <c r="L2798">
        <v>575162</v>
      </c>
      <c r="M2798" s="26">
        <v>29333262</v>
      </c>
      <c r="N2798">
        <v>35689</v>
      </c>
      <c r="O2798" s="26">
        <v>2848068.1</v>
      </c>
      <c r="P2798" s="5" t="s">
        <v>42</v>
      </c>
      <c r="Q2798" s="5" t="s">
        <v>75</v>
      </c>
      <c r="R2798">
        <v>3.5</v>
      </c>
      <c r="S2798">
        <v>9</v>
      </c>
      <c r="T2798">
        <f t="shared" si="43"/>
        <v>1</v>
      </c>
    </row>
    <row r="2799" spans="1:20">
      <c r="A2799" s="4">
        <v>45883</v>
      </c>
      <c r="B2799">
        <v>2025</v>
      </c>
      <c r="C2799">
        <v>8</v>
      </c>
      <c r="D2799" s="5" t="s">
        <v>44</v>
      </c>
      <c r="E2799" s="5" t="s">
        <v>45</v>
      </c>
      <c r="F2799" s="5" t="s">
        <v>46</v>
      </c>
      <c r="G2799" s="5" t="s">
        <v>47</v>
      </c>
      <c r="H2799" s="5" t="s">
        <v>48</v>
      </c>
      <c r="I2799" s="5" t="s">
        <v>40</v>
      </c>
      <c r="J2799" s="5" t="s">
        <v>49</v>
      </c>
      <c r="K2799">
        <v>54</v>
      </c>
      <c r="L2799">
        <v>469390</v>
      </c>
      <c r="M2799" s="26">
        <v>25347060</v>
      </c>
      <c r="N2799">
        <v>16756</v>
      </c>
      <c r="O2799" s="26">
        <v>3149681.59</v>
      </c>
      <c r="P2799" s="5" t="s">
        <v>42</v>
      </c>
      <c r="Q2799" s="5" t="s">
        <v>75</v>
      </c>
      <c r="R2799">
        <v>3.5</v>
      </c>
      <c r="S2799">
        <v>11</v>
      </c>
      <c r="T2799">
        <f t="shared" si="43"/>
        <v>1</v>
      </c>
    </row>
    <row r="2800" spans="1:20">
      <c r="A2800" s="4">
        <v>45870</v>
      </c>
      <c r="B2800">
        <v>2025</v>
      </c>
      <c r="C2800">
        <v>8</v>
      </c>
      <c r="D2800" s="5" t="s">
        <v>54</v>
      </c>
      <c r="E2800" s="5" t="s">
        <v>55</v>
      </c>
      <c r="F2800" s="5" t="s">
        <v>55</v>
      </c>
      <c r="G2800" s="5" t="s">
        <v>56</v>
      </c>
      <c r="H2800" s="5" t="s">
        <v>48</v>
      </c>
      <c r="I2800" s="5" t="s">
        <v>40</v>
      </c>
      <c r="J2800" s="5" t="s">
        <v>49</v>
      </c>
      <c r="K2800">
        <v>51</v>
      </c>
      <c r="L2800">
        <v>456444</v>
      </c>
      <c r="M2800" s="26">
        <v>23278644</v>
      </c>
      <c r="N2800">
        <v>20567</v>
      </c>
      <c r="O2800" s="26">
        <v>3601724.74</v>
      </c>
      <c r="P2800" s="5" t="s">
        <v>42</v>
      </c>
      <c r="Q2800" s="5" t="s">
        <v>51</v>
      </c>
      <c r="R2800">
        <v>4.5999999999999996</v>
      </c>
      <c r="S2800">
        <v>21</v>
      </c>
      <c r="T2800">
        <f t="shared" si="43"/>
        <v>1</v>
      </c>
    </row>
    <row r="2801" spans="1:20">
      <c r="A2801" s="4">
        <v>45876</v>
      </c>
      <c r="B2801">
        <v>2025</v>
      </c>
      <c r="C2801">
        <v>8</v>
      </c>
      <c r="D2801" s="5" t="s">
        <v>54</v>
      </c>
      <c r="E2801" s="5" t="s">
        <v>55</v>
      </c>
      <c r="F2801" s="5" t="s">
        <v>55</v>
      </c>
      <c r="G2801" s="5" t="s">
        <v>56</v>
      </c>
      <c r="H2801" s="5" t="s">
        <v>74</v>
      </c>
      <c r="I2801" s="5" t="s">
        <v>40</v>
      </c>
      <c r="J2801" s="5" t="s">
        <v>49</v>
      </c>
      <c r="K2801">
        <v>14</v>
      </c>
      <c r="L2801">
        <v>653961</v>
      </c>
      <c r="M2801" s="26">
        <v>9155454</v>
      </c>
      <c r="N2801">
        <v>32697</v>
      </c>
      <c r="O2801" s="26">
        <v>767675.67</v>
      </c>
      <c r="P2801" s="5" t="s">
        <v>50</v>
      </c>
      <c r="Q2801" s="5" t="s">
        <v>51</v>
      </c>
      <c r="R2801">
        <v>4.5</v>
      </c>
      <c r="S2801">
        <v>7</v>
      </c>
      <c r="T2801">
        <f t="shared" si="43"/>
        <v>0</v>
      </c>
    </row>
    <row r="2802" spans="1:20">
      <c r="A2802" s="4">
        <v>45907</v>
      </c>
      <c r="B2802">
        <v>2025</v>
      </c>
      <c r="C2802">
        <v>9</v>
      </c>
      <c r="D2802" s="5" t="s">
        <v>54</v>
      </c>
      <c r="E2802" s="5" t="s">
        <v>70</v>
      </c>
      <c r="F2802" s="5" t="s">
        <v>71</v>
      </c>
      <c r="G2802" s="5" t="s">
        <v>72</v>
      </c>
      <c r="H2802" s="5" t="s">
        <v>86</v>
      </c>
      <c r="I2802" s="5" t="s">
        <v>40</v>
      </c>
      <c r="J2802" s="5" t="s">
        <v>41</v>
      </c>
      <c r="K2802">
        <v>45</v>
      </c>
      <c r="L2802">
        <v>619878</v>
      </c>
      <c r="M2802" s="26">
        <v>27894510</v>
      </c>
      <c r="N2802">
        <v>38942</v>
      </c>
      <c r="O2802" s="26">
        <v>3338158.87</v>
      </c>
      <c r="P2802" s="5" t="s">
        <v>50</v>
      </c>
      <c r="Q2802" s="5" t="s">
        <v>75</v>
      </c>
      <c r="R2802">
        <v>4.2</v>
      </c>
      <c r="S2802">
        <v>16</v>
      </c>
      <c r="T2802">
        <f t="shared" si="43"/>
        <v>0</v>
      </c>
    </row>
    <row r="2803" spans="1:20">
      <c r="A2803" s="4">
        <v>45917</v>
      </c>
      <c r="B2803">
        <v>2025</v>
      </c>
      <c r="C2803">
        <v>9</v>
      </c>
      <c r="D2803" s="5" t="s">
        <v>54</v>
      </c>
      <c r="E2803" s="5" t="s">
        <v>55</v>
      </c>
      <c r="F2803" s="5" t="s">
        <v>55</v>
      </c>
      <c r="G2803" s="5" t="s">
        <v>56</v>
      </c>
      <c r="H2803" s="5" t="s">
        <v>63</v>
      </c>
      <c r="I2803" s="5" t="s">
        <v>64</v>
      </c>
      <c r="J2803" s="5" t="s">
        <v>41</v>
      </c>
      <c r="K2803">
        <v>20</v>
      </c>
      <c r="L2803">
        <v>730997</v>
      </c>
      <c r="M2803" s="26">
        <v>14619940</v>
      </c>
      <c r="N2803">
        <v>22038</v>
      </c>
      <c r="O2803" s="26">
        <v>1912139.9</v>
      </c>
      <c r="P2803" s="5" t="s">
        <v>50</v>
      </c>
      <c r="Q2803" s="5" t="s">
        <v>43</v>
      </c>
      <c r="R2803">
        <v>4.2</v>
      </c>
      <c r="S2803">
        <v>9</v>
      </c>
      <c r="T2803">
        <f t="shared" si="43"/>
        <v>0</v>
      </c>
    </row>
    <row r="2804" spans="1:20">
      <c r="A2804" s="4">
        <v>45908</v>
      </c>
      <c r="B2804">
        <v>2025</v>
      </c>
      <c r="C2804">
        <v>9</v>
      </c>
      <c r="D2804" s="5" t="s">
        <v>35</v>
      </c>
      <c r="E2804" s="5" t="s">
        <v>76</v>
      </c>
      <c r="F2804" s="5" t="s">
        <v>77</v>
      </c>
      <c r="G2804" s="5" t="s">
        <v>78</v>
      </c>
      <c r="H2804" s="5" t="s">
        <v>85</v>
      </c>
      <c r="I2804" s="5" t="s">
        <v>58</v>
      </c>
      <c r="J2804" s="5" t="s">
        <v>49</v>
      </c>
      <c r="K2804">
        <v>17</v>
      </c>
      <c r="L2804">
        <v>1001922</v>
      </c>
      <c r="M2804" s="26">
        <v>17032674</v>
      </c>
      <c r="N2804">
        <v>28917</v>
      </c>
      <c r="O2804" s="26">
        <v>1624858.49</v>
      </c>
      <c r="P2804" s="5" t="s">
        <v>42</v>
      </c>
      <c r="Q2804" s="5" t="s">
        <v>75</v>
      </c>
      <c r="R2804">
        <v>3.6</v>
      </c>
      <c r="S2804">
        <v>5</v>
      </c>
      <c r="T2804">
        <f t="shared" si="43"/>
        <v>1</v>
      </c>
    </row>
    <row r="2805" spans="1:20">
      <c r="A2805" s="4">
        <v>45907</v>
      </c>
      <c r="B2805">
        <v>2025</v>
      </c>
      <c r="C2805">
        <v>9</v>
      </c>
      <c r="D2805" s="5" t="s">
        <v>44</v>
      </c>
      <c r="E2805" s="5" t="s">
        <v>45</v>
      </c>
      <c r="F2805" s="5" t="s">
        <v>46</v>
      </c>
      <c r="G2805" s="5" t="s">
        <v>47</v>
      </c>
      <c r="H2805" s="5" t="s">
        <v>85</v>
      </c>
      <c r="I2805" s="5" t="s">
        <v>58</v>
      </c>
      <c r="J2805" s="5" t="s">
        <v>49</v>
      </c>
      <c r="K2805">
        <v>9</v>
      </c>
      <c r="L2805">
        <v>978312</v>
      </c>
      <c r="M2805" s="26">
        <v>8804808</v>
      </c>
      <c r="N2805">
        <v>42964</v>
      </c>
      <c r="O2805" s="26">
        <v>1072797.56</v>
      </c>
      <c r="P2805" s="5" t="s">
        <v>42</v>
      </c>
      <c r="Q2805" s="5" t="s">
        <v>51</v>
      </c>
      <c r="R2805">
        <v>4.3</v>
      </c>
      <c r="S2805">
        <v>18</v>
      </c>
      <c r="T2805">
        <f t="shared" si="43"/>
        <v>1</v>
      </c>
    </row>
    <row r="2806" spans="1:20">
      <c r="A2806" s="4">
        <v>45927</v>
      </c>
      <c r="B2806">
        <v>2025</v>
      </c>
      <c r="C2806">
        <v>9</v>
      </c>
      <c r="D2806" s="5" t="s">
        <v>54</v>
      </c>
      <c r="E2806" s="5" t="s">
        <v>70</v>
      </c>
      <c r="F2806" s="5" t="s">
        <v>71</v>
      </c>
      <c r="G2806" s="5" t="s">
        <v>72</v>
      </c>
      <c r="H2806" s="5" t="s">
        <v>52</v>
      </c>
      <c r="I2806" s="5" t="s">
        <v>53</v>
      </c>
      <c r="J2806" s="5" t="s">
        <v>41</v>
      </c>
      <c r="K2806">
        <v>50</v>
      </c>
      <c r="L2806">
        <v>945590</v>
      </c>
      <c r="M2806" s="26">
        <v>47279500</v>
      </c>
      <c r="N2806">
        <v>37681</v>
      </c>
      <c r="O2806" s="26">
        <v>6645595.3600000003</v>
      </c>
      <c r="P2806" s="5" t="s">
        <v>50</v>
      </c>
      <c r="Q2806" s="5" t="s">
        <v>75</v>
      </c>
      <c r="R2806">
        <v>4.4000000000000004</v>
      </c>
      <c r="S2806">
        <v>6</v>
      </c>
      <c r="T2806">
        <f t="shared" si="43"/>
        <v>0</v>
      </c>
    </row>
    <row r="2807" spans="1:20">
      <c r="A2807" s="4">
        <v>45901</v>
      </c>
      <c r="B2807">
        <v>2025</v>
      </c>
      <c r="C2807">
        <v>9</v>
      </c>
      <c r="D2807" s="5" t="s">
        <v>66</v>
      </c>
      <c r="E2807" s="5" t="s">
        <v>67</v>
      </c>
      <c r="F2807" s="5" t="s">
        <v>68</v>
      </c>
      <c r="G2807" s="5" t="s">
        <v>69</v>
      </c>
      <c r="H2807" s="5" t="s">
        <v>73</v>
      </c>
      <c r="I2807" s="5" t="s">
        <v>40</v>
      </c>
      <c r="J2807" s="5" t="s">
        <v>49</v>
      </c>
      <c r="K2807">
        <v>56</v>
      </c>
      <c r="L2807">
        <v>745080</v>
      </c>
      <c r="M2807" s="26">
        <v>41724480</v>
      </c>
      <c r="N2807">
        <v>39541</v>
      </c>
      <c r="O2807" s="26">
        <v>3729549.77</v>
      </c>
      <c r="P2807" s="5" t="s">
        <v>50</v>
      </c>
      <c r="Q2807" s="5" t="s">
        <v>75</v>
      </c>
      <c r="R2807">
        <v>4.4000000000000004</v>
      </c>
      <c r="S2807">
        <v>6</v>
      </c>
      <c r="T2807">
        <f t="shared" si="43"/>
        <v>0</v>
      </c>
    </row>
    <row r="2808" spans="1:20">
      <c r="A2808" s="4">
        <v>45919</v>
      </c>
      <c r="B2808">
        <v>2025</v>
      </c>
      <c r="C2808">
        <v>9</v>
      </c>
      <c r="D2808" s="5" t="s">
        <v>35</v>
      </c>
      <c r="E2808" s="5" t="s">
        <v>60</v>
      </c>
      <c r="F2808" s="5" t="s">
        <v>61</v>
      </c>
      <c r="G2808" s="5" t="s">
        <v>62</v>
      </c>
      <c r="H2808" s="5" t="s">
        <v>80</v>
      </c>
      <c r="I2808" s="5" t="s">
        <v>81</v>
      </c>
      <c r="J2808" s="5" t="s">
        <v>41</v>
      </c>
      <c r="K2808">
        <v>47</v>
      </c>
      <c r="L2808">
        <v>563866</v>
      </c>
      <c r="M2808" s="26">
        <v>26501702</v>
      </c>
      <c r="N2808">
        <v>9775</v>
      </c>
      <c r="O2808" s="26">
        <v>2162967.41</v>
      </c>
      <c r="P2808" s="5" t="s">
        <v>50</v>
      </c>
      <c r="Q2808" s="5" t="s">
        <v>43</v>
      </c>
      <c r="R2808">
        <v>4.4000000000000004</v>
      </c>
      <c r="S2808">
        <v>5</v>
      </c>
      <c r="T2808">
        <f t="shared" si="43"/>
        <v>0</v>
      </c>
    </row>
    <row r="2809" spans="1:20">
      <c r="A2809" s="4">
        <v>45927</v>
      </c>
      <c r="B2809">
        <v>2025</v>
      </c>
      <c r="C2809">
        <v>9</v>
      </c>
      <c r="D2809" s="5" t="s">
        <v>44</v>
      </c>
      <c r="E2809" s="5" t="s">
        <v>82</v>
      </c>
      <c r="F2809" s="5" t="s">
        <v>83</v>
      </c>
      <c r="G2809" s="5" t="s">
        <v>84</v>
      </c>
      <c r="H2809" s="5" t="s">
        <v>57</v>
      </c>
      <c r="I2809" s="5" t="s">
        <v>58</v>
      </c>
      <c r="J2809" s="5" t="s">
        <v>59</v>
      </c>
      <c r="K2809">
        <v>56</v>
      </c>
      <c r="L2809">
        <v>1385891</v>
      </c>
      <c r="M2809" s="26">
        <v>77609896</v>
      </c>
      <c r="N2809">
        <v>41770</v>
      </c>
      <c r="O2809" s="26">
        <v>8525562.5399999991</v>
      </c>
      <c r="P2809" s="5" t="s">
        <v>42</v>
      </c>
      <c r="Q2809" s="5" t="s">
        <v>51</v>
      </c>
      <c r="R2809">
        <v>3.7</v>
      </c>
      <c r="S2809">
        <v>16</v>
      </c>
      <c r="T2809">
        <f t="shared" si="43"/>
        <v>1</v>
      </c>
    </row>
    <row r="2810" spans="1:20">
      <c r="A2810" s="4">
        <v>45909</v>
      </c>
      <c r="B2810">
        <v>2025</v>
      </c>
      <c r="C2810">
        <v>9</v>
      </c>
      <c r="D2810" s="5" t="s">
        <v>54</v>
      </c>
      <c r="E2810" s="5" t="s">
        <v>70</v>
      </c>
      <c r="F2810" s="5" t="s">
        <v>71</v>
      </c>
      <c r="G2810" s="5" t="s">
        <v>72</v>
      </c>
      <c r="H2810" s="5" t="s">
        <v>80</v>
      </c>
      <c r="I2810" s="5" t="s">
        <v>81</v>
      </c>
      <c r="J2810" s="5" t="s">
        <v>41</v>
      </c>
      <c r="K2810">
        <v>26</v>
      </c>
      <c r="L2810">
        <v>550580</v>
      </c>
      <c r="M2810" s="26">
        <v>14315080</v>
      </c>
      <c r="N2810">
        <v>36824</v>
      </c>
      <c r="O2810" s="26">
        <v>1220567.46</v>
      </c>
      <c r="P2810" s="5" t="s">
        <v>42</v>
      </c>
      <c r="Q2810" s="5" t="s">
        <v>51</v>
      </c>
      <c r="R2810">
        <v>4.5</v>
      </c>
      <c r="S2810">
        <v>7</v>
      </c>
      <c r="T2810">
        <f t="shared" si="43"/>
        <v>1</v>
      </c>
    </row>
    <row r="2811" spans="1:20">
      <c r="A2811" s="4">
        <v>45922</v>
      </c>
      <c r="B2811">
        <v>2025</v>
      </c>
      <c r="C2811">
        <v>9</v>
      </c>
      <c r="D2811" s="5" t="s">
        <v>54</v>
      </c>
      <c r="E2811" s="5" t="s">
        <v>55</v>
      </c>
      <c r="F2811" s="5" t="s">
        <v>55</v>
      </c>
      <c r="G2811" s="5" t="s">
        <v>56</v>
      </c>
      <c r="H2811" s="5" t="s">
        <v>80</v>
      </c>
      <c r="I2811" s="5" t="s">
        <v>81</v>
      </c>
      <c r="J2811" s="5" t="s">
        <v>41</v>
      </c>
      <c r="K2811">
        <v>41</v>
      </c>
      <c r="L2811">
        <v>551830</v>
      </c>
      <c r="M2811" s="26">
        <v>22625030</v>
      </c>
      <c r="N2811">
        <v>30327</v>
      </c>
      <c r="O2811" s="26">
        <v>1863984.37</v>
      </c>
      <c r="P2811" s="5" t="s">
        <v>50</v>
      </c>
      <c r="Q2811" s="5" t="s">
        <v>75</v>
      </c>
      <c r="R2811">
        <v>4.5999999999999996</v>
      </c>
      <c r="S2811">
        <v>5</v>
      </c>
      <c r="T2811">
        <f t="shared" si="43"/>
        <v>0</v>
      </c>
    </row>
    <row r="2812" spans="1:20">
      <c r="A2812" s="4">
        <v>45910</v>
      </c>
      <c r="B2812">
        <v>2025</v>
      </c>
      <c r="C2812">
        <v>9</v>
      </c>
      <c r="D2812" s="5" t="s">
        <v>66</v>
      </c>
      <c r="E2812" s="5" t="s">
        <v>67</v>
      </c>
      <c r="F2812" s="5" t="s">
        <v>68</v>
      </c>
      <c r="G2812" s="5" t="s">
        <v>69</v>
      </c>
      <c r="H2812" s="5" t="s">
        <v>85</v>
      </c>
      <c r="I2812" s="5" t="s">
        <v>58</v>
      </c>
      <c r="J2812" s="5" t="s">
        <v>49</v>
      </c>
      <c r="K2812">
        <v>29</v>
      </c>
      <c r="L2812">
        <v>978533</v>
      </c>
      <c r="M2812" s="26">
        <v>28377457</v>
      </c>
      <c r="N2812">
        <v>47214</v>
      </c>
      <c r="O2812" s="26">
        <v>2762783.43</v>
      </c>
      <c r="P2812" s="5" t="s">
        <v>50</v>
      </c>
      <c r="Q2812" s="5" t="s">
        <v>75</v>
      </c>
      <c r="R2812">
        <v>4</v>
      </c>
      <c r="S2812">
        <v>14</v>
      </c>
      <c r="T2812">
        <f t="shared" si="43"/>
        <v>0</v>
      </c>
    </row>
    <row r="2813" spans="1:20">
      <c r="A2813" s="4">
        <v>45913</v>
      </c>
      <c r="B2813">
        <v>2025</v>
      </c>
      <c r="C2813">
        <v>9</v>
      </c>
      <c r="D2813" s="5" t="s">
        <v>35</v>
      </c>
      <c r="E2813" s="5" t="s">
        <v>76</v>
      </c>
      <c r="F2813" s="5" t="s">
        <v>77</v>
      </c>
      <c r="G2813" s="5" t="s">
        <v>78</v>
      </c>
      <c r="H2813" s="5" t="s">
        <v>86</v>
      </c>
      <c r="I2813" s="5" t="s">
        <v>40</v>
      </c>
      <c r="J2813" s="5" t="s">
        <v>41</v>
      </c>
      <c r="K2813">
        <v>32</v>
      </c>
      <c r="L2813">
        <v>572627</v>
      </c>
      <c r="M2813" s="26">
        <v>18324064</v>
      </c>
      <c r="N2813">
        <v>17435</v>
      </c>
      <c r="O2813" s="26">
        <v>1834600.9</v>
      </c>
      <c r="P2813" s="5" t="s">
        <v>50</v>
      </c>
      <c r="Q2813" s="5" t="s">
        <v>43</v>
      </c>
      <c r="R2813">
        <v>4.2</v>
      </c>
      <c r="S2813">
        <v>17</v>
      </c>
      <c r="T2813">
        <f t="shared" si="43"/>
        <v>0</v>
      </c>
    </row>
    <row r="2814" spans="1:20">
      <c r="A2814" s="4">
        <v>45905</v>
      </c>
      <c r="B2814">
        <v>2025</v>
      </c>
      <c r="C2814">
        <v>9</v>
      </c>
      <c r="D2814" s="5" t="s">
        <v>54</v>
      </c>
      <c r="E2814" s="5" t="s">
        <v>55</v>
      </c>
      <c r="F2814" s="5" t="s">
        <v>55</v>
      </c>
      <c r="G2814" s="5" t="s">
        <v>56</v>
      </c>
      <c r="H2814" s="5" t="s">
        <v>73</v>
      </c>
      <c r="I2814" s="5" t="s">
        <v>40</v>
      </c>
      <c r="J2814" s="5" t="s">
        <v>49</v>
      </c>
      <c r="K2814">
        <v>23</v>
      </c>
      <c r="L2814">
        <v>704227</v>
      </c>
      <c r="M2814" s="26">
        <v>16197221</v>
      </c>
      <c r="N2814">
        <v>31992</v>
      </c>
      <c r="O2814" s="26">
        <v>1392885.75</v>
      </c>
      <c r="P2814" s="5" t="s">
        <v>42</v>
      </c>
      <c r="Q2814" s="5" t="s">
        <v>75</v>
      </c>
      <c r="R2814">
        <v>4.8</v>
      </c>
      <c r="S2814">
        <v>16</v>
      </c>
      <c r="T2814">
        <f t="shared" si="43"/>
        <v>1</v>
      </c>
    </row>
    <row r="2815" spans="1:20">
      <c r="A2815" s="4">
        <v>45917</v>
      </c>
      <c r="B2815">
        <v>2025</v>
      </c>
      <c r="C2815">
        <v>9</v>
      </c>
      <c r="D2815" s="5" t="s">
        <v>44</v>
      </c>
      <c r="E2815" s="5" t="s">
        <v>45</v>
      </c>
      <c r="F2815" s="5" t="s">
        <v>46</v>
      </c>
      <c r="G2815" s="5" t="s">
        <v>47</v>
      </c>
      <c r="H2815" s="5" t="s">
        <v>73</v>
      </c>
      <c r="I2815" s="5" t="s">
        <v>40</v>
      </c>
      <c r="J2815" s="5" t="s">
        <v>49</v>
      </c>
      <c r="K2815">
        <v>58</v>
      </c>
      <c r="L2815">
        <v>696346</v>
      </c>
      <c r="M2815" s="26">
        <v>40388068</v>
      </c>
      <c r="N2815">
        <v>19361</v>
      </c>
      <c r="O2815" s="26">
        <v>4071557.52</v>
      </c>
      <c r="P2815" s="5" t="s">
        <v>42</v>
      </c>
      <c r="Q2815" s="5" t="s">
        <v>51</v>
      </c>
      <c r="R2815">
        <v>4.8</v>
      </c>
      <c r="S2815">
        <v>6</v>
      </c>
      <c r="T2815">
        <f t="shared" si="43"/>
        <v>1</v>
      </c>
    </row>
    <row r="2816" spans="1:20">
      <c r="A2816" s="4">
        <v>45917</v>
      </c>
      <c r="B2816">
        <v>2025</v>
      </c>
      <c r="C2816">
        <v>9</v>
      </c>
      <c r="D2816" s="5" t="s">
        <v>35</v>
      </c>
      <c r="E2816" s="5" t="s">
        <v>60</v>
      </c>
      <c r="F2816" s="5" t="s">
        <v>61</v>
      </c>
      <c r="G2816" s="5" t="s">
        <v>62</v>
      </c>
      <c r="H2816" s="5" t="s">
        <v>80</v>
      </c>
      <c r="I2816" s="5" t="s">
        <v>81</v>
      </c>
      <c r="J2816" s="5" t="s">
        <v>41</v>
      </c>
      <c r="K2816">
        <v>22</v>
      </c>
      <c r="L2816">
        <v>557785</v>
      </c>
      <c r="M2816" s="26">
        <v>12271270</v>
      </c>
      <c r="N2816">
        <v>9224</v>
      </c>
      <c r="O2816" s="26">
        <v>1868275.07</v>
      </c>
      <c r="P2816" s="5" t="s">
        <v>42</v>
      </c>
      <c r="Q2816" s="5" t="s">
        <v>75</v>
      </c>
      <c r="R2816">
        <v>4.4000000000000004</v>
      </c>
      <c r="S2816">
        <v>16</v>
      </c>
      <c r="T2816">
        <f t="shared" si="43"/>
        <v>1</v>
      </c>
    </row>
    <row r="2817" spans="1:20">
      <c r="A2817" s="4">
        <v>45918</v>
      </c>
      <c r="B2817">
        <v>2025</v>
      </c>
      <c r="C2817">
        <v>9</v>
      </c>
      <c r="D2817" s="5" t="s">
        <v>54</v>
      </c>
      <c r="E2817" s="5" t="s">
        <v>55</v>
      </c>
      <c r="F2817" s="5" t="s">
        <v>55</v>
      </c>
      <c r="G2817" s="5" t="s">
        <v>56</v>
      </c>
      <c r="H2817" s="5" t="s">
        <v>63</v>
      </c>
      <c r="I2817" s="5" t="s">
        <v>64</v>
      </c>
      <c r="J2817" s="5" t="s">
        <v>41</v>
      </c>
      <c r="K2817">
        <v>41</v>
      </c>
      <c r="L2817">
        <v>732905</v>
      </c>
      <c r="M2817" s="26">
        <v>30049105</v>
      </c>
      <c r="N2817">
        <v>8378</v>
      </c>
      <c r="O2817" s="26">
        <v>2408641.94</v>
      </c>
      <c r="P2817" s="5" t="s">
        <v>50</v>
      </c>
      <c r="Q2817" s="5" t="s">
        <v>75</v>
      </c>
      <c r="R2817">
        <v>4.9000000000000004</v>
      </c>
      <c r="S2817">
        <v>16</v>
      </c>
      <c r="T2817">
        <f t="shared" si="43"/>
        <v>0</v>
      </c>
    </row>
    <row r="2818" spans="1:20">
      <c r="A2818" s="4">
        <v>45908</v>
      </c>
      <c r="B2818">
        <v>2025</v>
      </c>
      <c r="C2818">
        <v>9</v>
      </c>
      <c r="D2818" s="5" t="s">
        <v>35</v>
      </c>
      <c r="E2818" s="5" t="s">
        <v>76</v>
      </c>
      <c r="F2818" s="5" t="s">
        <v>77</v>
      </c>
      <c r="G2818" s="5" t="s">
        <v>78</v>
      </c>
      <c r="H2818" s="5" t="s">
        <v>85</v>
      </c>
      <c r="I2818" s="5" t="s">
        <v>58</v>
      </c>
      <c r="J2818" s="5" t="s">
        <v>49</v>
      </c>
      <c r="K2818">
        <v>18</v>
      </c>
      <c r="L2818">
        <v>957066</v>
      </c>
      <c r="M2818" s="26">
        <v>17227188</v>
      </c>
      <c r="N2818">
        <v>35893</v>
      </c>
      <c r="O2818" s="26">
        <v>1630142.09</v>
      </c>
      <c r="P2818" s="5" t="s">
        <v>42</v>
      </c>
      <c r="Q2818" s="5" t="s">
        <v>43</v>
      </c>
      <c r="R2818">
        <v>4</v>
      </c>
      <c r="S2818">
        <v>20</v>
      </c>
      <c r="T2818">
        <f t="shared" ref="T2818:T2881" si="44">IF(AND(OR($B2818=Sel_Year,Sel_Year="All"),OR($C2818=Sel_Month,Sel_Month="All"),OR($D2818=Sel_Region,Sel_Region="All"),OR($E2818=Sel_State,Sel_State="All"),OR($F2818=Sel_City,Sel_City="All"),OR($G2818=Sel_Dealer,Sel_Dealer="All"),OR($H2818=Sel_Model,Sel_Model="All"),OR($I2818=Sel_Segment,Sel_Segment="All"),OR($J2818=Sel_Fuel,Sel_Fuel="All"),OR($P2818=Sel_CustType,Sel_CustType="All"),OR($Q2818=Sel_Payment,Sel_Payment="All")),1,0)</f>
        <v>1</v>
      </c>
    </row>
    <row r="2819" spans="1:20">
      <c r="A2819" s="4">
        <v>45927</v>
      </c>
      <c r="B2819">
        <v>2025</v>
      </c>
      <c r="C2819">
        <v>9</v>
      </c>
      <c r="D2819" s="5" t="s">
        <v>44</v>
      </c>
      <c r="E2819" s="5" t="s">
        <v>45</v>
      </c>
      <c r="F2819" s="5" t="s">
        <v>46</v>
      </c>
      <c r="G2819" s="5" t="s">
        <v>47</v>
      </c>
      <c r="H2819" s="5" t="s">
        <v>52</v>
      </c>
      <c r="I2819" s="5" t="s">
        <v>53</v>
      </c>
      <c r="J2819" s="5" t="s">
        <v>41</v>
      </c>
      <c r="K2819">
        <v>47</v>
      </c>
      <c r="L2819">
        <v>938134</v>
      </c>
      <c r="M2819" s="26">
        <v>44092298</v>
      </c>
      <c r="N2819">
        <v>32737</v>
      </c>
      <c r="O2819" s="26">
        <v>3624575.22</v>
      </c>
      <c r="P2819" s="5" t="s">
        <v>50</v>
      </c>
      <c r="Q2819" s="5" t="s">
        <v>43</v>
      </c>
      <c r="R2819">
        <v>4.0999999999999996</v>
      </c>
      <c r="S2819">
        <v>18</v>
      </c>
      <c r="T2819">
        <f t="shared" si="44"/>
        <v>0</v>
      </c>
    </row>
    <row r="2820" spans="1:20">
      <c r="A2820" s="4">
        <v>45922</v>
      </c>
      <c r="B2820">
        <v>2025</v>
      </c>
      <c r="C2820">
        <v>9</v>
      </c>
      <c r="D2820" s="5" t="s">
        <v>66</v>
      </c>
      <c r="E2820" s="5" t="s">
        <v>67</v>
      </c>
      <c r="F2820" s="5" t="s">
        <v>68</v>
      </c>
      <c r="G2820" s="5" t="s">
        <v>69</v>
      </c>
      <c r="H2820" s="5" t="s">
        <v>80</v>
      </c>
      <c r="I2820" s="5" t="s">
        <v>81</v>
      </c>
      <c r="J2820" s="5" t="s">
        <v>41</v>
      </c>
      <c r="K2820">
        <v>37</v>
      </c>
      <c r="L2820">
        <v>555987</v>
      </c>
      <c r="M2820" s="26">
        <v>20571519</v>
      </c>
      <c r="N2820">
        <v>22803</v>
      </c>
      <c r="O2820" s="26">
        <v>1987356.82</v>
      </c>
      <c r="P2820" s="5" t="s">
        <v>42</v>
      </c>
      <c r="Q2820" s="5" t="s">
        <v>51</v>
      </c>
      <c r="R2820">
        <v>4.2</v>
      </c>
      <c r="S2820">
        <v>12</v>
      </c>
      <c r="T2820">
        <f t="shared" si="44"/>
        <v>1</v>
      </c>
    </row>
    <row r="2821" spans="1:20">
      <c r="A2821" s="4">
        <v>45914</v>
      </c>
      <c r="B2821">
        <v>2025</v>
      </c>
      <c r="C2821">
        <v>9</v>
      </c>
      <c r="D2821" s="5" t="s">
        <v>44</v>
      </c>
      <c r="E2821" s="5" t="s">
        <v>82</v>
      </c>
      <c r="F2821" s="5" t="s">
        <v>83</v>
      </c>
      <c r="G2821" s="5" t="s">
        <v>84</v>
      </c>
      <c r="H2821" s="5" t="s">
        <v>85</v>
      </c>
      <c r="I2821" s="5" t="s">
        <v>58</v>
      </c>
      <c r="J2821" s="5" t="s">
        <v>49</v>
      </c>
      <c r="K2821">
        <v>57</v>
      </c>
      <c r="L2821">
        <v>971400</v>
      </c>
      <c r="M2821" s="26">
        <v>55369800</v>
      </c>
      <c r="N2821">
        <v>8666</v>
      </c>
      <c r="O2821" s="26">
        <v>8355022.1200000001</v>
      </c>
      <c r="P2821" s="5" t="s">
        <v>50</v>
      </c>
      <c r="Q2821" s="5" t="s">
        <v>51</v>
      </c>
      <c r="R2821">
        <v>3.8</v>
      </c>
      <c r="S2821">
        <v>17</v>
      </c>
      <c r="T2821">
        <f t="shared" si="44"/>
        <v>0</v>
      </c>
    </row>
    <row r="2822" spans="1:20">
      <c r="A2822" s="4">
        <v>45911</v>
      </c>
      <c r="B2822">
        <v>2025</v>
      </c>
      <c r="C2822">
        <v>9</v>
      </c>
      <c r="D2822" s="5" t="s">
        <v>54</v>
      </c>
      <c r="E2822" s="5" t="s">
        <v>70</v>
      </c>
      <c r="F2822" s="5" t="s">
        <v>71</v>
      </c>
      <c r="G2822" s="5" t="s">
        <v>72</v>
      </c>
      <c r="H2822" s="5" t="s">
        <v>79</v>
      </c>
      <c r="I2822" s="5" t="s">
        <v>58</v>
      </c>
      <c r="J2822" s="5" t="s">
        <v>49</v>
      </c>
      <c r="K2822">
        <v>41</v>
      </c>
      <c r="L2822">
        <v>871975</v>
      </c>
      <c r="M2822" s="26">
        <v>35750975</v>
      </c>
      <c r="N2822">
        <v>41051</v>
      </c>
      <c r="O2822" s="26">
        <v>4580375.08</v>
      </c>
      <c r="P2822" s="5" t="s">
        <v>42</v>
      </c>
      <c r="Q2822" s="5" t="s">
        <v>43</v>
      </c>
      <c r="R2822">
        <v>4.5999999999999996</v>
      </c>
      <c r="S2822">
        <v>2</v>
      </c>
      <c r="T2822">
        <f t="shared" si="44"/>
        <v>1</v>
      </c>
    </row>
    <row r="2823" spans="1:20">
      <c r="A2823" s="4">
        <v>45906</v>
      </c>
      <c r="B2823">
        <v>2025</v>
      </c>
      <c r="C2823">
        <v>9</v>
      </c>
      <c r="D2823" s="5" t="s">
        <v>35</v>
      </c>
      <c r="E2823" s="5" t="s">
        <v>36</v>
      </c>
      <c r="F2823" s="5" t="s">
        <v>37</v>
      </c>
      <c r="G2823" s="5" t="s">
        <v>38</v>
      </c>
      <c r="H2823" s="5" t="s">
        <v>57</v>
      </c>
      <c r="I2823" s="5" t="s">
        <v>58</v>
      </c>
      <c r="J2823" s="5" t="s">
        <v>59</v>
      </c>
      <c r="K2823">
        <v>36</v>
      </c>
      <c r="L2823">
        <v>1383381</v>
      </c>
      <c r="M2823" s="26">
        <v>49801716</v>
      </c>
      <c r="N2823">
        <v>42661</v>
      </c>
      <c r="O2823" s="26">
        <v>5454125.1200000001</v>
      </c>
      <c r="P2823" s="5" t="s">
        <v>50</v>
      </c>
      <c r="Q2823" s="5" t="s">
        <v>51</v>
      </c>
      <c r="R2823">
        <v>4.3</v>
      </c>
      <c r="S2823">
        <v>15</v>
      </c>
      <c r="T2823">
        <f t="shared" si="44"/>
        <v>0</v>
      </c>
    </row>
    <row r="2824" spans="1:20">
      <c r="A2824" s="4">
        <v>45923</v>
      </c>
      <c r="B2824">
        <v>2025</v>
      </c>
      <c r="C2824">
        <v>9</v>
      </c>
      <c r="D2824" s="5" t="s">
        <v>54</v>
      </c>
      <c r="E2824" s="5" t="s">
        <v>55</v>
      </c>
      <c r="F2824" s="5" t="s">
        <v>55</v>
      </c>
      <c r="G2824" s="5" t="s">
        <v>56</v>
      </c>
      <c r="H2824" s="5" t="s">
        <v>57</v>
      </c>
      <c r="I2824" s="5" t="s">
        <v>58</v>
      </c>
      <c r="J2824" s="5" t="s">
        <v>59</v>
      </c>
      <c r="K2824">
        <v>30</v>
      </c>
      <c r="L2824">
        <v>1409518</v>
      </c>
      <c r="M2824" s="26">
        <v>42285540</v>
      </c>
      <c r="N2824">
        <v>6644</v>
      </c>
      <c r="O2824" s="26">
        <v>5889185.3200000003</v>
      </c>
      <c r="P2824" s="5" t="s">
        <v>50</v>
      </c>
      <c r="Q2824" s="5" t="s">
        <v>51</v>
      </c>
      <c r="R2824">
        <v>4.9000000000000004</v>
      </c>
      <c r="S2824">
        <v>13</v>
      </c>
      <c r="T2824">
        <f t="shared" si="44"/>
        <v>0</v>
      </c>
    </row>
    <row r="2825" spans="1:20">
      <c r="A2825" s="4">
        <v>45902</v>
      </c>
      <c r="B2825">
        <v>2025</v>
      </c>
      <c r="C2825">
        <v>9</v>
      </c>
      <c r="D2825" s="5" t="s">
        <v>35</v>
      </c>
      <c r="E2825" s="5" t="s">
        <v>76</v>
      </c>
      <c r="F2825" s="5" t="s">
        <v>77</v>
      </c>
      <c r="G2825" s="5" t="s">
        <v>78</v>
      </c>
      <c r="H2825" s="5" t="s">
        <v>73</v>
      </c>
      <c r="I2825" s="5" t="s">
        <v>40</v>
      </c>
      <c r="J2825" s="5" t="s">
        <v>49</v>
      </c>
      <c r="K2825">
        <v>22</v>
      </c>
      <c r="L2825">
        <v>734898</v>
      </c>
      <c r="M2825" s="26">
        <v>16167756</v>
      </c>
      <c r="N2825">
        <v>32341</v>
      </c>
      <c r="O2825" s="26">
        <v>1614058.05</v>
      </c>
      <c r="P2825" s="5" t="s">
        <v>50</v>
      </c>
      <c r="Q2825" s="5" t="s">
        <v>51</v>
      </c>
      <c r="R2825">
        <v>3.5</v>
      </c>
      <c r="S2825">
        <v>12</v>
      </c>
      <c r="T2825">
        <f t="shared" si="44"/>
        <v>0</v>
      </c>
    </row>
    <row r="2826" spans="1:20">
      <c r="A2826" s="4">
        <v>45918</v>
      </c>
      <c r="B2826">
        <v>2025</v>
      </c>
      <c r="C2826">
        <v>9</v>
      </c>
      <c r="D2826" s="5" t="s">
        <v>66</v>
      </c>
      <c r="E2826" s="5" t="s">
        <v>67</v>
      </c>
      <c r="F2826" s="5" t="s">
        <v>68</v>
      </c>
      <c r="G2826" s="5" t="s">
        <v>69</v>
      </c>
      <c r="H2826" s="5" t="s">
        <v>86</v>
      </c>
      <c r="I2826" s="5" t="s">
        <v>40</v>
      </c>
      <c r="J2826" s="5" t="s">
        <v>41</v>
      </c>
      <c r="K2826">
        <v>52</v>
      </c>
      <c r="L2826">
        <v>575385</v>
      </c>
      <c r="M2826" s="26">
        <v>29920020</v>
      </c>
      <c r="N2826">
        <v>39807</v>
      </c>
      <c r="O2826" s="26">
        <v>3293000.14</v>
      </c>
      <c r="P2826" s="5" t="s">
        <v>50</v>
      </c>
      <c r="Q2826" s="5" t="s">
        <v>75</v>
      </c>
      <c r="R2826">
        <v>3.6</v>
      </c>
      <c r="S2826">
        <v>7</v>
      </c>
      <c r="T2826">
        <f t="shared" si="44"/>
        <v>0</v>
      </c>
    </row>
    <row r="2827" spans="1:20">
      <c r="A2827" s="4">
        <v>45913</v>
      </c>
      <c r="B2827">
        <v>2025</v>
      </c>
      <c r="C2827">
        <v>9</v>
      </c>
      <c r="D2827" s="5" t="s">
        <v>35</v>
      </c>
      <c r="E2827" s="5" t="s">
        <v>60</v>
      </c>
      <c r="F2827" s="5" t="s">
        <v>61</v>
      </c>
      <c r="G2827" s="5" t="s">
        <v>62</v>
      </c>
      <c r="H2827" s="5" t="s">
        <v>85</v>
      </c>
      <c r="I2827" s="5" t="s">
        <v>58</v>
      </c>
      <c r="J2827" s="5" t="s">
        <v>49</v>
      </c>
      <c r="K2827">
        <v>55</v>
      </c>
      <c r="L2827">
        <v>971816</v>
      </c>
      <c r="M2827" s="26">
        <v>53449880</v>
      </c>
      <c r="N2827">
        <v>27959</v>
      </c>
      <c r="O2827" s="26">
        <v>7611269.7800000003</v>
      </c>
      <c r="P2827" s="5" t="s">
        <v>50</v>
      </c>
      <c r="Q2827" s="5" t="s">
        <v>75</v>
      </c>
      <c r="R2827">
        <v>3.6</v>
      </c>
      <c r="S2827">
        <v>17</v>
      </c>
      <c r="T2827">
        <f t="shared" si="44"/>
        <v>0</v>
      </c>
    </row>
    <row r="2828" spans="1:20">
      <c r="A2828" s="4">
        <v>45904</v>
      </c>
      <c r="B2828">
        <v>2025</v>
      </c>
      <c r="C2828">
        <v>9</v>
      </c>
      <c r="D2828" s="5" t="s">
        <v>66</v>
      </c>
      <c r="E2828" s="5" t="s">
        <v>67</v>
      </c>
      <c r="F2828" s="5" t="s">
        <v>68</v>
      </c>
      <c r="G2828" s="5" t="s">
        <v>69</v>
      </c>
      <c r="H2828" s="5" t="s">
        <v>57</v>
      </c>
      <c r="I2828" s="5" t="s">
        <v>58</v>
      </c>
      <c r="J2828" s="5" t="s">
        <v>59</v>
      </c>
      <c r="K2828">
        <v>45</v>
      </c>
      <c r="L2828">
        <v>1384815</v>
      </c>
      <c r="M2828" s="26">
        <v>62316675</v>
      </c>
      <c r="N2828">
        <v>19490</v>
      </c>
      <c r="O2828" s="26">
        <v>6392824.1399999997</v>
      </c>
      <c r="P2828" s="5" t="s">
        <v>42</v>
      </c>
      <c r="Q2828" s="5" t="s">
        <v>75</v>
      </c>
      <c r="R2828">
        <v>4.3</v>
      </c>
      <c r="S2828">
        <v>4</v>
      </c>
      <c r="T2828">
        <f t="shared" si="44"/>
        <v>1</v>
      </c>
    </row>
    <row r="2829" spans="1:20">
      <c r="A2829" s="4">
        <v>45924</v>
      </c>
      <c r="B2829">
        <v>2025</v>
      </c>
      <c r="C2829">
        <v>9</v>
      </c>
      <c r="D2829" s="5" t="s">
        <v>35</v>
      </c>
      <c r="E2829" s="5" t="s">
        <v>60</v>
      </c>
      <c r="F2829" s="5" t="s">
        <v>61</v>
      </c>
      <c r="G2829" s="5" t="s">
        <v>62</v>
      </c>
      <c r="H2829" s="5" t="s">
        <v>85</v>
      </c>
      <c r="I2829" s="5" t="s">
        <v>58</v>
      </c>
      <c r="J2829" s="5" t="s">
        <v>49</v>
      </c>
      <c r="K2829">
        <v>25</v>
      </c>
      <c r="L2829">
        <v>1006001</v>
      </c>
      <c r="M2829" s="26">
        <v>25150025</v>
      </c>
      <c r="N2829">
        <v>7577</v>
      </c>
      <c r="O2829" s="26">
        <v>3742327.11</v>
      </c>
      <c r="P2829" s="5" t="s">
        <v>42</v>
      </c>
      <c r="Q2829" s="5" t="s">
        <v>51</v>
      </c>
      <c r="R2829">
        <v>4.4000000000000004</v>
      </c>
      <c r="S2829">
        <v>4</v>
      </c>
      <c r="T2829">
        <f t="shared" si="44"/>
        <v>1</v>
      </c>
    </row>
    <row r="2830" spans="1:20">
      <c r="A2830" s="4">
        <v>45928</v>
      </c>
      <c r="B2830">
        <v>2025</v>
      </c>
      <c r="C2830">
        <v>9</v>
      </c>
      <c r="D2830" s="5" t="s">
        <v>44</v>
      </c>
      <c r="E2830" s="5" t="s">
        <v>45</v>
      </c>
      <c r="F2830" s="5" t="s">
        <v>46</v>
      </c>
      <c r="G2830" s="5" t="s">
        <v>47</v>
      </c>
      <c r="H2830" s="5" t="s">
        <v>39</v>
      </c>
      <c r="I2830" s="5" t="s">
        <v>40</v>
      </c>
      <c r="J2830" s="5" t="s">
        <v>41</v>
      </c>
      <c r="K2830">
        <v>23</v>
      </c>
      <c r="L2830">
        <v>588932</v>
      </c>
      <c r="M2830" s="26">
        <v>13545436</v>
      </c>
      <c r="N2830">
        <v>37388</v>
      </c>
      <c r="O2830" s="26">
        <v>1668441.62</v>
      </c>
      <c r="P2830" s="5" t="s">
        <v>42</v>
      </c>
      <c r="Q2830" s="5" t="s">
        <v>75</v>
      </c>
      <c r="R2830">
        <v>4.5</v>
      </c>
      <c r="S2830">
        <v>7</v>
      </c>
      <c r="T2830">
        <f t="shared" si="44"/>
        <v>1</v>
      </c>
    </row>
    <row r="2831" spans="1:20">
      <c r="A2831" s="4">
        <v>45909</v>
      </c>
      <c r="B2831">
        <v>2025</v>
      </c>
      <c r="C2831">
        <v>9</v>
      </c>
      <c r="D2831" s="5" t="s">
        <v>66</v>
      </c>
      <c r="E2831" s="5" t="s">
        <v>67</v>
      </c>
      <c r="F2831" s="5" t="s">
        <v>68</v>
      </c>
      <c r="G2831" s="5" t="s">
        <v>69</v>
      </c>
      <c r="H2831" s="5" t="s">
        <v>80</v>
      </c>
      <c r="I2831" s="5" t="s">
        <v>81</v>
      </c>
      <c r="J2831" s="5" t="s">
        <v>41</v>
      </c>
      <c r="K2831">
        <v>27</v>
      </c>
      <c r="L2831">
        <v>520385</v>
      </c>
      <c r="M2831" s="26">
        <v>14050395</v>
      </c>
      <c r="N2831">
        <v>37470</v>
      </c>
      <c r="O2831" s="26">
        <v>2032823.2</v>
      </c>
      <c r="P2831" s="5" t="s">
        <v>42</v>
      </c>
      <c r="Q2831" s="5" t="s">
        <v>43</v>
      </c>
      <c r="R2831">
        <v>4.0999999999999996</v>
      </c>
      <c r="S2831">
        <v>9</v>
      </c>
      <c r="T2831">
        <f t="shared" si="44"/>
        <v>1</v>
      </c>
    </row>
    <row r="2832" spans="1:20">
      <c r="A2832" s="4">
        <v>45919</v>
      </c>
      <c r="B2832">
        <v>2025</v>
      </c>
      <c r="C2832">
        <v>9</v>
      </c>
      <c r="D2832" s="5" t="s">
        <v>44</v>
      </c>
      <c r="E2832" s="5" t="s">
        <v>45</v>
      </c>
      <c r="F2832" s="5" t="s">
        <v>46</v>
      </c>
      <c r="G2832" s="5" t="s">
        <v>47</v>
      </c>
      <c r="H2832" s="5" t="s">
        <v>48</v>
      </c>
      <c r="I2832" s="5" t="s">
        <v>40</v>
      </c>
      <c r="J2832" s="5" t="s">
        <v>49</v>
      </c>
      <c r="K2832">
        <v>18</v>
      </c>
      <c r="L2832">
        <v>464387</v>
      </c>
      <c r="M2832" s="26">
        <v>8358966</v>
      </c>
      <c r="N2832">
        <v>21523</v>
      </c>
      <c r="O2832" s="26">
        <v>1329627.52</v>
      </c>
      <c r="P2832" s="5" t="s">
        <v>50</v>
      </c>
      <c r="Q2832" s="5" t="s">
        <v>43</v>
      </c>
      <c r="R2832">
        <v>3.6</v>
      </c>
      <c r="S2832">
        <v>17</v>
      </c>
      <c r="T2832">
        <f t="shared" si="44"/>
        <v>0</v>
      </c>
    </row>
    <row r="2833" spans="1:20">
      <c r="A2833" s="4">
        <v>45909</v>
      </c>
      <c r="B2833">
        <v>2025</v>
      </c>
      <c r="C2833">
        <v>9</v>
      </c>
      <c r="D2833" s="5" t="s">
        <v>35</v>
      </c>
      <c r="E2833" s="5" t="s">
        <v>76</v>
      </c>
      <c r="F2833" s="5" t="s">
        <v>77</v>
      </c>
      <c r="G2833" s="5" t="s">
        <v>78</v>
      </c>
      <c r="H2833" s="5" t="s">
        <v>57</v>
      </c>
      <c r="I2833" s="5" t="s">
        <v>58</v>
      </c>
      <c r="J2833" s="5" t="s">
        <v>59</v>
      </c>
      <c r="K2833">
        <v>28</v>
      </c>
      <c r="L2833">
        <v>1370210</v>
      </c>
      <c r="M2833" s="26">
        <v>38365880</v>
      </c>
      <c r="N2833">
        <v>42089</v>
      </c>
      <c r="O2833" s="26">
        <v>3649590.43</v>
      </c>
      <c r="P2833" s="5" t="s">
        <v>50</v>
      </c>
      <c r="Q2833" s="5" t="s">
        <v>51</v>
      </c>
      <c r="R2833">
        <v>4.5</v>
      </c>
      <c r="S2833">
        <v>5</v>
      </c>
      <c r="T2833">
        <f t="shared" si="44"/>
        <v>0</v>
      </c>
    </row>
    <row r="2834" spans="1:20">
      <c r="A2834" s="4">
        <v>45922</v>
      </c>
      <c r="B2834">
        <v>2025</v>
      </c>
      <c r="C2834">
        <v>9</v>
      </c>
      <c r="D2834" s="5" t="s">
        <v>35</v>
      </c>
      <c r="E2834" s="5" t="s">
        <v>76</v>
      </c>
      <c r="F2834" s="5" t="s">
        <v>77</v>
      </c>
      <c r="G2834" s="5" t="s">
        <v>78</v>
      </c>
      <c r="H2834" s="5" t="s">
        <v>85</v>
      </c>
      <c r="I2834" s="5" t="s">
        <v>58</v>
      </c>
      <c r="J2834" s="5" t="s">
        <v>49</v>
      </c>
      <c r="K2834">
        <v>30</v>
      </c>
      <c r="L2834">
        <v>997216</v>
      </c>
      <c r="M2834" s="26">
        <v>29916480</v>
      </c>
      <c r="N2834">
        <v>35537</v>
      </c>
      <c r="O2834" s="26">
        <v>3555097.11</v>
      </c>
      <c r="P2834" s="5" t="s">
        <v>50</v>
      </c>
      <c r="Q2834" s="5" t="s">
        <v>43</v>
      </c>
      <c r="R2834">
        <v>4.5999999999999996</v>
      </c>
      <c r="S2834">
        <v>15</v>
      </c>
      <c r="T2834">
        <f t="shared" si="44"/>
        <v>0</v>
      </c>
    </row>
    <row r="2835" spans="1:20">
      <c r="A2835" s="4">
        <v>45905</v>
      </c>
      <c r="B2835">
        <v>2025</v>
      </c>
      <c r="C2835">
        <v>9</v>
      </c>
      <c r="D2835" s="5" t="s">
        <v>44</v>
      </c>
      <c r="E2835" s="5" t="s">
        <v>82</v>
      </c>
      <c r="F2835" s="5" t="s">
        <v>83</v>
      </c>
      <c r="G2835" s="5" t="s">
        <v>84</v>
      </c>
      <c r="H2835" s="5" t="s">
        <v>86</v>
      </c>
      <c r="I2835" s="5" t="s">
        <v>40</v>
      </c>
      <c r="J2835" s="5" t="s">
        <v>41</v>
      </c>
      <c r="K2835">
        <v>22</v>
      </c>
      <c r="L2835">
        <v>587868</v>
      </c>
      <c r="M2835" s="26">
        <v>12933096</v>
      </c>
      <c r="N2835">
        <v>21509</v>
      </c>
      <c r="O2835" s="26">
        <v>1658306.42</v>
      </c>
      <c r="P2835" s="5" t="s">
        <v>50</v>
      </c>
      <c r="Q2835" s="5" t="s">
        <v>43</v>
      </c>
      <c r="R2835">
        <v>3.8</v>
      </c>
      <c r="S2835">
        <v>20</v>
      </c>
      <c r="T2835">
        <f t="shared" si="44"/>
        <v>0</v>
      </c>
    </row>
    <row r="2836" spans="1:20">
      <c r="A2836" s="4">
        <v>45909</v>
      </c>
      <c r="B2836">
        <v>2025</v>
      </c>
      <c r="C2836">
        <v>9</v>
      </c>
      <c r="D2836" s="5" t="s">
        <v>44</v>
      </c>
      <c r="E2836" s="5" t="s">
        <v>45</v>
      </c>
      <c r="F2836" s="5" t="s">
        <v>46</v>
      </c>
      <c r="G2836" s="5" t="s">
        <v>47</v>
      </c>
      <c r="H2836" s="5" t="s">
        <v>57</v>
      </c>
      <c r="I2836" s="5" t="s">
        <v>58</v>
      </c>
      <c r="J2836" s="5" t="s">
        <v>59</v>
      </c>
      <c r="K2836">
        <v>48</v>
      </c>
      <c r="L2836">
        <v>1408377</v>
      </c>
      <c r="M2836" s="26">
        <v>67602096</v>
      </c>
      <c r="N2836">
        <v>41531</v>
      </c>
      <c r="O2836" s="26">
        <v>5442300.5499999998</v>
      </c>
      <c r="P2836" s="5" t="s">
        <v>42</v>
      </c>
      <c r="Q2836" s="5" t="s">
        <v>51</v>
      </c>
      <c r="R2836">
        <v>3.8</v>
      </c>
      <c r="S2836">
        <v>2</v>
      </c>
      <c r="T2836">
        <f t="shared" si="44"/>
        <v>1</v>
      </c>
    </row>
    <row r="2837" spans="1:20">
      <c r="A2837" s="4">
        <v>45922</v>
      </c>
      <c r="B2837">
        <v>2025</v>
      </c>
      <c r="C2837">
        <v>9</v>
      </c>
      <c r="D2837" s="5" t="s">
        <v>44</v>
      </c>
      <c r="E2837" s="5" t="s">
        <v>45</v>
      </c>
      <c r="F2837" s="5" t="s">
        <v>46</v>
      </c>
      <c r="G2837" s="5" t="s">
        <v>47</v>
      </c>
      <c r="H2837" s="5" t="s">
        <v>65</v>
      </c>
      <c r="I2837" s="5" t="s">
        <v>53</v>
      </c>
      <c r="J2837" s="5" t="s">
        <v>49</v>
      </c>
      <c r="K2837">
        <v>14</v>
      </c>
      <c r="L2837">
        <v>1233391</v>
      </c>
      <c r="M2837" s="26">
        <v>17267474</v>
      </c>
      <c r="N2837">
        <v>26440</v>
      </c>
      <c r="O2837" s="26">
        <v>2017987.85</v>
      </c>
      <c r="P2837" s="5" t="s">
        <v>42</v>
      </c>
      <c r="Q2837" s="5" t="s">
        <v>43</v>
      </c>
      <c r="R2837">
        <v>3.6</v>
      </c>
      <c r="S2837">
        <v>10</v>
      </c>
      <c r="T2837">
        <f t="shared" si="44"/>
        <v>1</v>
      </c>
    </row>
    <row r="2838" spans="1:20">
      <c r="A2838" s="4">
        <v>45903</v>
      </c>
      <c r="B2838">
        <v>2025</v>
      </c>
      <c r="C2838">
        <v>9</v>
      </c>
      <c r="D2838" s="5" t="s">
        <v>44</v>
      </c>
      <c r="E2838" s="5" t="s">
        <v>45</v>
      </c>
      <c r="F2838" s="5" t="s">
        <v>46</v>
      </c>
      <c r="G2838" s="5" t="s">
        <v>47</v>
      </c>
      <c r="H2838" s="5" t="s">
        <v>52</v>
      </c>
      <c r="I2838" s="5" t="s">
        <v>53</v>
      </c>
      <c r="J2838" s="5" t="s">
        <v>41</v>
      </c>
      <c r="K2838">
        <v>23</v>
      </c>
      <c r="L2838">
        <v>975910</v>
      </c>
      <c r="M2838" s="26">
        <v>22445930</v>
      </c>
      <c r="N2838">
        <v>48268</v>
      </c>
      <c r="O2838" s="26">
        <v>2802397.99</v>
      </c>
      <c r="P2838" s="5" t="s">
        <v>50</v>
      </c>
      <c r="Q2838" s="5" t="s">
        <v>51</v>
      </c>
      <c r="R2838">
        <v>4.9000000000000004</v>
      </c>
      <c r="S2838">
        <v>2</v>
      </c>
      <c r="T2838">
        <f t="shared" si="44"/>
        <v>0</v>
      </c>
    </row>
    <row r="2839" spans="1:20">
      <c r="A2839" s="4">
        <v>45927</v>
      </c>
      <c r="B2839">
        <v>2025</v>
      </c>
      <c r="C2839">
        <v>9</v>
      </c>
      <c r="D2839" s="5" t="s">
        <v>44</v>
      </c>
      <c r="E2839" s="5" t="s">
        <v>45</v>
      </c>
      <c r="F2839" s="5" t="s">
        <v>46</v>
      </c>
      <c r="G2839" s="5" t="s">
        <v>47</v>
      </c>
      <c r="H2839" s="5" t="s">
        <v>52</v>
      </c>
      <c r="I2839" s="5" t="s">
        <v>53</v>
      </c>
      <c r="J2839" s="5" t="s">
        <v>41</v>
      </c>
      <c r="K2839">
        <v>5</v>
      </c>
      <c r="L2839">
        <v>947124</v>
      </c>
      <c r="M2839" s="26">
        <v>4735620</v>
      </c>
      <c r="N2839">
        <v>17310</v>
      </c>
      <c r="O2839" s="26">
        <v>396513.14</v>
      </c>
      <c r="P2839" s="5" t="s">
        <v>50</v>
      </c>
      <c r="Q2839" s="5" t="s">
        <v>51</v>
      </c>
      <c r="R2839">
        <v>4.5</v>
      </c>
      <c r="S2839">
        <v>15</v>
      </c>
      <c r="T2839">
        <f t="shared" si="44"/>
        <v>0</v>
      </c>
    </row>
    <row r="2840" spans="1:20">
      <c r="A2840" s="4">
        <v>45904</v>
      </c>
      <c r="B2840">
        <v>2025</v>
      </c>
      <c r="C2840">
        <v>9</v>
      </c>
      <c r="D2840" s="5" t="s">
        <v>66</v>
      </c>
      <c r="E2840" s="5" t="s">
        <v>67</v>
      </c>
      <c r="F2840" s="5" t="s">
        <v>68</v>
      </c>
      <c r="G2840" s="5" t="s">
        <v>69</v>
      </c>
      <c r="H2840" s="5" t="s">
        <v>80</v>
      </c>
      <c r="I2840" s="5" t="s">
        <v>81</v>
      </c>
      <c r="J2840" s="5" t="s">
        <v>41</v>
      </c>
      <c r="K2840">
        <v>18</v>
      </c>
      <c r="L2840">
        <v>546537</v>
      </c>
      <c r="M2840" s="26">
        <v>9837666</v>
      </c>
      <c r="N2840">
        <v>42487</v>
      </c>
      <c r="O2840" s="26">
        <v>1290555.3</v>
      </c>
      <c r="P2840" s="5" t="s">
        <v>50</v>
      </c>
      <c r="Q2840" s="5" t="s">
        <v>75</v>
      </c>
      <c r="R2840">
        <v>5</v>
      </c>
      <c r="S2840">
        <v>3</v>
      </c>
      <c r="T2840">
        <f t="shared" si="44"/>
        <v>0</v>
      </c>
    </row>
    <row r="2841" spans="1:20">
      <c r="A2841" s="4">
        <v>45912</v>
      </c>
      <c r="B2841">
        <v>2025</v>
      </c>
      <c r="C2841">
        <v>9</v>
      </c>
      <c r="D2841" s="5" t="s">
        <v>44</v>
      </c>
      <c r="E2841" s="5" t="s">
        <v>45</v>
      </c>
      <c r="F2841" s="5" t="s">
        <v>46</v>
      </c>
      <c r="G2841" s="5" t="s">
        <v>47</v>
      </c>
      <c r="H2841" s="5" t="s">
        <v>80</v>
      </c>
      <c r="I2841" s="5" t="s">
        <v>81</v>
      </c>
      <c r="J2841" s="5" t="s">
        <v>41</v>
      </c>
      <c r="K2841">
        <v>12</v>
      </c>
      <c r="L2841">
        <v>571775</v>
      </c>
      <c r="M2841" s="26">
        <v>6861300</v>
      </c>
      <c r="N2841">
        <v>40782</v>
      </c>
      <c r="O2841" s="26">
        <v>886433.94</v>
      </c>
      <c r="P2841" s="5" t="s">
        <v>50</v>
      </c>
      <c r="Q2841" s="5" t="s">
        <v>51</v>
      </c>
      <c r="R2841">
        <v>3.6</v>
      </c>
      <c r="S2841">
        <v>17</v>
      </c>
      <c r="T2841">
        <f t="shared" si="44"/>
        <v>0</v>
      </c>
    </row>
    <row r="2842" spans="1:20">
      <c r="A2842" s="4">
        <v>45906</v>
      </c>
      <c r="B2842">
        <v>2025</v>
      </c>
      <c r="C2842">
        <v>9</v>
      </c>
      <c r="D2842" s="5" t="s">
        <v>44</v>
      </c>
      <c r="E2842" s="5" t="s">
        <v>45</v>
      </c>
      <c r="F2842" s="5" t="s">
        <v>46</v>
      </c>
      <c r="G2842" s="5" t="s">
        <v>47</v>
      </c>
      <c r="H2842" s="5" t="s">
        <v>63</v>
      </c>
      <c r="I2842" s="5" t="s">
        <v>64</v>
      </c>
      <c r="J2842" s="5" t="s">
        <v>41</v>
      </c>
      <c r="K2842">
        <v>17</v>
      </c>
      <c r="L2842">
        <v>767230</v>
      </c>
      <c r="M2842" s="26">
        <v>13042910</v>
      </c>
      <c r="N2842">
        <v>26927</v>
      </c>
      <c r="O2842" s="26">
        <v>1093910.6100000001</v>
      </c>
      <c r="P2842" s="5" t="s">
        <v>42</v>
      </c>
      <c r="Q2842" s="5" t="s">
        <v>75</v>
      </c>
      <c r="R2842">
        <v>4.5999999999999996</v>
      </c>
      <c r="S2842">
        <v>21</v>
      </c>
      <c r="T2842">
        <f t="shared" si="44"/>
        <v>1</v>
      </c>
    </row>
    <row r="2843" spans="1:20">
      <c r="A2843" s="4">
        <v>45912</v>
      </c>
      <c r="B2843">
        <v>2025</v>
      </c>
      <c r="C2843">
        <v>9</v>
      </c>
      <c r="D2843" s="5" t="s">
        <v>35</v>
      </c>
      <c r="E2843" s="5" t="s">
        <v>76</v>
      </c>
      <c r="F2843" s="5" t="s">
        <v>77</v>
      </c>
      <c r="G2843" s="5" t="s">
        <v>78</v>
      </c>
      <c r="H2843" s="5" t="s">
        <v>63</v>
      </c>
      <c r="I2843" s="5" t="s">
        <v>64</v>
      </c>
      <c r="J2843" s="5" t="s">
        <v>41</v>
      </c>
      <c r="K2843">
        <v>49</v>
      </c>
      <c r="L2843">
        <v>769418</v>
      </c>
      <c r="M2843" s="26">
        <v>37701482</v>
      </c>
      <c r="N2843">
        <v>48398</v>
      </c>
      <c r="O2843" s="26">
        <v>5573641.6399999997</v>
      </c>
      <c r="P2843" s="5" t="s">
        <v>42</v>
      </c>
      <c r="Q2843" s="5" t="s">
        <v>43</v>
      </c>
      <c r="R2843">
        <v>4.4000000000000004</v>
      </c>
      <c r="S2843">
        <v>7</v>
      </c>
      <c r="T2843">
        <f t="shared" si="44"/>
        <v>1</v>
      </c>
    </row>
    <row r="2844" spans="1:20">
      <c r="A2844" s="4">
        <v>45909</v>
      </c>
      <c r="B2844">
        <v>2025</v>
      </c>
      <c r="C2844">
        <v>9</v>
      </c>
      <c r="D2844" s="5" t="s">
        <v>54</v>
      </c>
      <c r="E2844" s="5" t="s">
        <v>55</v>
      </c>
      <c r="F2844" s="5" t="s">
        <v>55</v>
      </c>
      <c r="G2844" s="5" t="s">
        <v>56</v>
      </c>
      <c r="H2844" s="5" t="s">
        <v>39</v>
      </c>
      <c r="I2844" s="5" t="s">
        <v>40</v>
      </c>
      <c r="J2844" s="5" t="s">
        <v>41</v>
      </c>
      <c r="K2844">
        <v>6</v>
      </c>
      <c r="L2844">
        <v>598828</v>
      </c>
      <c r="M2844" s="26">
        <v>3592968</v>
      </c>
      <c r="N2844">
        <v>22659</v>
      </c>
      <c r="O2844" s="26">
        <v>436249.11</v>
      </c>
      <c r="P2844" s="5" t="s">
        <v>50</v>
      </c>
      <c r="Q2844" s="5" t="s">
        <v>51</v>
      </c>
      <c r="R2844">
        <v>4.0999999999999996</v>
      </c>
      <c r="S2844">
        <v>15</v>
      </c>
      <c r="T2844">
        <f t="shared" si="44"/>
        <v>0</v>
      </c>
    </row>
    <row r="2845" spans="1:20">
      <c r="A2845" s="4">
        <v>45924</v>
      </c>
      <c r="B2845">
        <v>2025</v>
      </c>
      <c r="C2845">
        <v>9</v>
      </c>
      <c r="D2845" s="5" t="s">
        <v>35</v>
      </c>
      <c r="E2845" s="5" t="s">
        <v>76</v>
      </c>
      <c r="F2845" s="5" t="s">
        <v>77</v>
      </c>
      <c r="G2845" s="5" t="s">
        <v>78</v>
      </c>
      <c r="H2845" s="5" t="s">
        <v>52</v>
      </c>
      <c r="I2845" s="5" t="s">
        <v>53</v>
      </c>
      <c r="J2845" s="5" t="s">
        <v>41</v>
      </c>
      <c r="K2845">
        <v>43</v>
      </c>
      <c r="L2845">
        <v>952514</v>
      </c>
      <c r="M2845" s="26">
        <v>40958102</v>
      </c>
      <c r="N2845">
        <v>42606</v>
      </c>
      <c r="O2845" s="26">
        <v>6134987.0899999999</v>
      </c>
      <c r="P2845" s="5" t="s">
        <v>42</v>
      </c>
      <c r="Q2845" s="5" t="s">
        <v>43</v>
      </c>
      <c r="R2845">
        <v>3.9</v>
      </c>
      <c r="S2845">
        <v>4</v>
      </c>
      <c r="T2845">
        <f t="shared" si="44"/>
        <v>1</v>
      </c>
    </row>
    <row r="2846" spans="1:20">
      <c r="A2846" s="4">
        <v>45923</v>
      </c>
      <c r="B2846">
        <v>2025</v>
      </c>
      <c r="C2846">
        <v>9</v>
      </c>
      <c r="D2846" s="5" t="s">
        <v>66</v>
      </c>
      <c r="E2846" s="5" t="s">
        <v>67</v>
      </c>
      <c r="F2846" s="5" t="s">
        <v>68</v>
      </c>
      <c r="G2846" s="5" t="s">
        <v>69</v>
      </c>
      <c r="H2846" s="5" t="s">
        <v>85</v>
      </c>
      <c r="I2846" s="5" t="s">
        <v>58</v>
      </c>
      <c r="J2846" s="5" t="s">
        <v>49</v>
      </c>
      <c r="K2846">
        <v>7</v>
      </c>
      <c r="L2846">
        <v>964525</v>
      </c>
      <c r="M2846" s="26">
        <v>6751675</v>
      </c>
      <c r="N2846">
        <v>21070</v>
      </c>
      <c r="O2846" s="26">
        <v>550925.92000000004</v>
      </c>
      <c r="P2846" s="5" t="s">
        <v>42</v>
      </c>
      <c r="Q2846" s="5" t="s">
        <v>75</v>
      </c>
      <c r="R2846">
        <v>4.9000000000000004</v>
      </c>
      <c r="S2846">
        <v>14</v>
      </c>
      <c r="T2846">
        <f t="shared" si="44"/>
        <v>1</v>
      </c>
    </row>
    <row r="2847" spans="1:20">
      <c r="A2847" s="4">
        <v>45919</v>
      </c>
      <c r="B2847">
        <v>2025</v>
      </c>
      <c r="C2847">
        <v>9</v>
      </c>
      <c r="D2847" s="5" t="s">
        <v>35</v>
      </c>
      <c r="E2847" s="5" t="s">
        <v>36</v>
      </c>
      <c r="F2847" s="5" t="s">
        <v>37</v>
      </c>
      <c r="G2847" s="5" t="s">
        <v>38</v>
      </c>
      <c r="H2847" s="5" t="s">
        <v>48</v>
      </c>
      <c r="I2847" s="5" t="s">
        <v>40</v>
      </c>
      <c r="J2847" s="5" t="s">
        <v>49</v>
      </c>
      <c r="K2847">
        <v>10</v>
      </c>
      <c r="L2847">
        <v>439858</v>
      </c>
      <c r="M2847" s="26">
        <v>4398580</v>
      </c>
      <c r="N2847">
        <v>5128</v>
      </c>
      <c r="O2847" s="26">
        <v>479416.97</v>
      </c>
      <c r="P2847" s="5" t="s">
        <v>42</v>
      </c>
      <c r="Q2847" s="5" t="s">
        <v>51</v>
      </c>
      <c r="R2847">
        <v>4.5</v>
      </c>
      <c r="S2847">
        <v>19</v>
      </c>
      <c r="T2847">
        <f t="shared" si="44"/>
        <v>1</v>
      </c>
    </row>
    <row r="2848" spans="1:20">
      <c r="A2848" s="4">
        <v>45928</v>
      </c>
      <c r="B2848">
        <v>2025</v>
      </c>
      <c r="C2848">
        <v>9</v>
      </c>
      <c r="D2848" s="5" t="s">
        <v>35</v>
      </c>
      <c r="E2848" s="5" t="s">
        <v>60</v>
      </c>
      <c r="F2848" s="5" t="s">
        <v>61</v>
      </c>
      <c r="G2848" s="5" t="s">
        <v>62</v>
      </c>
      <c r="H2848" s="5" t="s">
        <v>80</v>
      </c>
      <c r="I2848" s="5" t="s">
        <v>81</v>
      </c>
      <c r="J2848" s="5" t="s">
        <v>41</v>
      </c>
      <c r="K2848">
        <v>60</v>
      </c>
      <c r="L2848">
        <v>537143</v>
      </c>
      <c r="M2848" s="26">
        <v>32228580</v>
      </c>
      <c r="N2848">
        <v>6073</v>
      </c>
      <c r="O2848" s="26">
        <v>4491940.45</v>
      </c>
      <c r="P2848" s="5" t="s">
        <v>42</v>
      </c>
      <c r="Q2848" s="5" t="s">
        <v>43</v>
      </c>
      <c r="R2848">
        <v>3.9</v>
      </c>
      <c r="S2848">
        <v>19</v>
      </c>
      <c r="T2848">
        <f t="shared" si="44"/>
        <v>1</v>
      </c>
    </row>
    <row r="2849" spans="1:20">
      <c r="A2849" s="4">
        <v>45927</v>
      </c>
      <c r="B2849">
        <v>2025</v>
      </c>
      <c r="C2849">
        <v>9</v>
      </c>
      <c r="D2849" s="5" t="s">
        <v>35</v>
      </c>
      <c r="E2849" s="5" t="s">
        <v>76</v>
      </c>
      <c r="F2849" s="5" t="s">
        <v>77</v>
      </c>
      <c r="G2849" s="5" t="s">
        <v>78</v>
      </c>
      <c r="H2849" s="5" t="s">
        <v>63</v>
      </c>
      <c r="I2849" s="5" t="s">
        <v>64</v>
      </c>
      <c r="J2849" s="5" t="s">
        <v>41</v>
      </c>
      <c r="K2849">
        <v>30</v>
      </c>
      <c r="L2849">
        <v>781935</v>
      </c>
      <c r="M2849" s="26">
        <v>23458050</v>
      </c>
      <c r="N2849">
        <v>15101</v>
      </c>
      <c r="O2849" s="26">
        <v>3107193.53</v>
      </c>
      <c r="P2849" s="5" t="s">
        <v>50</v>
      </c>
      <c r="Q2849" s="5" t="s">
        <v>43</v>
      </c>
      <c r="R2849">
        <v>4.4000000000000004</v>
      </c>
      <c r="S2849">
        <v>9</v>
      </c>
      <c r="T2849">
        <f t="shared" si="44"/>
        <v>0</v>
      </c>
    </row>
    <row r="2850" spans="1:20">
      <c r="A2850" s="4">
        <v>45919</v>
      </c>
      <c r="B2850">
        <v>2025</v>
      </c>
      <c r="C2850">
        <v>9</v>
      </c>
      <c r="D2850" s="5" t="s">
        <v>35</v>
      </c>
      <c r="E2850" s="5" t="s">
        <v>36</v>
      </c>
      <c r="F2850" s="5" t="s">
        <v>37</v>
      </c>
      <c r="G2850" s="5" t="s">
        <v>38</v>
      </c>
      <c r="H2850" s="5" t="s">
        <v>74</v>
      </c>
      <c r="I2850" s="5" t="s">
        <v>40</v>
      </c>
      <c r="J2850" s="5" t="s">
        <v>49</v>
      </c>
      <c r="K2850">
        <v>5</v>
      </c>
      <c r="L2850">
        <v>670313</v>
      </c>
      <c r="M2850" s="26">
        <v>3351565</v>
      </c>
      <c r="N2850">
        <v>38713</v>
      </c>
      <c r="O2850" s="26">
        <v>349553.16</v>
      </c>
      <c r="P2850" s="5" t="s">
        <v>50</v>
      </c>
      <c r="Q2850" s="5" t="s">
        <v>75</v>
      </c>
      <c r="R2850">
        <v>3.8</v>
      </c>
      <c r="S2850">
        <v>18</v>
      </c>
      <c r="T2850">
        <f t="shared" si="44"/>
        <v>0</v>
      </c>
    </row>
    <row r="2851" spans="1:20">
      <c r="A2851" s="4">
        <v>45914</v>
      </c>
      <c r="B2851">
        <v>2025</v>
      </c>
      <c r="C2851">
        <v>9</v>
      </c>
      <c r="D2851" s="5" t="s">
        <v>44</v>
      </c>
      <c r="E2851" s="5" t="s">
        <v>82</v>
      </c>
      <c r="F2851" s="5" t="s">
        <v>83</v>
      </c>
      <c r="G2851" s="5" t="s">
        <v>84</v>
      </c>
      <c r="H2851" s="5" t="s">
        <v>73</v>
      </c>
      <c r="I2851" s="5" t="s">
        <v>40</v>
      </c>
      <c r="J2851" s="5" t="s">
        <v>49</v>
      </c>
      <c r="K2851">
        <v>57</v>
      </c>
      <c r="L2851">
        <v>714379</v>
      </c>
      <c r="M2851" s="26">
        <v>40719603</v>
      </c>
      <c r="N2851">
        <v>29063</v>
      </c>
      <c r="O2851" s="26">
        <v>3807155.91</v>
      </c>
      <c r="P2851" s="5" t="s">
        <v>50</v>
      </c>
      <c r="Q2851" s="5" t="s">
        <v>51</v>
      </c>
      <c r="R2851">
        <v>4.5999999999999996</v>
      </c>
      <c r="S2851">
        <v>2</v>
      </c>
      <c r="T2851">
        <f t="shared" si="44"/>
        <v>0</v>
      </c>
    </row>
    <row r="2852" spans="1:20">
      <c r="A2852" s="4">
        <v>45944</v>
      </c>
      <c r="B2852">
        <v>2025</v>
      </c>
      <c r="C2852">
        <v>10</v>
      </c>
      <c r="D2852" s="5" t="s">
        <v>35</v>
      </c>
      <c r="E2852" s="5" t="s">
        <v>36</v>
      </c>
      <c r="F2852" s="5" t="s">
        <v>37</v>
      </c>
      <c r="G2852" s="5" t="s">
        <v>38</v>
      </c>
      <c r="H2852" s="5" t="s">
        <v>80</v>
      </c>
      <c r="I2852" s="5" t="s">
        <v>81</v>
      </c>
      <c r="J2852" s="5" t="s">
        <v>41</v>
      </c>
      <c r="K2852">
        <v>44</v>
      </c>
      <c r="L2852">
        <v>557011</v>
      </c>
      <c r="M2852" s="26">
        <v>24508484</v>
      </c>
      <c r="N2852">
        <v>21456</v>
      </c>
      <c r="O2852" s="26">
        <v>3870049.86</v>
      </c>
      <c r="P2852" s="5" t="s">
        <v>42</v>
      </c>
      <c r="Q2852" s="5" t="s">
        <v>51</v>
      </c>
      <c r="R2852">
        <v>4.3</v>
      </c>
      <c r="S2852">
        <v>12</v>
      </c>
      <c r="T2852">
        <f t="shared" si="44"/>
        <v>1</v>
      </c>
    </row>
    <row r="2853" spans="1:20">
      <c r="A2853" s="4">
        <v>45950</v>
      </c>
      <c r="B2853">
        <v>2025</v>
      </c>
      <c r="C2853">
        <v>10</v>
      </c>
      <c r="D2853" s="5" t="s">
        <v>35</v>
      </c>
      <c r="E2853" s="5" t="s">
        <v>76</v>
      </c>
      <c r="F2853" s="5" t="s">
        <v>77</v>
      </c>
      <c r="G2853" s="5" t="s">
        <v>78</v>
      </c>
      <c r="H2853" s="5" t="s">
        <v>48</v>
      </c>
      <c r="I2853" s="5" t="s">
        <v>40</v>
      </c>
      <c r="J2853" s="5" t="s">
        <v>49</v>
      </c>
      <c r="K2853">
        <v>18</v>
      </c>
      <c r="L2853">
        <v>477243</v>
      </c>
      <c r="M2853" s="26">
        <v>8590374</v>
      </c>
      <c r="N2853">
        <v>48063</v>
      </c>
      <c r="O2853" s="26">
        <v>985232.01</v>
      </c>
      <c r="P2853" s="5" t="s">
        <v>42</v>
      </c>
      <c r="Q2853" s="5" t="s">
        <v>51</v>
      </c>
      <c r="R2853">
        <v>3.8</v>
      </c>
      <c r="S2853">
        <v>3</v>
      </c>
      <c r="T2853">
        <f t="shared" si="44"/>
        <v>1</v>
      </c>
    </row>
    <row r="2854" spans="1:20">
      <c r="A2854" s="4">
        <v>45938</v>
      </c>
      <c r="B2854">
        <v>2025</v>
      </c>
      <c r="C2854">
        <v>10</v>
      </c>
      <c r="D2854" s="5" t="s">
        <v>54</v>
      </c>
      <c r="E2854" s="5" t="s">
        <v>55</v>
      </c>
      <c r="F2854" s="5" t="s">
        <v>55</v>
      </c>
      <c r="G2854" s="5" t="s">
        <v>56</v>
      </c>
      <c r="H2854" s="5" t="s">
        <v>52</v>
      </c>
      <c r="I2854" s="5" t="s">
        <v>53</v>
      </c>
      <c r="J2854" s="5" t="s">
        <v>41</v>
      </c>
      <c r="K2854">
        <v>50</v>
      </c>
      <c r="L2854">
        <v>937539</v>
      </c>
      <c r="M2854" s="26">
        <v>46876950</v>
      </c>
      <c r="N2854">
        <v>15741</v>
      </c>
      <c r="O2854" s="26">
        <v>6859952.0800000001</v>
      </c>
      <c r="P2854" s="5" t="s">
        <v>50</v>
      </c>
      <c r="Q2854" s="5" t="s">
        <v>75</v>
      </c>
      <c r="R2854">
        <v>3.9</v>
      </c>
      <c r="S2854">
        <v>18</v>
      </c>
      <c r="T2854">
        <f t="shared" si="44"/>
        <v>0</v>
      </c>
    </row>
    <row r="2855" spans="1:20">
      <c r="A2855" s="4">
        <v>45932</v>
      </c>
      <c r="B2855">
        <v>2025</v>
      </c>
      <c r="C2855">
        <v>10</v>
      </c>
      <c r="D2855" s="5" t="s">
        <v>54</v>
      </c>
      <c r="E2855" s="5" t="s">
        <v>55</v>
      </c>
      <c r="F2855" s="5" t="s">
        <v>55</v>
      </c>
      <c r="G2855" s="5" t="s">
        <v>56</v>
      </c>
      <c r="H2855" s="5" t="s">
        <v>73</v>
      </c>
      <c r="I2855" s="5" t="s">
        <v>40</v>
      </c>
      <c r="J2855" s="5" t="s">
        <v>49</v>
      </c>
      <c r="K2855">
        <v>57</v>
      </c>
      <c r="L2855">
        <v>715178</v>
      </c>
      <c r="M2855" s="26">
        <v>40765146</v>
      </c>
      <c r="N2855">
        <v>11960</v>
      </c>
      <c r="O2855" s="26">
        <v>4309736.74</v>
      </c>
      <c r="P2855" s="5" t="s">
        <v>50</v>
      </c>
      <c r="Q2855" s="5" t="s">
        <v>75</v>
      </c>
      <c r="R2855">
        <v>4.2</v>
      </c>
      <c r="S2855">
        <v>6</v>
      </c>
      <c r="T2855">
        <f t="shared" si="44"/>
        <v>0</v>
      </c>
    </row>
    <row r="2856" spans="1:20">
      <c r="A2856" s="4">
        <v>45948</v>
      </c>
      <c r="B2856">
        <v>2025</v>
      </c>
      <c r="C2856">
        <v>10</v>
      </c>
      <c r="D2856" s="5" t="s">
        <v>44</v>
      </c>
      <c r="E2856" s="5" t="s">
        <v>82</v>
      </c>
      <c r="F2856" s="5" t="s">
        <v>83</v>
      </c>
      <c r="G2856" s="5" t="s">
        <v>84</v>
      </c>
      <c r="H2856" s="5" t="s">
        <v>80</v>
      </c>
      <c r="I2856" s="5" t="s">
        <v>81</v>
      </c>
      <c r="J2856" s="5" t="s">
        <v>41</v>
      </c>
      <c r="K2856">
        <v>36</v>
      </c>
      <c r="L2856">
        <v>571523</v>
      </c>
      <c r="M2856" s="26">
        <v>20574828</v>
      </c>
      <c r="N2856">
        <v>14648</v>
      </c>
      <c r="O2856" s="26">
        <v>3139561.8</v>
      </c>
      <c r="P2856" s="5" t="s">
        <v>42</v>
      </c>
      <c r="Q2856" s="5" t="s">
        <v>43</v>
      </c>
      <c r="R2856">
        <v>4.5</v>
      </c>
      <c r="S2856">
        <v>11</v>
      </c>
      <c r="T2856">
        <f t="shared" si="44"/>
        <v>1</v>
      </c>
    </row>
    <row r="2857" spans="1:20">
      <c r="A2857" s="4">
        <v>45955</v>
      </c>
      <c r="B2857">
        <v>2025</v>
      </c>
      <c r="C2857">
        <v>10</v>
      </c>
      <c r="D2857" s="5" t="s">
        <v>54</v>
      </c>
      <c r="E2857" s="5" t="s">
        <v>55</v>
      </c>
      <c r="F2857" s="5" t="s">
        <v>55</v>
      </c>
      <c r="G2857" s="5" t="s">
        <v>56</v>
      </c>
      <c r="H2857" s="5" t="s">
        <v>79</v>
      </c>
      <c r="I2857" s="5" t="s">
        <v>58</v>
      </c>
      <c r="J2857" s="5" t="s">
        <v>49</v>
      </c>
      <c r="K2857">
        <v>60</v>
      </c>
      <c r="L2857">
        <v>915448</v>
      </c>
      <c r="M2857" s="26">
        <v>54926880</v>
      </c>
      <c r="N2857">
        <v>46593</v>
      </c>
      <c r="O2857" s="26">
        <v>5592295.8799999999</v>
      </c>
      <c r="P2857" s="5" t="s">
        <v>50</v>
      </c>
      <c r="Q2857" s="5" t="s">
        <v>43</v>
      </c>
      <c r="R2857">
        <v>4</v>
      </c>
      <c r="S2857">
        <v>13</v>
      </c>
      <c r="T2857">
        <f t="shared" si="44"/>
        <v>0</v>
      </c>
    </row>
    <row r="2858" spans="1:20">
      <c r="A2858" s="4">
        <v>45932</v>
      </c>
      <c r="B2858">
        <v>2025</v>
      </c>
      <c r="C2858">
        <v>10</v>
      </c>
      <c r="D2858" s="5" t="s">
        <v>35</v>
      </c>
      <c r="E2858" s="5" t="s">
        <v>76</v>
      </c>
      <c r="F2858" s="5" t="s">
        <v>77</v>
      </c>
      <c r="G2858" s="5" t="s">
        <v>78</v>
      </c>
      <c r="H2858" s="5" t="s">
        <v>63</v>
      </c>
      <c r="I2858" s="5" t="s">
        <v>64</v>
      </c>
      <c r="J2858" s="5" t="s">
        <v>41</v>
      </c>
      <c r="K2858">
        <v>13</v>
      </c>
      <c r="L2858">
        <v>789503</v>
      </c>
      <c r="M2858" s="26">
        <v>10263539</v>
      </c>
      <c r="N2858">
        <v>13515</v>
      </c>
      <c r="O2858" s="26">
        <v>999199.63</v>
      </c>
      <c r="P2858" s="5" t="s">
        <v>50</v>
      </c>
      <c r="Q2858" s="5" t="s">
        <v>43</v>
      </c>
      <c r="R2858">
        <v>3.6</v>
      </c>
      <c r="S2858">
        <v>20</v>
      </c>
      <c r="T2858">
        <f t="shared" si="44"/>
        <v>0</v>
      </c>
    </row>
    <row r="2859" spans="1:20">
      <c r="A2859" s="4">
        <v>45954</v>
      </c>
      <c r="B2859">
        <v>2025</v>
      </c>
      <c r="C2859">
        <v>10</v>
      </c>
      <c r="D2859" s="5" t="s">
        <v>54</v>
      </c>
      <c r="E2859" s="5" t="s">
        <v>70</v>
      </c>
      <c r="F2859" s="5" t="s">
        <v>71</v>
      </c>
      <c r="G2859" s="5" t="s">
        <v>72</v>
      </c>
      <c r="H2859" s="5" t="s">
        <v>73</v>
      </c>
      <c r="I2859" s="5" t="s">
        <v>40</v>
      </c>
      <c r="J2859" s="5" t="s">
        <v>49</v>
      </c>
      <c r="K2859">
        <v>9</v>
      </c>
      <c r="L2859">
        <v>706046</v>
      </c>
      <c r="M2859" s="26">
        <v>6354414</v>
      </c>
      <c r="N2859">
        <v>49452</v>
      </c>
      <c r="O2859" s="26">
        <v>586913.68000000005</v>
      </c>
      <c r="P2859" s="5" t="s">
        <v>50</v>
      </c>
      <c r="Q2859" s="5" t="s">
        <v>75</v>
      </c>
      <c r="R2859">
        <v>3.6</v>
      </c>
      <c r="S2859">
        <v>10</v>
      </c>
      <c r="T2859">
        <f t="shared" si="44"/>
        <v>0</v>
      </c>
    </row>
    <row r="2860" spans="1:20">
      <c r="A2860" s="4">
        <v>45937</v>
      </c>
      <c r="B2860">
        <v>2025</v>
      </c>
      <c r="C2860">
        <v>10</v>
      </c>
      <c r="D2860" s="5" t="s">
        <v>54</v>
      </c>
      <c r="E2860" s="5" t="s">
        <v>70</v>
      </c>
      <c r="F2860" s="5" t="s">
        <v>71</v>
      </c>
      <c r="G2860" s="5" t="s">
        <v>72</v>
      </c>
      <c r="H2860" s="5" t="s">
        <v>79</v>
      </c>
      <c r="I2860" s="5" t="s">
        <v>58</v>
      </c>
      <c r="J2860" s="5" t="s">
        <v>49</v>
      </c>
      <c r="K2860">
        <v>43</v>
      </c>
      <c r="L2860">
        <v>916560</v>
      </c>
      <c r="M2860" s="26">
        <v>39412080</v>
      </c>
      <c r="N2860">
        <v>40814</v>
      </c>
      <c r="O2860" s="26">
        <v>4461743.62</v>
      </c>
      <c r="P2860" s="5" t="s">
        <v>50</v>
      </c>
      <c r="Q2860" s="5" t="s">
        <v>51</v>
      </c>
      <c r="R2860">
        <v>4.8</v>
      </c>
      <c r="S2860">
        <v>16</v>
      </c>
      <c r="T2860">
        <f t="shared" si="44"/>
        <v>0</v>
      </c>
    </row>
    <row r="2861" spans="1:20">
      <c r="A2861" s="4">
        <v>45945</v>
      </c>
      <c r="B2861">
        <v>2025</v>
      </c>
      <c r="C2861">
        <v>10</v>
      </c>
      <c r="D2861" s="5" t="s">
        <v>54</v>
      </c>
      <c r="E2861" s="5" t="s">
        <v>55</v>
      </c>
      <c r="F2861" s="5" t="s">
        <v>55</v>
      </c>
      <c r="G2861" s="5" t="s">
        <v>56</v>
      </c>
      <c r="H2861" s="5" t="s">
        <v>39</v>
      </c>
      <c r="I2861" s="5" t="s">
        <v>40</v>
      </c>
      <c r="J2861" s="5" t="s">
        <v>41</v>
      </c>
      <c r="K2861">
        <v>53</v>
      </c>
      <c r="L2861">
        <v>551630</v>
      </c>
      <c r="M2861" s="26">
        <v>29236390</v>
      </c>
      <c r="N2861">
        <v>27975</v>
      </c>
      <c r="O2861" s="26">
        <v>4124827.6</v>
      </c>
      <c r="P2861" s="5" t="s">
        <v>42</v>
      </c>
      <c r="Q2861" s="5" t="s">
        <v>51</v>
      </c>
      <c r="R2861">
        <v>3.7</v>
      </c>
      <c r="S2861">
        <v>12</v>
      </c>
      <c r="T2861">
        <f t="shared" si="44"/>
        <v>1</v>
      </c>
    </row>
    <row r="2862" spans="1:20">
      <c r="A2862" s="4">
        <v>45936</v>
      </c>
      <c r="B2862">
        <v>2025</v>
      </c>
      <c r="C2862">
        <v>10</v>
      </c>
      <c r="D2862" s="5" t="s">
        <v>66</v>
      </c>
      <c r="E2862" s="5" t="s">
        <v>67</v>
      </c>
      <c r="F2862" s="5" t="s">
        <v>68</v>
      </c>
      <c r="G2862" s="5" t="s">
        <v>69</v>
      </c>
      <c r="H2862" s="5" t="s">
        <v>65</v>
      </c>
      <c r="I2862" s="5" t="s">
        <v>53</v>
      </c>
      <c r="J2862" s="5" t="s">
        <v>49</v>
      </c>
      <c r="K2862">
        <v>27</v>
      </c>
      <c r="L2862">
        <v>1261791</v>
      </c>
      <c r="M2862" s="26">
        <v>34068357</v>
      </c>
      <c r="N2862">
        <v>19594</v>
      </c>
      <c r="O2862" s="26">
        <v>4187614.15</v>
      </c>
      <c r="P2862" s="5" t="s">
        <v>42</v>
      </c>
      <c r="Q2862" s="5" t="s">
        <v>43</v>
      </c>
      <c r="R2862">
        <v>3.9</v>
      </c>
      <c r="S2862">
        <v>19</v>
      </c>
      <c r="T2862">
        <f t="shared" si="44"/>
        <v>1</v>
      </c>
    </row>
    <row r="2863" spans="1:20">
      <c r="A2863" s="4">
        <v>45949</v>
      </c>
      <c r="B2863">
        <v>2025</v>
      </c>
      <c r="C2863">
        <v>10</v>
      </c>
      <c r="D2863" s="5" t="s">
        <v>66</v>
      </c>
      <c r="E2863" s="5" t="s">
        <v>67</v>
      </c>
      <c r="F2863" s="5" t="s">
        <v>68</v>
      </c>
      <c r="G2863" s="5" t="s">
        <v>69</v>
      </c>
      <c r="H2863" s="5" t="s">
        <v>39</v>
      </c>
      <c r="I2863" s="5" t="s">
        <v>40</v>
      </c>
      <c r="J2863" s="5" t="s">
        <v>41</v>
      </c>
      <c r="K2863">
        <v>8</v>
      </c>
      <c r="L2863">
        <v>557095</v>
      </c>
      <c r="M2863" s="26">
        <v>4456760</v>
      </c>
      <c r="N2863">
        <v>45422</v>
      </c>
      <c r="O2863" s="26">
        <v>454624.8</v>
      </c>
      <c r="P2863" s="5" t="s">
        <v>42</v>
      </c>
      <c r="Q2863" s="5" t="s">
        <v>75</v>
      </c>
      <c r="R2863">
        <v>3.7</v>
      </c>
      <c r="S2863">
        <v>9</v>
      </c>
      <c r="T2863">
        <f t="shared" si="44"/>
        <v>1</v>
      </c>
    </row>
    <row r="2864" spans="1:20">
      <c r="A2864" s="4">
        <v>45953</v>
      </c>
      <c r="B2864">
        <v>2025</v>
      </c>
      <c r="C2864">
        <v>10</v>
      </c>
      <c r="D2864" s="5" t="s">
        <v>35</v>
      </c>
      <c r="E2864" s="5" t="s">
        <v>36</v>
      </c>
      <c r="F2864" s="5" t="s">
        <v>37</v>
      </c>
      <c r="G2864" s="5" t="s">
        <v>38</v>
      </c>
      <c r="H2864" s="5" t="s">
        <v>85</v>
      </c>
      <c r="I2864" s="5" t="s">
        <v>58</v>
      </c>
      <c r="J2864" s="5" t="s">
        <v>49</v>
      </c>
      <c r="K2864">
        <v>40</v>
      </c>
      <c r="L2864">
        <v>977070</v>
      </c>
      <c r="M2864" s="26">
        <v>39082800</v>
      </c>
      <c r="N2864">
        <v>48818</v>
      </c>
      <c r="O2864" s="26">
        <v>5600088.3600000003</v>
      </c>
      <c r="P2864" s="5" t="s">
        <v>42</v>
      </c>
      <c r="Q2864" s="5" t="s">
        <v>51</v>
      </c>
      <c r="R2864">
        <v>3.6</v>
      </c>
      <c r="S2864">
        <v>5</v>
      </c>
      <c r="T2864">
        <f t="shared" si="44"/>
        <v>1</v>
      </c>
    </row>
    <row r="2865" spans="1:20">
      <c r="A2865" s="4">
        <v>45949</v>
      </c>
      <c r="B2865">
        <v>2025</v>
      </c>
      <c r="C2865">
        <v>10</v>
      </c>
      <c r="D2865" s="5" t="s">
        <v>54</v>
      </c>
      <c r="E2865" s="5" t="s">
        <v>70</v>
      </c>
      <c r="F2865" s="5" t="s">
        <v>71</v>
      </c>
      <c r="G2865" s="5" t="s">
        <v>72</v>
      </c>
      <c r="H2865" s="5" t="s">
        <v>80</v>
      </c>
      <c r="I2865" s="5" t="s">
        <v>81</v>
      </c>
      <c r="J2865" s="5" t="s">
        <v>41</v>
      </c>
      <c r="K2865">
        <v>14</v>
      </c>
      <c r="L2865">
        <v>520993</v>
      </c>
      <c r="M2865" s="26">
        <v>7293902</v>
      </c>
      <c r="N2865">
        <v>29635</v>
      </c>
      <c r="O2865" s="26">
        <v>698466.85</v>
      </c>
      <c r="P2865" s="5" t="s">
        <v>50</v>
      </c>
      <c r="Q2865" s="5" t="s">
        <v>75</v>
      </c>
      <c r="R2865">
        <v>3.6</v>
      </c>
      <c r="S2865">
        <v>3</v>
      </c>
      <c r="T2865">
        <f t="shared" si="44"/>
        <v>0</v>
      </c>
    </row>
    <row r="2866" spans="1:20">
      <c r="A2866" s="4">
        <v>45948</v>
      </c>
      <c r="B2866">
        <v>2025</v>
      </c>
      <c r="C2866">
        <v>10</v>
      </c>
      <c r="D2866" s="5" t="s">
        <v>54</v>
      </c>
      <c r="E2866" s="5" t="s">
        <v>55</v>
      </c>
      <c r="F2866" s="5" t="s">
        <v>55</v>
      </c>
      <c r="G2866" s="5" t="s">
        <v>56</v>
      </c>
      <c r="H2866" s="5" t="s">
        <v>74</v>
      </c>
      <c r="I2866" s="5" t="s">
        <v>40</v>
      </c>
      <c r="J2866" s="5" t="s">
        <v>49</v>
      </c>
      <c r="K2866">
        <v>34</v>
      </c>
      <c r="L2866">
        <v>626846</v>
      </c>
      <c r="M2866" s="26">
        <v>21312764</v>
      </c>
      <c r="N2866">
        <v>29283</v>
      </c>
      <c r="O2866" s="26">
        <v>2061820.66</v>
      </c>
      <c r="P2866" s="5" t="s">
        <v>50</v>
      </c>
      <c r="Q2866" s="5" t="s">
        <v>75</v>
      </c>
      <c r="R2866">
        <v>4.4000000000000004</v>
      </c>
      <c r="S2866">
        <v>3</v>
      </c>
      <c r="T2866">
        <f t="shared" si="44"/>
        <v>0</v>
      </c>
    </row>
    <row r="2867" spans="1:20">
      <c r="A2867" s="4">
        <v>45944</v>
      </c>
      <c r="B2867">
        <v>2025</v>
      </c>
      <c r="C2867">
        <v>10</v>
      </c>
      <c r="D2867" s="5" t="s">
        <v>35</v>
      </c>
      <c r="E2867" s="5" t="s">
        <v>36</v>
      </c>
      <c r="F2867" s="5" t="s">
        <v>37</v>
      </c>
      <c r="G2867" s="5" t="s">
        <v>38</v>
      </c>
      <c r="H2867" s="5" t="s">
        <v>73</v>
      </c>
      <c r="I2867" s="5" t="s">
        <v>40</v>
      </c>
      <c r="J2867" s="5" t="s">
        <v>49</v>
      </c>
      <c r="K2867">
        <v>49</v>
      </c>
      <c r="L2867">
        <v>717038</v>
      </c>
      <c r="M2867" s="26">
        <v>35134862</v>
      </c>
      <c r="N2867">
        <v>16511</v>
      </c>
      <c r="O2867" s="26">
        <v>5305552.38</v>
      </c>
      <c r="P2867" s="5" t="s">
        <v>50</v>
      </c>
      <c r="Q2867" s="5" t="s">
        <v>51</v>
      </c>
      <c r="R2867">
        <v>4.9000000000000004</v>
      </c>
      <c r="S2867">
        <v>9</v>
      </c>
      <c r="T2867">
        <f t="shared" si="44"/>
        <v>0</v>
      </c>
    </row>
    <row r="2868" spans="1:20">
      <c r="A2868" s="4">
        <v>45945</v>
      </c>
      <c r="B2868">
        <v>2025</v>
      </c>
      <c r="C2868">
        <v>10</v>
      </c>
      <c r="D2868" s="5" t="s">
        <v>44</v>
      </c>
      <c r="E2868" s="5" t="s">
        <v>82</v>
      </c>
      <c r="F2868" s="5" t="s">
        <v>83</v>
      </c>
      <c r="G2868" s="5" t="s">
        <v>84</v>
      </c>
      <c r="H2868" s="5" t="s">
        <v>86</v>
      </c>
      <c r="I2868" s="5" t="s">
        <v>40</v>
      </c>
      <c r="J2868" s="5" t="s">
        <v>41</v>
      </c>
      <c r="K2868">
        <v>48</v>
      </c>
      <c r="L2868">
        <v>597925</v>
      </c>
      <c r="M2868" s="26">
        <v>28700400</v>
      </c>
      <c r="N2868">
        <v>37076</v>
      </c>
      <c r="O2868" s="26">
        <v>3420122.21</v>
      </c>
      <c r="P2868" s="5" t="s">
        <v>50</v>
      </c>
      <c r="Q2868" s="5" t="s">
        <v>43</v>
      </c>
      <c r="R2868">
        <v>3.9</v>
      </c>
      <c r="S2868">
        <v>13</v>
      </c>
      <c r="T2868">
        <f t="shared" si="44"/>
        <v>0</v>
      </c>
    </row>
    <row r="2869" spans="1:20">
      <c r="A2869" s="4">
        <v>45939</v>
      </c>
      <c r="B2869">
        <v>2025</v>
      </c>
      <c r="C2869">
        <v>10</v>
      </c>
      <c r="D2869" s="5" t="s">
        <v>35</v>
      </c>
      <c r="E2869" s="5" t="s">
        <v>76</v>
      </c>
      <c r="F2869" s="5" t="s">
        <v>77</v>
      </c>
      <c r="G2869" s="5" t="s">
        <v>78</v>
      </c>
      <c r="H2869" s="5" t="s">
        <v>86</v>
      </c>
      <c r="I2869" s="5" t="s">
        <v>40</v>
      </c>
      <c r="J2869" s="5" t="s">
        <v>41</v>
      </c>
      <c r="K2869">
        <v>37</v>
      </c>
      <c r="L2869">
        <v>577934</v>
      </c>
      <c r="M2869" s="26">
        <v>21383558</v>
      </c>
      <c r="N2869">
        <v>24850</v>
      </c>
      <c r="O2869" s="26">
        <v>1736108.91</v>
      </c>
      <c r="P2869" s="5" t="s">
        <v>42</v>
      </c>
      <c r="Q2869" s="5" t="s">
        <v>75</v>
      </c>
      <c r="R2869">
        <v>3.6</v>
      </c>
      <c r="S2869">
        <v>20</v>
      </c>
      <c r="T2869">
        <f t="shared" si="44"/>
        <v>1</v>
      </c>
    </row>
    <row r="2870" spans="1:20">
      <c r="A2870" s="4">
        <v>45950</v>
      </c>
      <c r="B2870">
        <v>2025</v>
      </c>
      <c r="C2870">
        <v>10</v>
      </c>
      <c r="D2870" s="5" t="s">
        <v>54</v>
      </c>
      <c r="E2870" s="5" t="s">
        <v>55</v>
      </c>
      <c r="F2870" s="5" t="s">
        <v>55</v>
      </c>
      <c r="G2870" s="5" t="s">
        <v>56</v>
      </c>
      <c r="H2870" s="5" t="s">
        <v>48</v>
      </c>
      <c r="I2870" s="5" t="s">
        <v>40</v>
      </c>
      <c r="J2870" s="5" t="s">
        <v>49</v>
      </c>
      <c r="K2870">
        <v>31</v>
      </c>
      <c r="L2870">
        <v>425325</v>
      </c>
      <c r="M2870" s="26">
        <v>13185075</v>
      </c>
      <c r="N2870">
        <v>47476</v>
      </c>
      <c r="O2870" s="26">
        <v>1462715.46</v>
      </c>
      <c r="P2870" s="5" t="s">
        <v>50</v>
      </c>
      <c r="Q2870" s="5" t="s">
        <v>43</v>
      </c>
      <c r="R2870">
        <v>4.5</v>
      </c>
      <c r="S2870">
        <v>9</v>
      </c>
      <c r="T2870">
        <f t="shared" si="44"/>
        <v>0</v>
      </c>
    </row>
    <row r="2871" spans="1:20">
      <c r="A2871" s="4">
        <v>45944</v>
      </c>
      <c r="B2871">
        <v>2025</v>
      </c>
      <c r="C2871">
        <v>10</v>
      </c>
      <c r="D2871" s="5" t="s">
        <v>66</v>
      </c>
      <c r="E2871" s="5" t="s">
        <v>67</v>
      </c>
      <c r="F2871" s="5" t="s">
        <v>68</v>
      </c>
      <c r="G2871" s="5" t="s">
        <v>69</v>
      </c>
      <c r="H2871" s="5" t="s">
        <v>73</v>
      </c>
      <c r="I2871" s="5" t="s">
        <v>40</v>
      </c>
      <c r="J2871" s="5" t="s">
        <v>49</v>
      </c>
      <c r="K2871">
        <v>60</v>
      </c>
      <c r="L2871">
        <v>702515</v>
      </c>
      <c r="M2871" s="26">
        <v>42150900</v>
      </c>
      <c r="N2871">
        <v>40726</v>
      </c>
      <c r="O2871" s="26">
        <v>4061580.67</v>
      </c>
      <c r="P2871" s="5" t="s">
        <v>50</v>
      </c>
      <c r="Q2871" s="5" t="s">
        <v>75</v>
      </c>
      <c r="R2871">
        <v>4.5999999999999996</v>
      </c>
      <c r="S2871">
        <v>17</v>
      </c>
      <c r="T2871">
        <f t="shared" si="44"/>
        <v>0</v>
      </c>
    </row>
    <row r="2872" spans="1:20">
      <c r="A2872" s="4">
        <v>45955</v>
      </c>
      <c r="B2872">
        <v>2025</v>
      </c>
      <c r="C2872">
        <v>10</v>
      </c>
      <c r="D2872" s="5" t="s">
        <v>35</v>
      </c>
      <c r="E2872" s="5" t="s">
        <v>36</v>
      </c>
      <c r="F2872" s="5" t="s">
        <v>37</v>
      </c>
      <c r="G2872" s="5" t="s">
        <v>38</v>
      </c>
      <c r="H2872" s="5" t="s">
        <v>63</v>
      </c>
      <c r="I2872" s="5" t="s">
        <v>64</v>
      </c>
      <c r="J2872" s="5" t="s">
        <v>41</v>
      </c>
      <c r="K2872">
        <v>10</v>
      </c>
      <c r="L2872">
        <v>750372</v>
      </c>
      <c r="M2872" s="26">
        <v>7503720</v>
      </c>
      <c r="N2872">
        <v>19072</v>
      </c>
      <c r="O2872" s="26">
        <v>994145.98</v>
      </c>
      <c r="P2872" s="5" t="s">
        <v>50</v>
      </c>
      <c r="Q2872" s="5" t="s">
        <v>75</v>
      </c>
      <c r="R2872">
        <v>3.9</v>
      </c>
      <c r="S2872">
        <v>12</v>
      </c>
      <c r="T2872">
        <f t="shared" si="44"/>
        <v>0</v>
      </c>
    </row>
    <row r="2873" spans="1:20">
      <c r="A2873" s="4">
        <v>45956</v>
      </c>
      <c r="B2873">
        <v>2025</v>
      </c>
      <c r="C2873">
        <v>10</v>
      </c>
      <c r="D2873" s="5" t="s">
        <v>35</v>
      </c>
      <c r="E2873" s="5" t="s">
        <v>60</v>
      </c>
      <c r="F2873" s="5" t="s">
        <v>61</v>
      </c>
      <c r="G2873" s="5" t="s">
        <v>62</v>
      </c>
      <c r="H2873" s="5" t="s">
        <v>79</v>
      </c>
      <c r="I2873" s="5" t="s">
        <v>58</v>
      </c>
      <c r="J2873" s="5" t="s">
        <v>49</v>
      </c>
      <c r="K2873">
        <v>9</v>
      </c>
      <c r="L2873">
        <v>891070</v>
      </c>
      <c r="M2873" s="26">
        <v>8019630</v>
      </c>
      <c r="N2873">
        <v>14062</v>
      </c>
      <c r="O2873" s="26">
        <v>1134368.58</v>
      </c>
      <c r="P2873" s="5" t="s">
        <v>42</v>
      </c>
      <c r="Q2873" s="5" t="s">
        <v>43</v>
      </c>
      <c r="R2873">
        <v>4</v>
      </c>
      <c r="S2873">
        <v>13</v>
      </c>
      <c r="T2873">
        <f t="shared" si="44"/>
        <v>1</v>
      </c>
    </row>
    <row r="2874" spans="1:20">
      <c r="A2874" s="4">
        <v>45931</v>
      </c>
      <c r="B2874">
        <v>2025</v>
      </c>
      <c r="C2874">
        <v>10</v>
      </c>
      <c r="D2874" s="5" t="s">
        <v>54</v>
      </c>
      <c r="E2874" s="5" t="s">
        <v>70</v>
      </c>
      <c r="F2874" s="5" t="s">
        <v>71</v>
      </c>
      <c r="G2874" s="5" t="s">
        <v>72</v>
      </c>
      <c r="H2874" s="5" t="s">
        <v>80</v>
      </c>
      <c r="I2874" s="5" t="s">
        <v>81</v>
      </c>
      <c r="J2874" s="5" t="s">
        <v>41</v>
      </c>
      <c r="K2874">
        <v>8</v>
      </c>
      <c r="L2874">
        <v>556451</v>
      </c>
      <c r="M2874" s="26">
        <v>4451608</v>
      </c>
      <c r="N2874">
        <v>13014</v>
      </c>
      <c r="O2874" s="26">
        <v>695395.26</v>
      </c>
      <c r="P2874" s="5" t="s">
        <v>42</v>
      </c>
      <c r="Q2874" s="5" t="s">
        <v>43</v>
      </c>
      <c r="R2874">
        <v>4.5</v>
      </c>
      <c r="S2874">
        <v>12</v>
      </c>
      <c r="T2874">
        <f t="shared" si="44"/>
        <v>1</v>
      </c>
    </row>
    <row r="2875" spans="1:20">
      <c r="A2875" s="4">
        <v>45935</v>
      </c>
      <c r="B2875">
        <v>2025</v>
      </c>
      <c r="C2875">
        <v>10</v>
      </c>
      <c r="D2875" s="5" t="s">
        <v>35</v>
      </c>
      <c r="E2875" s="5" t="s">
        <v>36</v>
      </c>
      <c r="F2875" s="5" t="s">
        <v>37</v>
      </c>
      <c r="G2875" s="5" t="s">
        <v>38</v>
      </c>
      <c r="H2875" s="5" t="s">
        <v>63</v>
      </c>
      <c r="I2875" s="5" t="s">
        <v>64</v>
      </c>
      <c r="J2875" s="5" t="s">
        <v>41</v>
      </c>
      <c r="K2875">
        <v>46</v>
      </c>
      <c r="L2875">
        <v>737468</v>
      </c>
      <c r="M2875" s="26">
        <v>33923528</v>
      </c>
      <c r="N2875">
        <v>13618</v>
      </c>
      <c r="O2875" s="26">
        <v>3584507.73</v>
      </c>
      <c r="P2875" s="5" t="s">
        <v>50</v>
      </c>
      <c r="Q2875" s="5" t="s">
        <v>75</v>
      </c>
      <c r="R2875">
        <v>4.2</v>
      </c>
      <c r="S2875">
        <v>19</v>
      </c>
      <c r="T2875">
        <f t="shared" si="44"/>
        <v>0</v>
      </c>
    </row>
    <row r="2876" spans="1:20">
      <c r="A2876" s="4">
        <v>45945</v>
      </c>
      <c r="B2876">
        <v>2025</v>
      </c>
      <c r="C2876">
        <v>10</v>
      </c>
      <c r="D2876" s="5" t="s">
        <v>54</v>
      </c>
      <c r="E2876" s="5" t="s">
        <v>55</v>
      </c>
      <c r="F2876" s="5" t="s">
        <v>55</v>
      </c>
      <c r="G2876" s="5" t="s">
        <v>56</v>
      </c>
      <c r="H2876" s="5" t="s">
        <v>79</v>
      </c>
      <c r="I2876" s="5" t="s">
        <v>58</v>
      </c>
      <c r="J2876" s="5" t="s">
        <v>49</v>
      </c>
      <c r="K2876">
        <v>6</v>
      </c>
      <c r="L2876">
        <v>926140</v>
      </c>
      <c r="M2876" s="26">
        <v>5556840</v>
      </c>
      <c r="N2876">
        <v>29257</v>
      </c>
      <c r="O2876" s="26">
        <v>494486.88</v>
      </c>
      <c r="P2876" s="5" t="s">
        <v>50</v>
      </c>
      <c r="Q2876" s="5" t="s">
        <v>43</v>
      </c>
      <c r="R2876">
        <v>4.5999999999999996</v>
      </c>
      <c r="S2876">
        <v>15</v>
      </c>
      <c r="T2876">
        <f t="shared" si="44"/>
        <v>0</v>
      </c>
    </row>
    <row r="2877" spans="1:20">
      <c r="A2877" s="4">
        <v>45941</v>
      </c>
      <c r="B2877">
        <v>2025</v>
      </c>
      <c r="C2877">
        <v>10</v>
      </c>
      <c r="D2877" s="5" t="s">
        <v>54</v>
      </c>
      <c r="E2877" s="5" t="s">
        <v>55</v>
      </c>
      <c r="F2877" s="5" t="s">
        <v>55</v>
      </c>
      <c r="G2877" s="5" t="s">
        <v>56</v>
      </c>
      <c r="H2877" s="5" t="s">
        <v>73</v>
      </c>
      <c r="I2877" s="5" t="s">
        <v>40</v>
      </c>
      <c r="J2877" s="5" t="s">
        <v>49</v>
      </c>
      <c r="K2877">
        <v>14</v>
      </c>
      <c r="L2877">
        <v>711305</v>
      </c>
      <c r="M2877" s="26">
        <v>9958270</v>
      </c>
      <c r="N2877">
        <v>36714</v>
      </c>
      <c r="O2877" s="26">
        <v>1312774.28</v>
      </c>
      <c r="P2877" s="5" t="s">
        <v>42</v>
      </c>
      <c r="Q2877" s="5" t="s">
        <v>43</v>
      </c>
      <c r="R2877">
        <v>3.8</v>
      </c>
      <c r="S2877">
        <v>9</v>
      </c>
      <c r="T2877">
        <f t="shared" si="44"/>
        <v>1</v>
      </c>
    </row>
    <row r="2878" spans="1:20">
      <c r="A2878" s="4">
        <v>45940</v>
      </c>
      <c r="B2878">
        <v>2025</v>
      </c>
      <c r="C2878">
        <v>10</v>
      </c>
      <c r="D2878" s="5" t="s">
        <v>35</v>
      </c>
      <c r="E2878" s="5" t="s">
        <v>76</v>
      </c>
      <c r="F2878" s="5" t="s">
        <v>77</v>
      </c>
      <c r="G2878" s="5" t="s">
        <v>78</v>
      </c>
      <c r="H2878" s="5" t="s">
        <v>86</v>
      </c>
      <c r="I2878" s="5" t="s">
        <v>40</v>
      </c>
      <c r="J2878" s="5" t="s">
        <v>41</v>
      </c>
      <c r="K2878">
        <v>15</v>
      </c>
      <c r="L2878">
        <v>600580</v>
      </c>
      <c r="M2878" s="26">
        <v>9008700</v>
      </c>
      <c r="N2878">
        <v>6386</v>
      </c>
      <c r="O2878" s="26">
        <v>1324951.73</v>
      </c>
      <c r="P2878" s="5" t="s">
        <v>42</v>
      </c>
      <c r="Q2878" s="5" t="s">
        <v>75</v>
      </c>
      <c r="R2878">
        <v>5</v>
      </c>
      <c r="S2878">
        <v>16</v>
      </c>
      <c r="T2878">
        <f t="shared" si="44"/>
        <v>1</v>
      </c>
    </row>
    <row r="2879" spans="1:20">
      <c r="A2879" s="4">
        <v>45958</v>
      </c>
      <c r="B2879">
        <v>2025</v>
      </c>
      <c r="C2879">
        <v>10</v>
      </c>
      <c r="D2879" s="5" t="s">
        <v>66</v>
      </c>
      <c r="E2879" s="5" t="s">
        <v>67</v>
      </c>
      <c r="F2879" s="5" t="s">
        <v>68</v>
      </c>
      <c r="G2879" s="5" t="s">
        <v>69</v>
      </c>
      <c r="H2879" s="5" t="s">
        <v>63</v>
      </c>
      <c r="I2879" s="5" t="s">
        <v>64</v>
      </c>
      <c r="J2879" s="5" t="s">
        <v>41</v>
      </c>
      <c r="K2879">
        <v>20</v>
      </c>
      <c r="L2879">
        <v>762411</v>
      </c>
      <c r="M2879" s="26">
        <v>15248220</v>
      </c>
      <c r="N2879">
        <v>19660</v>
      </c>
      <c r="O2879" s="26">
        <v>2185902.42</v>
      </c>
      <c r="P2879" s="5" t="s">
        <v>42</v>
      </c>
      <c r="Q2879" s="5" t="s">
        <v>43</v>
      </c>
      <c r="R2879">
        <v>3.9</v>
      </c>
      <c r="S2879">
        <v>14</v>
      </c>
      <c r="T2879">
        <f t="shared" si="44"/>
        <v>1</v>
      </c>
    </row>
    <row r="2880" spans="1:20">
      <c r="A2880" s="4">
        <v>45933</v>
      </c>
      <c r="B2880">
        <v>2025</v>
      </c>
      <c r="C2880">
        <v>10</v>
      </c>
      <c r="D2880" s="5" t="s">
        <v>44</v>
      </c>
      <c r="E2880" s="5" t="s">
        <v>45</v>
      </c>
      <c r="F2880" s="5" t="s">
        <v>46</v>
      </c>
      <c r="G2880" s="5" t="s">
        <v>47</v>
      </c>
      <c r="H2880" s="5" t="s">
        <v>74</v>
      </c>
      <c r="I2880" s="5" t="s">
        <v>40</v>
      </c>
      <c r="J2880" s="5" t="s">
        <v>49</v>
      </c>
      <c r="K2880">
        <v>23</v>
      </c>
      <c r="L2880">
        <v>625558</v>
      </c>
      <c r="M2880" s="26">
        <v>14387834</v>
      </c>
      <c r="N2880">
        <v>26703</v>
      </c>
      <c r="O2880" s="26">
        <v>2160931.04</v>
      </c>
      <c r="P2880" s="5" t="s">
        <v>42</v>
      </c>
      <c r="Q2880" s="5" t="s">
        <v>51</v>
      </c>
      <c r="R2880">
        <v>4.5</v>
      </c>
      <c r="S2880">
        <v>5</v>
      </c>
      <c r="T2880">
        <f t="shared" si="44"/>
        <v>1</v>
      </c>
    </row>
    <row r="2881" spans="1:20">
      <c r="A2881" s="4">
        <v>45954</v>
      </c>
      <c r="B2881">
        <v>2025</v>
      </c>
      <c r="C2881">
        <v>10</v>
      </c>
      <c r="D2881" s="5" t="s">
        <v>66</v>
      </c>
      <c r="E2881" s="5" t="s">
        <v>67</v>
      </c>
      <c r="F2881" s="5" t="s">
        <v>68</v>
      </c>
      <c r="G2881" s="5" t="s">
        <v>69</v>
      </c>
      <c r="H2881" s="5" t="s">
        <v>86</v>
      </c>
      <c r="I2881" s="5" t="s">
        <v>40</v>
      </c>
      <c r="J2881" s="5" t="s">
        <v>41</v>
      </c>
      <c r="K2881">
        <v>26</v>
      </c>
      <c r="L2881">
        <v>597128</v>
      </c>
      <c r="M2881" s="26">
        <v>15525328</v>
      </c>
      <c r="N2881">
        <v>43196</v>
      </c>
      <c r="O2881" s="26">
        <v>1856845.02</v>
      </c>
      <c r="P2881" s="5" t="s">
        <v>42</v>
      </c>
      <c r="Q2881" s="5" t="s">
        <v>43</v>
      </c>
      <c r="R2881">
        <v>4.9000000000000004</v>
      </c>
      <c r="S2881">
        <v>13</v>
      </c>
      <c r="T2881">
        <f t="shared" si="44"/>
        <v>1</v>
      </c>
    </row>
    <row r="2882" spans="1:20">
      <c r="A2882" s="4">
        <v>45955</v>
      </c>
      <c r="B2882">
        <v>2025</v>
      </c>
      <c r="C2882">
        <v>10</v>
      </c>
      <c r="D2882" s="5" t="s">
        <v>66</v>
      </c>
      <c r="E2882" s="5" t="s">
        <v>67</v>
      </c>
      <c r="F2882" s="5" t="s">
        <v>68</v>
      </c>
      <c r="G2882" s="5" t="s">
        <v>69</v>
      </c>
      <c r="H2882" s="5" t="s">
        <v>39</v>
      </c>
      <c r="I2882" s="5" t="s">
        <v>40</v>
      </c>
      <c r="J2882" s="5" t="s">
        <v>41</v>
      </c>
      <c r="K2882">
        <v>16</v>
      </c>
      <c r="L2882">
        <v>589466</v>
      </c>
      <c r="M2882" s="26">
        <v>9431456</v>
      </c>
      <c r="N2882">
        <v>27646</v>
      </c>
      <c r="O2882" s="26">
        <v>893567.85</v>
      </c>
      <c r="P2882" s="5" t="s">
        <v>50</v>
      </c>
      <c r="Q2882" s="5" t="s">
        <v>75</v>
      </c>
      <c r="R2882">
        <v>4.4000000000000004</v>
      </c>
      <c r="S2882">
        <v>2</v>
      </c>
      <c r="T2882">
        <f t="shared" ref="T2882:T2945" si="45">IF(AND(OR($B2882=Sel_Year,Sel_Year="All"),OR($C2882=Sel_Month,Sel_Month="All"),OR($D2882=Sel_Region,Sel_Region="All"),OR($E2882=Sel_State,Sel_State="All"),OR($F2882=Sel_City,Sel_City="All"),OR($G2882=Sel_Dealer,Sel_Dealer="All"),OR($H2882=Sel_Model,Sel_Model="All"),OR($I2882=Sel_Segment,Sel_Segment="All"),OR($J2882=Sel_Fuel,Sel_Fuel="All"),OR($P2882=Sel_CustType,Sel_CustType="All"),OR($Q2882=Sel_Payment,Sel_Payment="All")),1,0)</f>
        <v>0</v>
      </c>
    </row>
    <row r="2883" spans="1:20">
      <c r="A2883" s="4">
        <v>45939</v>
      </c>
      <c r="B2883">
        <v>2025</v>
      </c>
      <c r="C2883">
        <v>10</v>
      </c>
      <c r="D2883" s="5" t="s">
        <v>54</v>
      </c>
      <c r="E2883" s="5" t="s">
        <v>55</v>
      </c>
      <c r="F2883" s="5" t="s">
        <v>55</v>
      </c>
      <c r="G2883" s="5" t="s">
        <v>56</v>
      </c>
      <c r="H2883" s="5" t="s">
        <v>57</v>
      </c>
      <c r="I2883" s="5" t="s">
        <v>58</v>
      </c>
      <c r="J2883" s="5" t="s">
        <v>59</v>
      </c>
      <c r="K2883">
        <v>17</v>
      </c>
      <c r="L2883">
        <v>1392177</v>
      </c>
      <c r="M2883" s="26">
        <v>23667009</v>
      </c>
      <c r="N2883">
        <v>20865</v>
      </c>
      <c r="O2883" s="26">
        <v>2992032.59</v>
      </c>
      <c r="P2883" s="5" t="s">
        <v>42</v>
      </c>
      <c r="Q2883" s="5" t="s">
        <v>43</v>
      </c>
      <c r="R2883">
        <v>5</v>
      </c>
      <c r="S2883">
        <v>21</v>
      </c>
      <c r="T2883">
        <f t="shared" si="45"/>
        <v>1</v>
      </c>
    </row>
    <row r="2884" spans="1:20">
      <c r="A2884" s="4">
        <v>45935</v>
      </c>
      <c r="B2884">
        <v>2025</v>
      </c>
      <c r="C2884">
        <v>10</v>
      </c>
      <c r="D2884" s="5" t="s">
        <v>66</v>
      </c>
      <c r="E2884" s="5" t="s">
        <v>67</v>
      </c>
      <c r="F2884" s="5" t="s">
        <v>68</v>
      </c>
      <c r="G2884" s="5" t="s">
        <v>69</v>
      </c>
      <c r="H2884" s="5" t="s">
        <v>65</v>
      </c>
      <c r="I2884" s="5" t="s">
        <v>53</v>
      </c>
      <c r="J2884" s="5" t="s">
        <v>49</v>
      </c>
      <c r="K2884">
        <v>46</v>
      </c>
      <c r="L2884">
        <v>1250632</v>
      </c>
      <c r="M2884" s="26">
        <v>57529072</v>
      </c>
      <c r="N2884">
        <v>42252</v>
      </c>
      <c r="O2884" s="26">
        <v>8332416.6100000003</v>
      </c>
      <c r="P2884" s="5" t="s">
        <v>50</v>
      </c>
      <c r="Q2884" s="5" t="s">
        <v>43</v>
      </c>
      <c r="R2884">
        <v>4.5</v>
      </c>
      <c r="S2884">
        <v>19</v>
      </c>
      <c r="T2884">
        <f t="shared" si="45"/>
        <v>0</v>
      </c>
    </row>
    <row r="2885" spans="1:20">
      <c r="A2885" s="4">
        <v>45957</v>
      </c>
      <c r="B2885">
        <v>2025</v>
      </c>
      <c r="C2885">
        <v>10</v>
      </c>
      <c r="D2885" s="5" t="s">
        <v>54</v>
      </c>
      <c r="E2885" s="5" t="s">
        <v>55</v>
      </c>
      <c r="F2885" s="5" t="s">
        <v>55</v>
      </c>
      <c r="G2885" s="5" t="s">
        <v>56</v>
      </c>
      <c r="H2885" s="5" t="s">
        <v>80</v>
      </c>
      <c r="I2885" s="5" t="s">
        <v>81</v>
      </c>
      <c r="J2885" s="5" t="s">
        <v>41</v>
      </c>
      <c r="K2885">
        <v>47</v>
      </c>
      <c r="L2885">
        <v>534929</v>
      </c>
      <c r="M2885" s="26">
        <v>25141663</v>
      </c>
      <c r="N2885">
        <v>49513</v>
      </c>
      <c r="O2885" s="26">
        <v>2251713.63</v>
      </c>
      <c r="P2885" s="5" t="s">
        <v>42</v>
      </c>
      <c r="Q2885" s="5" t="s">
        <v>75</v>
      </c>
      <c r="R2885">
        <v>4.8</v>
      </c>
      <c r="S2885">
        <v>19</v>
      </c>
      <c r="T2885">
        <f t="shared" si="45"/>
        <v>1</v>
      </c>
    </row>
    <row r="2886" spans="1:20">
      <c r="A2886" s="4">
        <v>45954</v>
      </c>
      <c r="B2886">
        <v>2025</v>
      </c>
      <c r="C2886">
        <v>10</v>
      </c>
      <c r="D2886" s="5" t="s">
        <v>35</v>
      </c>
      <c r="E2886" s="5" t="s">
        <v>76</v>
      </c>
      <c r="F2886" s="5" t="s">
        <v>77</v>
      </c>
      <c r="G2886" s="5" t="s">
        <v>78</v>
      </c>
      <c r="H2886" s="5" t="s">
        <v>57</v>
      </c>
      <c r="I2886" s="5" t="s">
        <v>58</v>
      </c>
      <c r="J2886" s="5" t="s">
        <v>59</v>
      </c>
      <c r="K2886">
        <v>12</v>
      </c>
      <c r="L2886">
        <v>1413568</v>
      </c>
      <c r="M2886" s="26">
        <v>16962816</v>
      </c>
      <c r="N2886">
        <v>30406</v>
      </c>
      <c r="O2886" s="26">
        <v>1803521.54</v>
      </c>
      <c r="P2886" s="5" t="s">
        <v>42</v>
      </c>
      <c r="Q2886" s="5" t="s">
        <v>51</v>
      </c>
      <c r="R2886">
        <v>4.8</v>
      </c>
      <c r="S2886">
        <v>18</v>
      </c>
      <c r="T2886">
        <f t="shared" si="45"/>
        <v>1</v>
      </c>
    </row>
    <row r="2887" spans="1:20">
      <c r="A2887" s="4">
        <v>45933</v>
      </c>
      <c r="B2887">
        <v>2025</v>
      </c>
      <c r="C2887">
        <v>10</v>
      </c>
      <c r="D2887" s="5" t="s">
        <v>44</v>
      </c>
      <c r="E2887" s="5" t="s">
        <v>82</v>
      </c>
      <c r="F2887" s="5" t="s">
        <v>83</v>
      </c>
      <c r="G2887" s="5" t="s">
        <v>84</v>
      </c>
      <c r="H2887" s="5" t="s">
        <v>48</v>
      </c>
      <c r="I2887" s="5" t="s">
        <v>40</v>
      </c>
      <c r="J2887" s="5" t="s">
        <v>49</v>
      </c>
      <c r="K2887">
        <v>12</v>
      </c>
      <c r="L2887">
        <v>438030</v>
      </c>
      <c r="M2887" s="26">
        <v>5256360</v>
      </c>
      <c r="N2887">
        <v>39898</v>
      </c>
      <c r="O2887" s="26">
        <v>482287.98</v>
      </c>
      <c r="P2887" s="5" t="s">
        <v>50</v>
      </c>
      <c r="Q2887" s="5" t="s">
        <v>51</v>
      </c>
      <c r="R2887">
        <v>4.8</v>
      </c>
      <c r="S2887">
        <v>16</v>
      </c>
      <c r="T2887">
        <f t="shared" si="45"/>
        <v>0</v>
      </c>
    </row>
    <row r="2888" spans="1:20">
      <c r="A2888" s="4">
        <v>45950</v>
      </c>
      <c r="B2888">
        <v>2025</v>
      </c>
      <c r="C2888">
        <v>10</v>
      </c>
      <c r="D2888" s="5" t="s">
        <v>54</v>
      </c>
      <c r="E2888" s="5" t="s">
        <v>55</v>
      </c>
      <c r="F2888" s="5" t="s">
        <v>55</v>
      </c>
      <c r="G2888" s="5" t="s">
        <v>56</v>
      </c>
      <c r="H2888" s="5" t="s">
        <v>57</v>
      </c>
      <c r="I2888" s="5" t="s">
        <v>58</v>
      </c>
      <c r="J2888" s="5" t="s">
        <v>59</v>
      </c>
      <c r="K2888">
        <v>5</v>
      </c>
      <c r="L2888">
        <v>1417500</v>
      </c>
      <c r="M2888" s="26">
        <v>7087500</v>
      </c>
      <c r="N2888">
        <v>35357</v>
      </c>
      <c r="O2888" s="26">
        <v>1032917.81</v>
      </c>
      <c r="P2888" s="5" t="s">
        <v>42</v>
      </c>
      <c r="Q2888" s="5" t="s">
        <v>43</v>
      </c>
      <c r="R2888">
        <v>4.7</v>
      </c>
      <c r="S2888">
        <v>14</v>
      </c>
      <c r="T2888">
        <f t="shared" si="45"/>
        <v>1</v>
      </c>
    </row>
    <row r="2889" spans="1:20">
      <c r="A2889" s="4">
        <v>45932</v>
      </c>
      <c r="B2889">
        <v>2025</v>
      </c>
      <c r="C2889">
        <v>10</v>
      </c>
      <c r="D2889" s="5" t="s">
        <v>54</v>
      </c>
      <c r="E2889" s="5" t="s">
        <v>70</v>
      </c>
      <c r="F2889" s="5" t="s">
        <v>71</v>
      </c>
      <c r="G2889" s="5" t="s">
        <v>72</v>
      </c>
      <c r="H2889" s="5" t="s">
        <v>85</v>
      </c>
      <c r="I2889" s="5" t="s">
        <v>58</v>
      </c>
      <c r="J2889" s="5" t="s">
        <v>49</v>
      </c>
      <c r="K2889">
        <v>30</v>
      </c>
      <c r="L2889">
        <v>990350</v>
      </c>
      <c r="M2889" s="26">
        <v>29710500</v>
      </c>
      <c r="N2889">
        <v>49401</v>
      </c>
      <c r="O2889" s="26">
        <v>4455247.21</v>
      </c>
      <c r="P2889" s="5" t="s">
        <v>42</v>
      </c>
      <c r="Q2889" s="5" t="s">
        <v>43</v>
      </c>
      <c r="R2889">
        <v>4.2</v>
      </c>
      <c r="S2889">
        <v>11</v>
      </c>
      <c r="T2889">
        <f t="shared" si="45"/>
        <v>1</v>
      </c>
    </row>
    <row r="2890" spans="1:20">
      <c r="A2890" s="4">
        <v>45942</v>
      </c>
      <c r="B2890">
        <v>2025</v>
      </c>
      <c r="C2890">
        <v>10</v>
      </c>
      <c r="D2890" s="5" t="s">
        <v>54</v>
      </c>
      <c r="E2890" s="5" t="s">
        <v>70</v>
      </c>
      <c r="F2890" s="5" t="s">
        <v>71</v>
      </c>
      <c r="G2890" s="5" t="s">
        <v>72</v>
      </c>
      <c r="H2890" s="5" t="s">
        <v>63</v>
      </c>
      <c r="I2890" s="5" t="s">
        <v>64</v>
      </c>
      <c r="J2890" s="5" t="s">
        <v>41</v>
      </c>
      <c r="K2890">
        <v>58</v>
      </c>
      <c r="L2890">
        <v>764369</v>
      </c>
      <c r="M2890" s="26">
        <v>44333402</v>
      </c>
      <c r="N2890">
        <v>18561</v>
      </c>
      <c r="O2890" s="26">
        <v>5874549.0099999998</v>
      </c>
      <c r="P2890" s="5" t="s">
        <v>42</v>
      </c>
      <c r="Q2890" s="5" t="s">
        <v>75</v>
      </c>
      <c r="R2890">
        <v>4.7</v>
      </c>
      <c r="S2890">
        <v>11</v>
      </c>
      <c r="T2890">
        <f t="shared" si="45"/>
        <v>1</v>
      </c>
    </row>
    <row r="2891" spans="1:20">
      <c r="A2891" s="4">
        <v>45950</v>
      </c>
      <c r="B2891">
        <v>2025</v>
      </c>
      <c r="C2891">
        <v>10</v>
      </c>
      <c r="D2891" s="5" t="s">
        <v>35</v>
      </c>
      <c r="E2891" s="5" t="s">
        <v>60</v>
      </c>
      <c r="F2891" s="5" t="s">
        <v>61</v>
      </c>
      <c r="G2891" s="5" t="s">
        <v>62</v>
      </c>
      <c r="H2891" s="5" t="s">
        <v>65</v>
      </c>
      <c r="I2891" s="5" t="s">
        <v>53</v>
      </c>
      <c r="J2891" s="5" t="s">
        <v>49</v>
      </c>
      <c r="K2891">
        <v>17</v>
      </c>
      <c r="L2891">
        <v>1261141</v>
      </c>
      <c r="M2891" s="26">
        <v>21439397</v>
      </c>
      <c r="N2891">
        <v>10804</v>
      </c>
      <c r="O2891" s="26">
        <v>1950712.09</v>
      </c>
      <c r="P2891" s="5" t="s">
        <v>42</v>
      </c>
      <c r="Q2891" s="5" t="s">
        <v>43</v>
      </c>
      <c r="R2891">
        <v>4.9000000000000004</v>
      </c>
      <c r="S2891">
        <v>20</v>
      </c>
      <c r="T2891">
        <f t="shared" si="45"/>
        <v>1</v>
      </c>
    </row>
    <row r="2892" spans="1:20">
      <c r="A2892" s="4">
        <v>45958</v>
      </c>
      <c r="B2892">
        <v>2025</v>
      </c>
      <c r="C2892">
        <v>10</v>
      </c>
      <c r="D2892" s="5" t="s">
        <v>35</v>
      </c>
      <c r="E2892" s="5" t="s">
        <v>36</v>
      </c>
      <c r="F2892" s="5" t="s">
        <v>37</v>
      </c>
      <c r="G2892" s="5" t="s">
        <v>38</v>
      </c>
      <c r="H2892" s="5" t="s">
        <v>86</v>
      </c>
      <c r="I2892" s="5" t="s">
        <v>40</v>
      </c>
      <c r="J2892" s="5" t="s">
        <v>41</v>
      </c>
      <c r="K2892">
        <v>28</v>
      </c>
      <c r="L2892">
        <v>579638</v>
      </c>
      <c r="M2892" s="26">
        <v>16229864</v>
      </c>
      <c r="N2892">
        <v>8286</v>
      </c>
      <c r="O2892" s="26">
        <v>2146698.84</v>
      </c>
      <c r="P2892" s="5" t="s">
        <v>42</v>
      </c>
      <c r="Q2892" s="5" t="s">
        <v>43</v>
      </c>
      <c r="R2892">
        <v>3.9</v>
      </c>
      <c r="S2892">
        <v>19</v>
      </c>
      <c r="T2892">
        <f t="shared" si="45"/>
        <v>1</v>
      </c>
    </row>
    <row r="2893" spans="1:20">
      <c r="A2893" s="4">
        <v>45946</v>
      </c>
      <c r="B2893">
        <v>2025</v>
      </c>
      <c r="C2893">
        <v>10</v>
      </c>
      <c r="D2893" s="5" t="s">
        <v>54</v>
      </c>
      <c r="E2893" s="5" t="s">
        <v>70</v>
      </c>
      <c r="F2893" s="5" t="s">
        <v>71</v>
      </c>
      <c r="G2893" s="5" t="s">
        <v>72</v>
      </c>
      <c r="H2893" s="5" t="s">
        <v>63</v>
      </c>
      <c r="I2893" s="5" t="s">
        <v>64</v>
      </c>
      <c r="J2893" s="5" t="s">
        <v>41</v>
      </c>
      <c r="K2893">
        <v>57</v>
      </c>
      <c r="L2893">
        <v>758684</v>
      </c>
      <c r="M2893" s="26">
        <v>43244988</v>
      </c>
      <c r="N2893">
        <v>33175</v>
      </c>
      <c r="O2893" s="26">
        <v>3714531.49</v>
      </c>
      <c r="P2893" s="5" t="s">
        <v>42</v>
      </c>
      <c r="Q2893" s="5" t="s">
        <v>43</v>
      </c>
      <c r="R2893">
        <v>4.8</v>
      </c>
      <c r="S2893">
        <v>17</v>
      </c>
      <c r="T2893">
        <f t="shared" si="45"/>
        <v>1</v>
      </c>
    </row>
    <row r="2894" spans="1:20">
      <c r="A2894" s="4">
        <v>45954</v>
      </c>
      <c r="B2894">
        <v>2025</v>
      </c>
      <c r="C2894">
        <v>10</v>
      </c>
      <c r="D2894" s="5" t="s">
        <v>44</v>
      </c>
      <c r="E2894" s="5" t="s">
        <v>82</v>
      </c>
      <c r="F2894" s="5" t="s">
        <v>83</v>
      </c>
      <c r="G2894" s="5" t="s">
        <v>84</v>
      </c>
      <c r="H2894" s="5" t="s">
        <v>80</v>
      </c>
      <c r="I2894" s="5" t="s">
        <v>81</v>
      </c>
      <c r="J2894" s="5" t="s">
        <v>41</v>
      </c>
      <c r="K2894">
        <v>9</v>
      </c>
      <c r="L2894">
        <v>541063</v>
      </c>
      <c r="M2894" s="26">
        <v>4869567</v>
      </c>
      <c r="N2894">
        <v>34261</v>
      </c>
      <c r="O2894" s="26">
        <v>520815.79</v>
      </c>
      <c r="P2894" s="5" t="s">
        <v>50</v>
      </c>
      <c r="Q2894" s="5" t="s">
        <v>43</v>
      </c>
      <c r="R2894">
        <v>4.3</v>
      </c>
      <c r="S2894">
        <v>13</v>
      </c>
      <c r="T2894">
        <f t="shared" si="45"/>
        <v>0</v>
      </c>
    </row>
    <row r="2895" spans="1:20">
      <c r="A2895" s="4">
        <v>45957</v>
      </c>
      <c r="B2895">
        <v>2025</v>
      </c>
      <c r="C2895">
        <v>10</v>
      </c>
      <c r="D2895" s="5" t="s">
        <v>44</v>
      </c>
      <c r="E2895" s="5" t="s">
        <v>45</v>
      </c>
      <c r="F2895" s="5" t="s">
        <v>46</v>
      </c>
      <c r="G2895" s="5" t="s">
        <v>47</v>
      </c>
      <c r="H2895" s="5" t="s">
        <v>39</v>
      </c>
      <c r="I2895" s="5" t="s">
        <v>40</v>
      </c>
      <c r="J2895" s="5" t="s">
        <v>41</v>
      </c>
      <c r="K2895">
        <v>33</v>
      </c>
      <c r="L2895">
        <v>585742</v>
      </c>
      <c r="M2895" s="26">
        <v>19329486</v>
      </c>
      <c r="N2895">
        <v>37158</v>
      </c>
      <c r="O2895" s="26">
        <v>2677442.9300000002</v>
      </c>
      <c r="P2895" s="5" t="s">
        <v>50</v>
      </c>
      <c r="Q2895" s="5" t="s">
        <v>75</v>
      </c>
      <c r="R2895">
        <v>4.5</v>
      </c>
      <c r="S2895">
        <v>6</v>
      </c>
      <c r="T2895">
        <f t="shared" si="45"/>
        <v>0</v>
      </c>
    </row>
    <row r="2896" spans="1:20">
      <c r="A2896" s="4">
        <v>45942</v>
      </c>
      <c r="B2896">
        <v>2025</v>
      </c>
      <c r="C2896">
        <v>10</v>
      </c>
      <c r="D2896" s="5" t="s">
        <v>66</v>
      </c>
      <c r="E2896" s="5" t="s">
        <v>67</v>
      </c>
      <c r="F2896" s="5" t="s">
        <v>68</v>
      </c>
      <c r="G2896" s="5" t="s">
        <v>69</v>
      </c>
      <c r="H2896" s="5" t="s">
        <v>39</v>
      </c>
      <c r="I2896" s="5" t="s">
        <v>40</v>
      </c>
      <c r="J2896" s="5" t="s">
        <v>41</v>
      </c>
      <c r="K2896">
        <v>57</v>
      </c>
      <c r="L2896">
        <v>576440</v>
      </c>
      <c r="M2896" s="26">
        <v>32857080</v>
      </c>
      <c r="N2896">
        <v>33120</v>
      </c>
      <c r="O2896" s="26">
        <v>3673809.69</v>
      </c>
      <c r="P2896" s="5" t="s">
        <v>50</v>
      </c>
      <c r="Q2896" s="5" t="s">
        <v>75</v>
      </c>
      <c r="R2896">
        <v>4.2</v>
      </c>
      <c r="S2896">
        <v>20</v>
      </c>
      <c r="T2896">
        <f t="shared" si="45"/>
        <v>0</v>
      </c>
    </row>
    <row r="2897" spans="1:20">
      <c r="A2897" s="4">
        <v>45954</v>
      </c>
      <c r="B2897">
        <v>2025</v>
      </c>
      <c r="C2897">
        <v>10</v>
      </c>
      <c r="D2897" s="5" t="s">
        <v>54</v>
      </c>
      <c r="E2897" s="5" t="s">
        <v>70</v>
      </c>
      <c r="F2897" s="5" t="s">
        <v>71</v>
      </c>
      <c r="G2897" s="5" t="s">
        <v>72</v>
      </c>
      <c r="H2897" s="5" t="s">
        <v>86</v>
      </c>
      <c r="I2897" s="5" t="s">
        <v>40</v>
      </c>
      <c r="J2897" s="5" t="s">
        <v>41</v>
      </c>
      <c r="K2897">
        <v>32</v>
      </c>
      <c r="L2897">
        <v>578654</v>
      </c>
      <c r="M2897" s="26">
        <v>18516928</v>
      </c>
      <c r="N2897">
        <v>6937</v>
      </c>
      <c r="O2897" s="26">
        <v>1561452.29</v>
      </c>
      <c r="P2897" s="5" t="s">
        <v>42</v>
      </c>
      <c r="Q2897" s="5" t="s">
        <v>51</v>
      </c>
      <c r="R2897">
        <v>5</v>
      </c>
      <c r="S2897">
        <v>16</v>
      </c>
      <c r="T2897">
        <f t="shared" si="45"/>
        <v>1</v>
      </c>
    </row>
    <row r="2898" spans="1:20">
      <c r="A2898" s="4">
        <v>45940</v>
      </c>
      <c r="B2898">
        <v>2025</v>
      </c>
      <c r="C2898">
        <v>10</v>
      </c>
      <c r="D2898" s="5" t="s">
        <v>66</v>
      </c>
      <c r="E2898" s="5" t="s">
        <v>67</v>
      </c>
      <c r="F2898" s="5" t="s">
        <v>68</v>
      </c>
      <c r="G2898" s="5" t="s">
        <v>69</v>
      </c>
      <c r="H2898" s="5" t="s">
        <v>79</v>
      </c>
      <c r="I2898" s="5" t="s">
        <v>58</v>
      </c>
      <c r="J2898" s="5" t="s">
        <v>49</v>
      </c>
      <c r="K2898">
        <v>23</v>
      </c>
      <c r="L2898">
        <v>909670</v>
      </c>
      <c r="M2898" s="26">
        <v>20922410</v>
      </c>
      <c r="N2898">
        <v>48610</v>
      </c>
      <c r="O2898" s="26">
        <v>1767277.3</v>
      </c>
      <c r="P2898" s="5" t="s">
        <v>42</v>
      </c>
      <c r="Q2898" s="5" t="s">
        <v>43</v>
      </c>
      <c r="R2898">
        <v>3.8</v>
      </c>
      <c r="S2898">
        <v>2</v>
      </c>
      <c r="T2898">
        <f t="shared" si="45"/>
        <v>1</v>
      </c>
    </row>
    <row r="2899" spans="1:20">
      <c r="A2899" s="4">
        <v>45958</v>
      </c>
      <c r="B2899">
        <v>2025</v>
      </c>
      <c r="C2899">
        <v>10</v>
      </c>
      <c r="D2899" s="5" t="s">
        <v>35</v>
      </c>
      <c r="E2899" s="5" t="s">
        <v>60</v>
      </c>
      <c r="F2899" s="5" t="s">
        <v>61</v>
      </c>
      <c r="G2899" s="5" t="s">
        <v>62</v>
      </c>
      <c r="H2899" s="5" t="s">
        <v>57</v>
      </c>
      <c r="I2899" s="5" t="s">
        <v>58</v>
      </c>
      <c r="J2899" s="5" t="s">
        <v>59</v>
      </c>
      <c r="K2899">
        <v>7</v>
      </c>
      <c r="L2899">
        <v>1379773</v>
      </c>
      <c r="M2899" s="26">
        <v>9658411</v>
      </c>
      <c r="N2899">
        <v>41163</v>
      </c>
      <c r="O2899" s="26">
        <v>1080836.93</v>
      </c>
      <c r="P2899" s="5" t="s">
        <v>50</v>
      </c>
      <c r="Q2899" s="5" t="s">
        <v>51</v>
      </c>
      <c r="R2899">
        <v>4.8</v>
      </c>
      <c r="S2899">
        <v>15</v>
      </c>
      <c r="T2899">
        <f t="shared" si="45"/>
        <v>0</v>
      </c>
    </row>
    <row r="2900" spans="1:20">
      <c r="A2900" s="4">
        <v>45931</v>
      </c>
      <c r="B2900">
        <v>2025</v>
      </c>
      <c r="C2900">
        <v>10</v>
      </c>
      <c r="D2900" s="5" t="s">
        <v>44</v>
      </c>
      <c r="E2900" s="5" t="s">
        <v>82</v>
      </c>
      <c r="F2900" s="5" t="s">
        <v>83</v>
      </c>
      <c r="G2900" s="5" t="s">
        <v>84</v>
      </c>
      <c r="H2900" s="5" t="s">
        <v>85</v>
      </c>
      <c r="I2900" s="5" t="s">
        <v>58</v>
      </c>
      <c r="J2900" s="5" t="s">
        <v>49</v>
      </c>
      <c r="K2900">
        <v>60</v>
      </c>
      <c r="L2900">
        <v>985690</v>
      </c>
      <c r="M2900" s="26">
        <v>59141400</v>
      </c>
      <c r="N2900">
        <v>16615</v>
      </c>
      <c r="O2900" s="26">
        <v>7995162.0700000003</v>
      </c>
      <c r="P2900" s="5" t="s">
        <v>50</v>
      </c>
      <c r="Q2900" s="5" t="s">
        <v>51</v>
      </c>
      <c r="R2900">
        <v>3.7</v>
      </c>
      <c r="S2900">
        <v>2</v>
      </c>
      <c r="T2900">
        <f t="shared" si="45"/>
        <v>0</v>
      </c>
    </row>
    <row r="2901" spans="1:20">
      <c r="A2901" s="4">
        <v>45943</v>
      </c>
      <c r="B2901">
        <v>2025</v>
      </c>
      <c r="C2901">
        <v>10</v>
      </c>
      <c r="D2901" s="5" t="s">
        <v>54</v>
      </c>
      <c r="E2901" s="5" t="s">
        <v>55</v>
      </c>
      <c r="F2901" s="5" t="s">
        <v>55</v>
      </c>
      <c r="G2901" s="5" t="s">
        <v>56</v>
      </c>
      <c r="H2901" s="5" t="s">
        <v>85</v>
      </c>
      <c r="I2901" s="5" t="s">
        <v>58</v>
      </c>
      <c r="J2901" s="5" t="s">
        <v>49</v>
      </c>
      <c r="K2901">
        <v>59</v>
      </c>
      <c r="L2901">
        <v>972800</v>
      </c>
      <c r="M2901" s="26">
        <v>57395200</v>
      </c>
      <c r="N2901">
        <v>23595</v>
      </c>
      <c r="O2901" s="26">
        <v>7972708.4900000002</v>
      </c>
      <c r="P2901" s="5" t="s">
        <v>50</v>
      </c>
      <c r="Q2901" s="5" t="s">
        <v>51</v>
      </c>
      <c r="R2901">
        <v>4.9000000000000004</v>
      </c>
      <c r="S2901">
        <v>20</v>
      </c>
      <c r="T2901">
        <f t="shared" si="45"/>
        <v>0</v>
      </c>
    </row>
    <row r="2902" spans="1:20">
      <c r="A2902" s="4">
        <v>45987</v>
      </c>
      <c r="B2902">
        <v>2025</v>
      </c>
      <c r="C2902">
        <v>11</v>
      </c>
      <c r="D2902" s="5" t="s">
        <v>54</v>
      </c>
      <c r="E2902" s="5" t="s">
        <v>55</v>
      </c>
      <c r="F2902" s="5" t="s">
        <v>55</v>
      </c>
      <c r="G2902" s="5" t="s">
        <v>56</v>
      </c>
      <c r="H2902" s="5" t="s">
        <v>39</v>
      </c>
      <c r="I2902" s="5" t="s">
        <v>40</v>
      </c>
      <c r="J2902" s="5" t="s">
        <v>41</v>
      </c>
      <c r="K2902">
        <v>54</v>
      </c>
      <c r="L2902">
        <v>597160</v>
      </c>
      <c r="M2902" s="26">
        <v>32246640</v>
      </c>
      <c r="N2902">
        <v>40296</v>
      </c>
      <c r="O2902" s="26">
        <v>4855971.1399999997</v>
      </c>
      <c r="P2902" s="5" t="s">
        <v>50</v>
      </c>
      <c r="Q2902" s="5" t="s">
        <v>75</v>
      </c>
      <c r="R2902">
        <v>4.8</v>
      </c>
      <c r="S2902">
        <v>19</v>
      </c>
      <c r="T2902">
        <f t="shared" si="45"/>
        <v>0</v>
      </c>
    </row>
    <row r="2903" spans="1:20">
      <c r="A2903" s="4">
        <v>45970</v>
      </c>
      <c r="B2903">
        <v>2025</v>
      </c>
      <c r="C2903">
        <v>11</v>
      </c>
      <c r="D2903" s="5" t="s">
        <v>54</v>
      </c>
      <c r="E2903" s="5" t="s">
        <v>55</v>
      </c>
      <c r="F2903" s="5" t="s">
        <v>55</v>
      </c>
      <c r="G2903" s="5" t="s">
        <v>56</v>
      </c>
      <c r="H2903" s="5" t="s">
        <v>74</v>
      </c>
      <c r="I2903" s="5" t="s">
        <v>40</v>
      </c>
      <c r="J2903" s="5" t="s">
        <v>49</v>
      </c>
      <c r="K2903">
        <v>39</v>
      </c>
      <c r="L2903">
        <v>668118</v>
      </c>
      <c r="M2903" s="26">
        <v>26056602</v>
      </c>
      <c r="N2903">
        <v>12363</v>
      </c>
      <c r="O2903" s="26">
        <v>3212605.39</v>
      </c>
      <c r="P2903" s="5" t="s">
        <v>42</v>
      </c>
      <c r="Q2903" s="5" t="s">
        <v>75</v>
      </c>
      <c r="R2903">
        <v>4.3</v>
      </c>
      <c r="S2903">
        <v>9</v>
      </c>
      <c r="T2903">
        <f t="shared" si="45"/>
        <v>1</v>
      </c>
    </row>
    <row r="2904" spans="1:20">
      <c r="A2904" s="4">
        <v>45962</v>
      </c>
      <c r="B2904">
        <v>2025</v>
      </c>
      <c r="C2904">
        <v>11</v>
      </c>
      <c r="D2904" s="5" t="s">
        <v>54</v>
      </c>
      <c r="E2904" s="5" t="s">
        <v>55</v>
      </c>
      <c r="F2904" s="5" t="s">
        <v>55</v>
      </c>
      <c r="G2904" s="5" t="s">
        <v>56</v>
      </c>
      <c r="H2904" s="5" t="s">
        <v>85</v>
      </c>
      <c r="I2904" s="5" t="s">
        <v>58</v>
      </c>
      <c r="J2904" s="5" t="s">
        <v>49</v>
      </c>
      <c r="K2904">
        <v>35</v>
      </c>
      <c r="L2904">
        <v>950962</v>
      </c>
      <c r="M2904" s="26">
        <v>33283670</v>
      </c>
      <c r="N2904">
        <v>25885</v>
      </c>
      <c r="O2904" s="26">
        <v>3200266.49</v>
      </c>
      <c r="P2904" s="5" t="s">
        <v>50</v>
      </c>
      <c r="Q2904" s="5" t="s">
        <v>51</v>
      </c>
      <c r="R2904">
        <v>4.9000000000000004</v>
      </c>
      <c r="S2904">
        <v>21</v>
      </c>
      <c r="T2904">
        <f t="shared" si="45"/>
        <v>0</v>
      </c>
    </row>
    <row r="2905" spans="1:20">
      <c r="A2905" s="4">
        <v>45973</v>
      </c>
      <c r="B2905">
        <v>2025</v>
      </c>
      <c r="C2905">
        <v>11</v>
      </c>
      <c r="D2905" s="5" t="s">
        <v>35</v>
      </c>
      <c r="E2905" s="5" t="s">
        <v>76</v>
      </c>
      <c r="F2905" s="5" t="s">
        <v>77</v>
      </c>
      <c r="G2905" s="5" t="s">
        <v>78</v>
      </c>
      <c r="H2905" s="5" t="s">
        <v>57</v>
      </c>
      <c r="I2905" s="5" t="s">
        <v>58</v>
      </c>
      <c r="J2905" s="5" t="s">
        <v>59</v>
      </c>
      <c r="K2905">
        <v>22</v>
      </c>
      <c r="L2905">
        <v>1396811</v>
      </c>
      <c r="M2905" s="26">
        <v>30729842</v>
      </c>
      <c r="N2905">
        <v>12729</v>
      </c>
      <c r="O2905" s="26">
        <v>3838956.96</v>
      </c>
      <c r="P2905" s="5" t="s">
        <v>50</v>
      </c>
      <c r="Q2905" s="5" t="s">
        <v>75</v>
      </c>
      <c r="R2905">
        <v>5</v>
      </c>
      <c r="S2905">
        <v>17</v>
      </c>
      <c r="T2905">
        <f t="shared" si="45"/>
        <v>0</v>
      </c>
    </row>
    <row r="2906" spans="1:20">
      <c r="A2906" s="4">
        <v>45977</v>
      </c>
      <c r="B2906">
        <v>2025</v>
      </c>
      <c r="C2906">
        <v>11</v>
      </c>
      <c r="D2906" s="5" t="s">
        <v>44</v>
      </c>
      <c r="E2906" s="5" t="s">
        <v>45</v>
      </c>
      <c r="F2906" s="5" t="s">
        <v>46</v>
      </c>
      <c r="G2906" s="5" t="s">
        <v>47</v>
      </c>
      <c r="H2906" s="5" t="s">
        <v>80</v>
      </c>
      <c r="I2906" s="5" t="s">
        <v>81</v>
      </c>
      <c r="J2906" s="5" t="s">
        <v>41</v>
      </c>
      <c r="K2906">
        <v>28</v>
      </c>
      <c r="L2906">
        <v>556413</v>
      </c>
      <c r="M2906" s="26">
        <v>15579564</v>
      </c>
      <c r="N2906">
        <v>5275</v>
      </c>
      <c r="O2906" s="26">
        <v>1818636.6</v>
      </c>
      <c r="P2906" s="5" t="s">
        <v>50</v>
      </c>
      <c r="Q2906" s="5" t="s">
        <v>75</v>
      </c>
      <c r="R2906">
        <v>3.9</v>
      </c>
      <c r="S2906">
        <v>19</v>
      </c>
      <c r="T2906">
        <f t="shared" si="45"/>
        <v>0</v>
      </c>
    </row>
    <row r="2907" spans="1:20">
      <c r="A2907" s="4">
        <v>45988</v>
      </c>
      <c r="B2907">
        <v>2025</v>
      </c>
      <c r="C2907">
        <v>11</v>
      </c>
      <c r="D2907" s="5" t="s">
        <v>35</v>
      </c>
      <c r="E2907" s="5" t="s">
        <v>36</v>
      </c>
      <c r="F2907" s="5" t="s">
        <v>37</v>
      </c>
      <c r="G2907" s="5" t="s">
        <v>38</v>
      </c>
      <c r="H2907" s="5" t="s">
        <v>52</v>
      </c>
      <c r="I2907" s="5" t="s">
        <v>53</v>
      </c>
      <c r="J2907" s="5" t="s">
        <v>41</v>
      </c>
      <c r="K2907">
        <v>41</v>
      </c>
      <c r="L2907">
        <v>977430</v>
      </c>
      <c r="M2907" s="26">
        <v>40074630</v>
      </c>
      <c r="N2907">
        <v>39023</v>
      </c>
      <c r="O2907" s="26">
        <v>3282625.02</v>
      </c>
      <c r="P2907" s="5" t="s">
        <v>42</v>
      </c>
      <c r="Q2907" s="5" t="s">
        <v>75</v>
      </c>
      <c r="R2907">
        <v>4.4000000000000004</v>
      </c>
      <c r="S2907">
        <v>8</v>
      </c>
      <c r="T2907">
        <f t="shared" si="45"/>
        <v>1</v>
      </c>
    </row>
    <row r="2908" spans="1:20">
      <c r="A2908" s="4">
        <v>45986</v>
      </c>
      <c r="B2908">
        <v>2025</v>
      </c>
      <c r="C2908">
        <v>11</v>
      </c>
      <c r="D2908" s="5" t="s">
        <v>35</v>
      </c>
      <c r="E2908" s="5" t="s">
        <v>60</v>
      </c>
      <c r="F2908" s="5" t="s">
        <v>61</v>
      </c>
      <c r="G2908" s="5" t="s">
        <v>62</v>
      </c>
      <c r="H2908" s="5" t="s">
        <v>57</v>
      </c>
      <c r="I2908" s="5" t="s">
        <v>58</v>
      </c>
      <c r="J2908" s="5" t="s">
        <v>59</v>
      </c>
      <c r="K2908">
        <v>22</v>
      </c>
      <c r="L2908">
        <v>1410915</v>
      </c>
      <c r="M2908" s="26">
        <v>31040130</v>
      </c>
      <c r="N2908">
        <v>18961</v>
      </c>
      <c r="O2908" s="26">
        <v>4925005.75</v>
      </c>
      <c r="P2908" s="5" t="s">
        <v>42</v>
      </c>
      <c r="Q2908" s="5" t="s">
        <v>43</v>
      </c>
      <c r="R2908">
        <v>4.2</v>
      </c>
      <c r="S2908">
        <v>2</v>
      </c>
      <c r="T2908">
        <f t="shared" si="45"/>
        <v>1</v>
      </c>
    </row>
    <row r="2909" spans="1:20">
      <c r="A2909" s="4">
        <v>45965</v>
      </c>
      <c r="B2909">
        <v>2025</v>
      </c>
      <c r="C2909">
        <v>11</v>
      </c>
      <c r="D2909" s="5" t="s">
        <v>44</v>
      </c>
      <c r="E2909" s="5" t="s">
        <v>82</v>
      </c>
      <c r="F2909" s="5" t="s">
        <v>83</v>
      </c>
      <c r="G2909" s="5" t="s">
        <v>84</v>
      </c>
      <c r="H2909" s="5" t="s">
        <v>79</v>
      </c>
      <c r="I2909" s="5" t="s">
        <v>58</v>
      </c>
      <c r="J2909" s="5" t="s">
        <v>49</v>
      </c>
      <c r="K2909">
        <v>39</v>
      </c>
      <c r="L2909">
        <v>891842</v>
      </c>
      <c r="M2909" s="26">
        <v>34781838</v>
      </c>
      <c r="N2909">
        <v>23732</v>
      </c>
      <c r="O2909" s="26">
        <v>5247981.1399999997</v>
      </c>
      <c r="P2909" s="5" t="s">
        <v>42</v>
      </c>
      <c r="Q2909" s="5" t="s">
        <v>43</v>
      </c>
      <c r="R2909">
        <v>4.3</v>
      </c>
      <c r="S2909">
        <v>13</v>
      </c>
      <c r="T2909">
        <f t="shared" si="45"/>
        <v>1</v>
      </c>
    </row>
    <row r="2910" spans="1:20">
      <c r="A2910" s="4">
        <v>45974</v>
      </c>
      <c r="B2910">
        <v>2025</v>
      </c>
      <c r="C2910">
        <v>11</v>
      </c>
      <c r="D2910" s="5" t="s">
        <v>54</v>
      </c>
      <c r="E2910" s="5" t="s">
        <v>55</v>
      </c>
      <c r="F2910" s="5" t="s">
        <v>55</v>
      </c>
      <c r="G2910" s="5" t="s">
        <v>56</v>
      </c>
      <c r="H2910" s="5" t="s">
        <v>80</v>
      </c>
      <c r="I2910" s="5" t="s">
        <v>81</v>
      </c>
      <c r="J2910" s="5" t="s">
        <v>41</v>
      </c>
      <c r="K2910">
        <v>9</v>
      </c>
      <c r="L2910">
        <v>574781</v>
      </c>
      <c r="M2910" s="26">
        <v>5173029</v>
      </c>
      <c r="N2910">
        <v>49018</v>
      </c>
      <c r="O2910" s="26">
        <v>476416.9</v>
      </c>
      <c r="P2910" s="5" t="s">
        <v>42</v>
      </c>
      <c r="Q2910" s="5" t="s">
        <v>75</v>
      </c>
      <c r="R2910">
        <v>4.5</v>
      </c>
      <c r="S2910">
        <v>6</v>
      </c>
      <c r="T2910">
        <f t="shared" si="45"/>
        <v>1</v>
      </c>
    </row>
    <row r="2911" spans="1:20">
      <c r="A2911" s="4">
        <v>45972</v>
      </c>
      <c r="B2911">
        <v>2025</v>
      </c>
      <c r="C2911">
        <v>11</v>
      </c>
      <c r="D2911" s="5" t="s">
        <v>66</v>
      </c>
      <c r="E2911" s="5" t="s">
        <v>67</v>
      </c>
      <c r="F2911" s="5" t="s">
        <v>68</v>
      </c>
      <c r="G2911" s="5" t="s">
        <v>69</v>
      </c>
      <c r="H2911" s="5" t="s">
        <v>74</v>
      </c>
      <c r="I2911" s="5" t="s">
        <v>40</v>
      </c>
      <c r="J2911" s="5" t="s">
        <v>49</v>
      </c>
      <c r="K2911">
        <v>53</v>
      </c>
      <c r="L2911">
        <v>672256</v>
      </c>
      <c r="M2911" s="26">
        <v>35629568</v>
      </c>
      <c r="N2911">
        <v>17408</v>
      </c>
      <c r="O2911" s="26">
        <v>4559086.8499999996</v>
      </c>
      <c r="P2911" s="5" t="s">
        <v>50</v>
      </c>
      <c r="Q2911" s="5" t="s">
        <v>43</v>
      </c>
      <c r="R2911">
        <v>3.8</v>
      </c>
      <c r="S2911">
        <v>8</v>
      </c>
      <c r="T2911">
        <f t="shared" si="45"/>
        <v>0</v>
      </c>
    </row>
    <row r="2912" spans="1:20">
      <c r="A2912" s="4">
        <v>45974</v>
      </c>
      <c r="B2912">
        <v>2025</v>
      </c>
      <c r="C2912">
        <v>11</v>
      </c>
      <c r="D2912" s="5" t="s">
        <v>44</v>
      </c>
      <c r="E2912" s="5" t="s">
        <v>45</v>
      </c>
      <c r="F2912" s="5" t="s">
        <v>46</v>
      </c>
      <c r="G2912" s="5" t="s">
        <v>47</v>
      </c>
      <c r="H2912" s="5" t="s">
        <v>74</v>
      </c>
      <c r="I2912" s="5" t="s">
        <v>40</v>
      </c>
      <c r="J2912" s="5" t="s">
        <v>49</v>
      </c>
      <c r="K2912">
        <v>44</v>
      </c>
      <c r="L2912">
        <v>677723</v>
      </c>
      <c r="M2912" s="26">
        <v>29819812</v>
      </c>
      <c r="N2912">
        <v>45879</v>
      </c>
      <c r="O2912" s="26">
        <v>3123804.21</v>
      </c>
      <c r="P2912" s="5" t="s">
        <v>50</v>
      </c>
      <c r="Q2912" s="5" t="s">
        <v>51</v>
      </c>
      <c r="R2912">
        <v>4.2</v>
      </c>
      <c r="S2912">
        <v>14</v>
      </c>
      <c r="T2912">
        <f t="shared" si="45"/>
        <v>0</v>
      </c>
    </row>
    <row r="2913" spans="1:20">
      <c r="A2913" s="4">
        <v>45980</v>
      </c>
      <c r="B2913">
        <v>2025</v>
      </c>
      <c r="C2913">
        <v>11</v>
      </c>
      <c r="D2913" s="5" t="s">
        <v>35</v>
      </c>
      <c r="E2913" s="5" t="s">
        <v>36</v>
      </c>
      <c r="F2913" s="5" t="s">
        <v>37</v>
      </c>
      <c r="G2913" s="5" t="s">
        <v>38</v>
      </c>
      <c r="H2913" s="5" t="s">
        <v>79</v>
      </c>
      <c r="I2913" s="5" t="s">
        <v>58</v>
      </c>
      <c r="J2913" s="5" t="s">
        <v>49</v>
      </c>
      <c r="K2913">
        <v>20</v>
      </c>
      <c r="L2913">
        <v>899949</v>
      </c>
      <c r="M2913" s="26">
        <v>17998980</v>
      </c>
      <c r="N2913">
        <v>32403</v>
      </c>
      <c r="O2913" s="26">
        <v>2857082.87</v>
      </c>
      <c r="P2913" s="5" t="s">
        <v>50</v>
      </c>
      <c r="Q2913" s="5" t="s">
        <v>51</v>
      </c>
      <c r="R2913">
        <v>3.7</v>
      </c>
      <c r="S2913">
        <v>14</v>
      </c>
      <c r="T2913">
        <f t="shared" si="45"/>
        <v>0</v>
      </c>
    </row>
    <row r="2914" spans="1:20">
      <c r="A2914" s="4">
        <v>45966</v>
      </c>
      <c r="B2914">
        <v>2025</v>
      </c>
      <c r="C2914">
        <v>11</v>
      </c>
      <c r="D2914" s="5" t="s">
        <v>66</v>
      </c>
      <c r="E2914" s="5" t="s">
        <v>67</v>
      </c>
      <c r="F2914" s="5" t="s">
        <v>68</v>
      </c>
      <c r="G2914" s="5" t="s">
        <v>69</v>
      </c>
      <c r="H2914" s="5" t="s">
        <v>73</v>
      </c>
      <c r="I2914" s="5" t="s">
        <v>40</v>
      </c>
      <c r="J2914" s="5" t="s">
        <v>49</v>
      </c>
      <c r="K2914">
        <v>14</v>
      </c>
      <c r="L2914">
        <v>704877</v>
      </c>
      <c r="M2914" s="26">
        <v>9868278</v>
      </c>
      <c r="N2914">
        <v>45810</v>
      </c>
      <c r="O2914" s="26">
        <v>1488279.13</v>
      </c>
      <c r="P2914" s="5" t="s">
        <v>50</v>
      </c>
      <c r="Q2914" s="5" t="s">
        <v>75</v>
      </c>
      <c r="R2914">
        <v>4.4000000000000004</v>
      </c>
      <c r="S2914">
        <v>19</v>
      </c>
      <c r="T2914">
        <f t="shared" si="45"/>
        <v>0</v>
      </c>
    </row>
    <row r="2915" spans="1:20">
      <c r="A2915" s="4">
        <v>45964</v>
      </c>
      <c r="B2915">
        <v>2025</v>
      </c>
      <c r="C2915">
        <v>11</v>
      </c>
      <c r="D2915" s="5" t="s">
        <v>35</v>
      </c>
      <c r="E2915" s="5" t="s">
        <v>60</v>
      </c>
      <c r="F2915" s="5" t="s">
        <v>61</v>
      </c>
      <c r="G2915" s="5" t="s">
        <v>62</v>
      </c>
      <c r="H2915" s="5" t="s">
        <v>65</v>
      </c>
      <c r="I2915" s="5" t="s">
        <v>53</v>
      </c>
      <c r="J2915" s="5" t="s">
        <v>49</v>
      </c>
      <c r="K2915">
        <v>27</v>
      </c>
      <c r="L2915">
        <v>1271846</v>
      </c>
      <c r="M2915" s="26">
        <v>34339842</v>
      </c>
      <c r="N2915">
        <v>27117</v>
      </c>
      <c r="O2915" s="26">
        <v>2914620.16</v>
      </c>
      <c r="P2915" s="5" t="s">
        <v>50</v>
      </c>
      <c r="Q2915" s="5" t="s">
        <v>75</v>
      </c>
      <c r="R2915">
        <v>3.8</v>
      </c>
      <c r="S2915">
        <v>17</v>
      </c>
      <c r="T2915">
        <f t="shared" si="45"/>
        <v>0</v>
      </c>
    </row>
    <row r="2916" spans="1:20">
      <c r="A2916" s="4">
        <v>45969</v>
      </c>
      <c r="B2916">
        <v>2025</v>
      </c>
      <c r="C2916">
        <v>11</v>
      </c>
      <c r="D2916" s="5" t="s">
        <v>35</v>
      </c>
      <c r="E2916" s="5" t="s">
        <v>60</v>
      </c>
      <c r="F2916" s="5" t="s">
        <v>61</v>
      </c>
      <c r="G2916" s="5" t="s">
        <v>62</v>
      </c>
      <c r="H2916" s="5" t="s">
        <v>48</v>
      </c>
      <c r="I2916" s="5" t="s">
        <v>40</v>
      </c>
      <c r="J2916" s="5" t="s">
        <v>49</v>
      </c>
      <c r="K2916">
        <v>6</v>
      </c>
      <c r="L2916">
        <v>475179</v>
      </c>
      <c r="M2916" s="26">
        <v>2851074</v>
      </c>
      <c r="N2916">
        <v>40051</v>
      </c>
      <c r="O2916" s="26">
        <v>426946.71</v>
      </c>
      <c r="P2916" s="5" t="s">
        <v>42</v>
      </c>
      <c r="Q2916" s="5" t="s">
        <v>75</v>
      </c>
      <c r="R2916">
        <v>3.7</v>
      </c>
      <c r="S2916">
        <v>3</v>
      </c>
      <c r="T2916">
        <f t="shared" si="45"/>
        <v>1</v>
      </c>
    </row>
    <row r="2917" spans="1:20">
      <c r="A2917" s="4">
        <v>45969</v>
      </c>
      <c r="B2917">
        <v>2025</v>
      </c>
      <c r="C2917">
        <v>11</v>
      </c>
      <c r="D2917" s="5" t="s">
        <v>35</v>
      </c>
      <c r="E2917" s="5" t="s">
        <v>36</v>
      </c>
      <c r="F2917" s="5" t="s">
        <v>37</v>
      </c>
      <c r="G2917" s="5" t="s">
        <v>38</v>
      </c>
      <c r="H2917" s="5" t="s">
        <v>57</v>
      </c>
      <c r="I2917" s="5" t="s">
        <v>58</v>
      </c>
      <c r="J2917" s="5" t="s">
        <v>59</v>
      </c>
      <c r="K2917">
        <v>39</v>
      </c>
      <c r="L2917">
        <v>1386435</v>
      </c>
      <c r="M2917" s="26">
        <v>54070965</v>
      </c>
      <c r="N2917">
        <v>41216</v>
      </c>
      <c r="O2917" s="26">
        <v>6482851.0300000003</v>
      </c>
      <c r="P2917" s="5" t="s">
        <v>50</v>
      </c>
      <c r="Q2917" s="5" t="s">
        <v>51</v>
      </c>
      <c r="R2917">
        <v>4.8</v>
      </c>
      <c r="S2917">
        <v>13</v>
      </c>
      <c r="T2917">
        <f t="shared" si="45"/>
        <v>0</v>
      </c>
    </row>
    <row r="2918" spans="1:20">
      <c r="A2918" s="4">
        <v>45964</v>
      </c>
      <c r="B2918">
        <v>2025</v>
      </c>
      <c r="C2918">
        <v>11</v>
      </c>
      <c r="D2918" s="5" t="s">
        <v>35</v>
      </c>
      <c r="E2918" s="5" t="s">
        <v>60</v>
      </c>
      <c r="F2918" s="5" t="s">
        <v>61</v>
      </c>
      <c r="G2918" s="5" t="s">
        <v>62</v>
      </c>
      <c r="H2918" s="5" t="s">
        <v>65</v>
      </c>
      <c r="I2918" s="5" t="s">
        <v>53</v>
      </c>
      <c r="J2918" s="5" t="s">
        <v>49</v>
      </c>
      <c r="K2918">
        <v>59</v>
      </c>
      <c r="L2918">
        <v>1242153</v>
      </c>
      <c r="M2918" s="26">
        <v>73287027</v>
      </c>
      <c r="N2918">
        <v>22439</v>
      </c>
      <c r="O2918" s="26">
        <v>11247002.26</v>
      </c>
      <c r="P2918" s="5" t="s">
        <v>50</v>
      </c>
      <c r="Q2918" s="5" t="s">
        <v>75</v>
      </c>
      <c r="R2918">
        <v>4.3</v>
      </c>
      <c r="S2918">
        <v>14</v>
      </c>
      <c r="T2918">
        <f t="shared" si="45"/>
        <v>0</v>
      </c>
    </row>
    <row r="2919" spans="1:20">
      <c r="A2919" s="4">
        <v>45970</v>
      </c>
      <c r="B2919">
        <v>2025</v>
      </c>
      <c r="C2919">
        <v>11</v>
      </c>
      <c r="D2919" s="5" t="s">
        <v>66</v>
      </c>
      <c r="E2919" s="5" t="s">
        <v>67</v>
      </c>
      <c r="F2919" s="5" t="s">
        <v>68</v>
      </c>
      <c r="G2919" s="5" t="s">
        <v>69</v>
      </c>
      <c r="H2919" s="5" t="s">
        <v>63</v>
      </c>
      <c r="I2919" s="5" t="s">
        <v>64</v>
      </c>
      <c r="J2919" s="5" t="s">
        <v>41</v>
      </c>
      <c r="K2919">
        <v>45</v>
      </c>
      <c r="L2919">
        <v>737647</v>
      </c>
      <c r="M2919" s="26">
        <v>33194115</v>
      </c>
      <c r="N2919">
        <v>13706</v>
      </c>
      <c r="O2919" s="26">
        <v>3163644.38</v>
      </c>
      <c r="P2919" s="5" t="s">
        <v>50</v>
      </c>
      <c r="Q2919" s="5" t="s">
        <v>43</v>
      </c>
      <c r="R2919">
        <v>3.9</v>
      </c>
      <c r="S2919">
        <v>7</v>
      </c>
      <c r="T2919">
        <f t="shared" si="45"/>
        <v>0</v>
      </c>
    </row>
    <row r="2920" spans="1:20">
      <c r="A2920" s="4">
        <v>45970</v>
      </c>
      <c r="B2920">
        <v>2025</v>
      </c>
      <c r="C2920">
        <v>11</v>
      </c>
      <c r="D2920" s="5" t="s">
        <v>44</v>
      </c>
      <c r="E2920" s="5" t="s">
        <v>45</v>
      </c>
      <c r="F2920" s="5" t="s">
        <v>46</v>
      </c>
      <c r="G2920" s="5" t="s">
        <v>47</v>
      </c>
      <c r="H2920" s="5" t="s">
        <v>74</v>
      </c>
      <c r="I2920" s="5" t="s">
        <v>40</v>
      </c>
      <c r="J2920" s="5" t="s">
        <v>49</v>
      </c>
      <c r="K2920">
        <v>19</v>
      </c>
      <c r="L2920">
        <v>678060</v>
      </c>
      <c r="M2920" s="26">
        <v>12883140</v>
      </c>
      <c r="N2920">
        <v>14920</v>
      </c>
      <c r="O2920" s="26">
        <v>1487272.29</v>
      </c>
      <c r="P2920" s="5" t="s">
        <v>42</v>
      </c>
      <c r="Q2920" s="5" t="s">
        <v>75</v>
      </c>
      <c r="R2920">
        <v>4.9000000000000004</v>
      </c>
      <c r="S2920">
        <v>4</v>
      </c>
      <c r="T2920">
        <f t="shared" si="45"/>
        <v>1</v>
      </c>
    </row>
    <row r="2921" spans="1:20">
      <c r="A2921" s="4">
        <v>45964</v>
      </c>
      <c r="B2921">
        <v>2025</v>
      </c>
      <c r="C2921">
        <v>11</v>
      </c>
      <c r="D2921" s="5" t="s">
        <v>54</v>
      </c>
      <c r="E2921" s="5" t="s">
        <v>70</v>
      </c>
      <c r="F2921" s="5" t="s">
        <v>71</v>
      </c>
      <c r="G2921" s="5" t="s">
        <v>72</v>
      </c>
      <c r="H2921" s="5" t="s">
        <v>86</v>
      </c>
      <c r="I2921" s="5" t="s">
        <v>40</v>
      </c>
      <c r="J2921" s="5" t="s">
        <v>41</v>
      </c>
      <c r="K2921">
        <v>28</v>
      </c>
      <c r="L2921">
        <v>593648</v>
      </c>
      <c r="M2921" s="26">
        <v>16622144</v>
      </c>
      <c r="N2921">
        <v>35591</v>
      </c>
      <c r="O2921" s="26">
        <v>2489961.56</v>
      </c>
      <c r="P2921" s="5" t="s">
        <v>42</v>
      </c>
      <c r="Q2921" s="5" t="s">
        <v>75</v>
      </c>
      <c r="R2921">
        <v>4.8</v>
      </c>
      <c r="S2921">
        <v>13</v>
      </c>
      <c r="T2921">
        <f t="shared" si="45"/>
        <v>1</v>
      </c>
    </row>
    <row r="2922" spans="1:20">
      <c r="A2922" s="4">
        <v>45974</v>
      </c>
      <c r="B2922">
        <v>2025</v>
      </c>
      <c r="C2922">
        <v>11</v>
      </c>
      <c r="D2922" s="5" t="s">
        <v>44</v>
      </c>
      <c r="E2922" s="5" t="s">
        <v>45</v>
      </c>
      <c r="F2922" s="5" t="s">
        <v>46</v>
      </c>
      <c r="G2922" s="5" t="s">
        <v>47</v>
      </c>
      <c r="H2922" s="5" t="s">
        <v>73</v>
      </c>
      <c r="I2922" s="5" t="s">
        <v>40</v>
      </c>
      <c r="J2922" s="5" t="s">
        <v>49</v>
      </c>
      <c r="K2922">
        <v>47</v>
      </c>
      <c r="L2922">
        <v>697114</v>
      </c>
      <c r="M2922" s="26">
        <v>32764358</v>
      </c>
      <c r="N2922">
        <v>7440</v>
      </c>
      <c r="O2922" s="26">
        <v>4514300.88</v>
      </c>
      <c r="P2922" s="5" t="s">
        <v>50</v>
      </c>
      <c r="Q2922" s="5" t="s">
        <v>43</v>
      </c>
      <c r="R2922">
        <v>4.5999999999999996</v>
      </c>
      <c r="S2922">
        <v>3</v>
      </c>
      <c r="T2922">
        <f t="shared" si="45"/>
        <v>0</v>
      </c>
    </row>
    <row r="2923" spans="1:20">
      <c r="A2923" s="4">
        <v>45982</v>
      </c>
      <c r="B2923">
        <v>2025</v>
      </c>
      <c r="C2923">
        <v>11</v>
      </c>
      <c r="D2923" s="5" t="s">
        <v>66</v>
      </c>
      <c r="E2923" s="5" t="s">
        <v>67</v>
      </c>
      <c r="F2923" s="5" t="s">
        <v>68</v>
      </c>
      <c r="G2923" s="5" t="s">
        <v>69</v>
      </c>
      <c r="H2923" s="5" t="s">
        <v>80</v>
      </c>
      <c r="I2923" s="5" t="s">
        <v>81</v>
      </c>
      <c r="J2923" s="5" t="s">
        <v>41</v>
      </c>
      <c r="K2923">
        <v>18</v>
      </c>
      <c r="L2923">
        <v>522292</v>
      </c>
      <c r="M2923" s="26">
        <v>9401256</v>
      </c>
      <c r="N2923">
        <v>42624</v>
      </c>
      <c r="O2923" s="26">
        <v>839739.75</v>
      </c>
      <c r="P2923" s="5" t="s">
        <v>42</v>
      </c>
      <c r="Q2923" s="5" t="s">
        <v>43</v>
      </c>
      <c r="R2923">
        <v>4.9000000000000004</v>
      </c>
      <c r="S2923">
        <v>20</v>
      </c>
      <c r="T2923">
        <f t="shared" si="45"/>
        <v>1</v>
      </c>
    </row>
    <row r="2924" spans="1:20">
      <c r="A2924" s="4">
        <v>45973</v>
      </c>
      <c r="B2924">
        <v>2025</v>
      </c>
      <c r="C2924">
        <v>11</v>
      </c>
      <c r="D2924" s="5" t="s">
        <v>35</v>
      </c>
      <c r="E2924" s="5" t="s">
        <v>36</v>
      </c>
      <c r="F2924" s="5" t="s">
        <v>37</v>
      </c>
      <c r="G2924" s="5" t="s">
        <v>38</v>
      </c>
      <c r="H2924" s="5" t="s">
        <v>85</v>
      </c>
      <c r="I2924" s="5" t="s">
        <v>58</v>
      </c>
      <c r="J2924" s="5" t="s">
        <v>49</v>
      </c>
      <c r="K2924">
        <v>34</v>
      </c>
      <c r="L2924">
        <v>977499</v>
      </c>
      <c r="M2924" s="26">
        <v>33234966</v>
      </c>
      <c r="N2924">
        <v>24574</v>
      </c>
      <c r="O2924" s="26">
        <v>2675962.5299999998</v>
      </c>
      <c r="P2924" s="5" t="s">
        <v>42</v>
      </c>
      <c r="Q2924" s="5" t="s">
        <v>75</v>
      </c>
      <c r="R2924">
        <v>4</v>
      </c>
      <c r="S2924">
        <v>17</v>
      </c>
      <c r="T2924">
        <f t="shared" si="45"/>
        <v>1</v>
      </c>
    </row>
    <row r="2925" spans="1:20">
      <c r="A2925" s="4">
        <v>45962</v>
      </c>
      <c r="B2925">
        <v>2025</v>
      </c>
      <c r="C2925">
        <v>11</v>
      </c>
      <c r="D2925" s="5" t="s">
        <v>44</v>
      </c>
      <c r="E2925" s="5" t="s">
        <v>45</v>
      </c>
      <c r="F2925" s="5" t="s">
        <v>46</v>
      </c>
      <c r="G2925" s="5" t="s">
        <v>47</v>
      </c>
      <c r="H2925" s="5" t="s">
        <v>73</v>
      </c>
      <c r="I2925" s="5" t="s">
        <v>40</v>
      </c>
      <c r="J2925" s="5" t="s">
        <v>49</v>
      </c>
      <c r="K2925">
        <v>32</v>
      </c>
      <c r="L2925">
        <v>727219</v>
      </c>
      <c r="M2925" s="26">
        <v>23271008</v>
      </c>
      <c r="N2925">
        <v>44410</v>
      </c>
      <c r="O2925" s="26">
        <v>2591646.21</v>
      </c>
      <c r="P2925" s="5" t="s">
        <v>50</v>
      </c>
      <c r="Q2925" s="5" t="s">
        <v>43</v>
      </c>
      <c r="R2925">
        <v>4.4000000000000004</v>
      </c>
      <c r="S2925">
        <v>3</v>
      </c>
      <c r="T2925">
        <f t="shared" si="45"/>
        <v>0</v>
      </c>
    </row>
    <row r="2926" spans="1:20">
      <c r="A2926" s="4">
        <v>45976</v>
      </c>
      <c r="B2926">
        <v>2025</v>
      </c>
      <c r="C2926">
        <v>11</v>
      </c>
      <c r="D2926" s="5" t="s">
        <v>44</v>
      </c>
      <c r="E2926" s="5" t="s">
        <v>45</v>
      </c>
      <c r="F2926" s="5" t="s">
        <v>46</v>
      </c>
      <c r="G2926" s="5" t="s">
        <v>47</v>
      </c>
      <c r="H2926" s="5" t="s">
        <v>86</v>
      </c>
      <c r="I2926" s="5" t="s">
        <v>40</v>
      </c>
      <c r="J2926" s="5" t="s">
        <v>41</v>
      </c>
      <c r="K2926">
        <v>19</v>
      </c>
      <c r="L2926">
        <v>573717</v>
      </c>
      <c r="M2926" s="26">
        <v>10900623</v>
      </c>
      <c r="N2926">
        <v>30610</v>
      </c>
      <c r="O2926" s="26">
        <v>1062910.46</v>
      </c>
      <c r="P2926" s="5" t="s">
        <v>42</v>
      </c>
      <c r="Q2926" s="5" t="s">
        <v>43</v>
      </c>
      <c r="R2926">
        <v>3.6</v>
      </c>
      <c r="S2926">
        <v>5</v>
      </c>
      <c r="T2926">
        <f t="shared" si="45"/>
        <v>1</v>
      </c>
    </row>
    <row r="2927" spans="1:20">
      <c r="A2927" s="4">
        <v>45966</v>
      </c>
      <c r="B2927">
        <v>2025</v>
      </c>
      <c r="C2927">
        <v>11</v>
      </c>
      <c r="D2927" s="5" t="s">
        <v>35</v>
      </c>
      <c r="E2927" s="5" t="s">
        <v>76</v>
      </c>
      <c r="F2927" s="5" t="s">
        <v>77</v>
      </c>
      <c r="G2927" s="5" t="s">
        <v>78</v>
      </c>
      <c r="H2927" s="5" t="s">
        <v>65</v>
      </c>
      <c r="I2927" s="5" t="s">
        <v>53</v>
      </c>
      <c r="J2927" s="5" t="s">
        <v>49</v>
      </c>
      <c r="K2927">
        <v>5</v>
      </c>
      <c r="L2927">
        <v>1225191</v>
      </c>
      <c r="M2927" s="26">
        <v>6125955</v>
      </c>
      <c r="N2927">
        <v>25913</v>
      </c>
      <c r="O2927" s="26">
        <v>977356.92</v>
      </c>
      <c r="P2927" s="5" t="s">
        <v>50</v>
      </c>
      <c r="Q2927" s="5" t="s">
        <v>75</v>
      </c>
      <c r="R2927">
        <v>4.5</v>
      </c>
      <c r="S2927">
        <v>18</v>
      </c>
      <c r="T2927">
        <f t="shared" si="45"/>
        <v>0</v>
      </c>
    </row>
    <row r="2928" spans="1:20">
      <c r="A2928" s="4">
        <v>45972</v>
      </c>
      <c r="B2928">
        <v>2025</v>
      </c>
      <c r="C2928">
        <v>11</v>
      </c>
      <c r="D2928" s="5" t="s">
        <v>35</v>
      </c>
      <c r="E2928" s="5" t="s">
        <v>76</v>
      </c>
      <c r="F2928" s="5" t="s">
        <v>77</v>
      </c>
      <c r="G2928" s="5" t="s">
        <v>78</v>
      </c>
      <c r="H2928" s="5" t="s">
        <v>57</v>
      </c>
      <c r="I2928" s="5" t="s">
        <v>58</v>
      </c>
      <c r="J2928" s="5" t="s">
        <v>59</v>
      </c>
      <c r="K2928">
        <v>34</v>
      </c>
      <c r="L2928">
        <v>1429965</v>
      </c>
      <c r="M2928" s="26">
        <v>48618810</v>
      </c>
      <c r="N2928">
        <v>19578</v>
      </c>
      <c r="O2928" s="26">
        <v>7481757.79</v>
      </c>
      <c r="P2928" s="5" t="s">
        <v>42</v>
      </c>
      <c r="Q2928" s="5" t="s">
        <v>43</v>
      </c>
      <c r="R2928">
        <v>4.9000000000000004</v>
      </c>
      <c r="S2928">
        <v>21</v>
      </c>
      <c r="T2928">
        <f t="shared" si="45"/>
        <v>1</v>
      </c>
    </row>
    <row r="2929" spans="1:20">
      <c r="A2929" s="4">
        <v>45987</v>
      </c>
      <c r="B2929">
        <v>2025</v>
      </c>
      <c r="C2929">
        <v>11</v>
      </c>
      <c r="D2929" s="5" t="s">
        <v>35</v>
      </c>
      <c r="E2929" s="5" t="s">
        <v>36</v>
      </c>
      <c r="F2929" s="5" t="s">
        <v>37</v>
      </c>
      <c r="G2929" s="5" t="s">
        <v>38</v>
      </c>
      <c r="H2929" s="5" t="s">
        <v>79</v>
      </c>
      <c r="I2929" s="5" t="s">
        <v>58</v>
      </c>
      <c r="J2929" s="5" t="s">
        <v>49</v>
      </c>
      <c r="K2929">
        <v>21</v>
      </c>
      <c r="L2929">
        <v>910714</v>
      </c>
      <c r="M2929" s="26">
        <v>19124994</v>
      </c>
      <c r="N2929">
        <v>27018</v>
      </c>
      <c r="O2929" s="26">
        <v>2667200.71</v>
      </c>
      <c r="P2929" s="5" t="s">
        <v>42</v>
      </c>
      <c r="Q2929" s="5" t="s">
        <v>43</v>
      </c>
      <c r="R2929">
        <v>3.7</v>
      </c>
      <c r="S2929">
        <v>20</v>
      </c>
      <c r="T2929">
        <f t="shared" si="45"/>
        <v>1</v>
      </c>
    </row>
    <row r="2930" spans="1:20">
      <c r="A2930" s="4">
        <v>45986</v>
      </c>
      <c r="B2930">
        <v>2025</v>
      </c>
      <c r="C2930">
        <v>11</v>
      </c>
      <c r="D2930" s="5" t="s">
        <v>35</v>
      </c>
      <c r="E2930" s="5" t="s">
        <v>60</v>
      </c>
      <c r="F2930" s="5" t="s">
        <v>61</v>
      </c>
      <c r="G2930" s="5" t="s">
        <v>62</v>
      </c>
      <c r="H2930" s="5" t="s">
        <v>86</v>
      </c>
      <c r="I2930" s="5" t="s">
        <v>40</v>
      </c>
      <c r="J2930" s="5" t="s">
        <v>41</v>
      </c>
      <c r="K2930">
        <v>30</v>
      </c>
      <c r="L2930">
        <v>574257</v>
      </c>
      <c r="M2930" s="26">
        <v>17227710</v>
      </c>
      <c r="N2930">
        <v>42376</v>
      </c>
      <c r="O2930" s="26">
        <v>1671126.56</v>
      </c>
      <c r="P2930" s="5" t="s">
        <v>50</v>
      </c>
      <c r="Q2930" s="5" t="s">
        <v>43</v>
      </c>
      <c r="R2930">
        <v>4</v>
      </c>
      <c r="S2930">
        <v>19</v>
      </c>
      <c r="T2930">
        <f t="shared" si="45"/>
        <v>0</v>
      </c>
    </row>
    <row r="2931" spans="1:20">
      <c r="A2931" s="4">
        <v>45989</v>
      </c>
      <c r="B2931">
        <v>2025</v>
      </c>
      <c r="C2931">
        <v>11</v>
      </c>
      <c r="D2931" s="5" t="s">
        <v>35</v>
      </c>
      <c r="E2931" s="5" t="s">
        <v>76</v>
      </c>
      <c r="F2931" s="5" t="s">
        <v>77</v>
      </c>
      <c r="G2931" s="5" t="s">
        <v>78</v>
      </c>
      <c r="H2931" s="5" t="s">
        <v>39</v>
      </c>
      <c r="I2931" s="5" t="s">
        <v>40</v>
      </c>
      <c r="J2931" s="5" t="s">
        <v>41</v>
      </c>
      <c r="K2931">
        <v>7</v>
      </c>
      <c r="L2931">
        <v>570851</v>
      </c>
      <c r="M2931" s="26">
        <v>3995957</v>
      </c>
      <c r="N2931">
        <v>22191</v>
      </c>
      <c r="O2931" s="26">
        <v>492578.74</v>
      </c>
      <c r="P2931" s="5" t="s">
        <v>50</v>
      </c>
      <c r="Q2931" s="5" t="s">
        <v>43</v>
      </c>
      <c r="R2931">
        <v>4.5</v>
      </c>
      <c r="S2931">
        <v>12</v>
      </c>
      <c r="T2931">
        <f t="shared" si="45"/>
        <v>0</v>
      </c>
    </row>
    <row r="2932" spans="1:20">
      <c r="A2932" s="4">
        <v>45978</v>
      </c>
      <c r="B2932">
        <v>2025</v>
      </c>
      <c r="C2932">
        <v>11</v>
      </c>
      <c r="D2932" s="5" t="s">
        <v>54</v>
      </c>
      <c r="E2932" s="5" t="s">
        <v>70</v>
      </c>
      <c r="F2932" s="5" t="s">
        <v>71</v>
      </c>
      <c r="G2932" s="5" t="s">
        <v>72</v>
      </c>
      <c r="H2932" s="5" t="s">
        <v>48</v>
      </c>
      <c r="I2932" s="5" t="s">
        <v>40</v>
      </c>
      <c r="J2932" s="5" t="s">
        <v>49</v>
      </c>
      <c r="K2932">
        <v>10</v>
      </c>
      <c r="L2932">
        <v>471414</v>
      </c>
      <c r="M2932" s="26">
        <v>4714140</v>
      </c>
      <c r="N2932">
        <v>39001</v>
      </c>
      <c r="O2932" s="26">
        <v>698336.42</v>
      </c>
      <c r="P2932" s="5" t="s">
        <v>50</v>
      </c>
      <c r="Q2932" s="5" t="s">
        <v>43</v>
      </c>
      <c r="R2932">
        <v>4.3</v>
      </c>
      <c r="S2932">
        <v>3</v>
      </c>
      <c r="T2932">
        <f t="shared" si="45"/>
        <v>0</v>
      </c>
    </row>
    <row r="2933" spans="1:20">
      <c r="A2933" s="4">
        <v>45978</v>
      </c>
      <c r="B2933">
        <v>2025</v>
      </c>
      <c r="C2933">
        <v>11</v>
      </c>
      <c r="D2933" s="5" t="s">
        <v>44</v>
      </c>
      <c r="E2933" s="5" t="s">
        <v>82</v>
      </c>
      <c r="F2933" s="5" t="s">
        <v>83</v>
      </c>
      <c r="G2933" s="5" t="s">
        <v>84</v>
      </c>
      <c r="H2933" s="5" t="s">
        <v>80</v>
      </c>
      <c r="I2933" s="5" t="s">
        <v>81</v>
      </c>
      <c r="J2933" s="5" t="s">
        <v>41</v>
      </c>
      <c r="K2933">
        <v>21</v>
      </c>
      <c r="L2933">
        <v>539265</v>
      </c>
      <c r="M2933" s="26">
        <v>11324565</v>
      </c>
      <c r="N2933">
        <v>32933</v>
      </c>
      <c r="O2933" s="26">
        <v>1192267.55</v>
      </c>
      <c r="P2933" s="5" t="s">
        <v>50</v>
      </c>
      <c r="Q2933" s="5" t="s">
        <v>75</v>
      </c>
      <c r="R2933">
        <v>4.4000000000000004</v>
      </c>
      <c r="S2933">
        <v>13</v>
      </c>
      <c r="T2933">
        <f t="shared" si="45"/>
        <v>0</v>
      </c>
    </row>
    <row r="2934" spans="1:20">
      <c r="A2934" s="4">
        <v>45988</v>
      </c>
      <c r="B2934">
        <v>2025</v>
      </c>
      <c r="C2934">
        <v>11</v>
      </c>
      <c r="D2934" s="5" t="s">
        <v>35</v>
      </c>
      <c r="E2934" s="5" t="s">
        <v>36</v>
      </c>
      <c r="F2934" s="5" t="s">
        <v>37</v>
      </c>
      <c r="G2934" s="5" t="s">
        <v>38</v>
      </c>
      <c r="H2934" s="5" t="s">
        <v>86</v>
      </c>
      <c r="I2934" s="5" t="s">
        <v>40</v>
      </c>
      <c r="J2934" s="5" t="s">
        <v>41</v>
      </c>
      <c r="K2934">
        <v>55</v>
      </c>
      <c r="L2934">
        <v>594650</v>
      </c>
      <c r="M2934" s="26">
        <v>32705750</v>
      </c>
      <c r="N2934">
        <v>42445</v>
      </c>
      <c r="O2934" s="26">
        <v>4563795.17</v>
      </c>
      <c r="P2934" s="5" t="s">
        <v>50</v>
      </c>
      <c r="Q2934" s="5" t="s">
        <v>75</v>
      </c>
      <c r="R2934">
        <v>4.3</v>
      </c>
      <c r="S2934">
        <v>5</v>
      </c>
      <c r="T2934">
        <f t="shared" si="45"/>
        <v>0</v>
      </c>
    </row>
    <row r="2935" spans="1:20">
      <c r="A2935" s="4">
        <v>45977</v>
      </c>
      <c r="B2935">
        <v>2025</v>
      </c>
      <c r="C2935">
        <v>11</v>
      </c>
      <c r="D2935" s="5" t="s">
        <v>54</v>
      </c>
      <c r="E2935" s="5" t="s">
        <v>55</v>
      </c>
      <c r="F2935" s="5" t="s">
        <v>55</v>
      </c>
      <c r="G2935" s="5" t="s">
        <v>56</v>
      </c>
      <c r="H2935" s="5" t="s">
        <v>48</v>
      </c>
      <c r="I2935" s="5" t="s">
        <v>40</v>
      </c>
      <c r="J2935" s="5" t="s">
        <v>49</v>
      </c>
      <c r="K2935">
        <v>35</v>
      </c>
      <c r="L2935">
        <v>476074</v>
      </c>
      <c r="M2935" s="26">
        <v>16662590</v>
      </c>
      <c r="N2935">
        <v>21846</v>
      </c>
      <c r="O2935" s="26">
        <v>2351187.16</v>
      </c>
      <c r="P2935" s="5" t="s">
        <v>42</v>
      </c>
      <c r="Q2935" s="5" t="s">
        <v>43</v>
      </c>
      <c r="R2935">
        <v>4.2</v>
      </c>
      <c r="S2935">
        <v>5</v>
      </c>
      <c r="T2935">
        <f t="shared" si="45"/>
        <v>1</v>
      </c>
    </row>
    <row r="2936" spans="1:20">
      <c r="A2936" s="4">
        <v>45967</v>
      </c>
      <c r="B2936">
        <v>2025</v>
      </c>
      <c r="C2936">
        <v>11</v>
      </c>
      <c r="D2936" s="5" t="s">
        <v>44</v>
      </c>
      <c r="E2936" s="5" t="s">
        <v>82</v>
      </c>
      <c r="F2936" s="5" t="s">
        <v>83</v>
      </c>
      <c r="G2936" s="5" t="s">
        <v>84</v>
      </c>
      <c r="H2936" s="5" t="s">
        <v>63</v>
      </c>
      <c r="I2936" s="5" t="s">
        <v>64</v>
      </c>
      <c r="J2936" s="5" t="s">
        <v>41</v>
      </c>
      <c r="K2936">
        <v>27</v>
      </c>
      <c r="L2936">
        <v>742486</v>
      </c>
      <c r="M2936" s="26">
        <v>20047122</v>
      </c>
      <c r="N2936">
        <v>38208</v>
      </c>
      <c r="O2936" s="26">
        <v>2948025.99</v>
      </c>
      <c r="P2936" s="5" t="s">
        <v>42</v>
      </c>
      <c r="Q2936" s="5" t="s">
        <v>51</v>
      </c>
      <c r="R2936">
        <v>3.7</v>
      </c>
      <c r="S2936">
        <v>4</v>
      </c>
      <c r="T2936">
        <f t="shared" si="45"/>
        <v>1</v>
      </c>
    </row>
    <row r="2937" spans="1:20">
      <c r="A2937" s="4">
        <v>45964</v>
      </c>
      <c r="B2937">
        <v>2025</v>
      </c>
      <c r="C2937">
        <v>11</v>
      </c>
      <c r="D2937" s="5" t="s">
        <v>35</v>
      </c>
      <c r="E2937" s="5" t="s">
        <v>76</v>
      </c>
      <c r="F2937" s="5" t="s">
        <v>77</v>
      </c>
      <c r="G2937" s="5" t="s">
        <v>78</v>
      </c>
      <c r="H2937" s="5" t="s">
        <v>65</v>
      </c>
      <c r="I2937" s="5" t="s">
        <v>53</v>
      </c>
      <c r="J2937" s="5" t="s">
        <v>49</v>
      </c>
      <c r="K2937">
        <v>14</v>
      </c>
      <c r="L2937">
        <v>1237068</v>
      </c>
      <c r="M2937" s="26">
        <v>17318952</v>
      </c>
      <c r="N2937">
        <v>48402</v>
      </c>
      <c r="O2937" s="26">
        <v>1567628.94</v>
      </c>
      <c r="P2937" s="5" t="s">
        <v>50</v>
      </c>
      <c r="Q2937" s="5" t="s">
        <v>51</v>
      </c>
      <c r="R2937">
        <v>3.8</v>
      </c>
      <c r="S2937">
        <v>10</v>
      </c>
      <c r="T2937">
        <f t="shared" si="45"/>
        <v>0</v>
      </c>
    </row>
    <row r="2938" spans="1:20">
      <c r="A2938" s="4">
        <v>45978</v>
      </c>
      <c r="B2938">
        <v>2025</v>
      </c>
      <c r="C2938">
        <v>11</v>
      </c>
      <c r="D2938" s="5" t="s">
        <v>54</v>
      </c>
      <c r="E2938" s="5" t="s">
        <v>70</v>
      </c>
      <c r="F2938" s="5" t="s">
        <v>71</v>
      </c>
      <c r="G2938" s="5" t="s">
        <v>72</v>
      </c>
      <c r="H2938" s="5" t="s">
        <v>65</v>
      </c>
      <c r="I2938" s="5" t="s">
        <v>53</v>
      </c>
      <c r="J2938" s="5" t="s">
        <v>49</v>
      </c>
      <c r="K2938">
        <v>52</v>
      </c>
      <c r="L2938">
        <v>1279422</v>
      </c>
      <c r="M2938" s="26">
        <v>66529944</v>
      </c>
      <c r="N2938">
        <v>47721</v>
      </c>
      <c r="O2938" s="26">
        <v>6015129.6299999999</v>
      </c>
      <c r="P2938" s="5" t="s">
        <v>42</v>
      </c>
      <c r="Q2938" s="5" t="s">
        <v>75</v>
      </c>
      <c r="R2938">
        <v>4.5999999999999996</v>
      </c>
      <c r="S2938">
        <v>14</v>
      </c>
      <c r="T2938">
        <f t="shared" si="45"/>
        <v>1</v>
      </c>
    </row>
    <row r="2939" spans="1:20">
      <c r="A2939" s="4">
        <v>45969</v>
      </c>
      <c r="B2939">
        <v>2025</v>
      </c>
      <c r="C2939">
        <v>11</v>
      </c>
      <c r="D2939" s="5" t="s">
        <v>44</v>
      </c>
      <c r="E2939" s="5" t="s">
        <v>45</v>
      </c>
      <c r="F2939" s="5" t="s">
        <v>46</v>
      </c>
      <c r="G2939" s="5" t="s">
        <v>47</v>
      </c>
      <c r="H2939" s="5" t="s">
        <v>73</v>
      </c>
      <c r="I2939" s="5" t="s">
        <v>40</v>
      </c>
      <c r="J2939" s="5" t="s">
        <v>49</v>
      </c>
      <c r="K2939">
        <v>46</v>
      </c>
      <c r="L2939">
        <v>697607</v>
      </c>
      <c r="M2939" s="26">
        <v>32089922</v>
      </c>
      <c r="N2939">
        <v>43650</v>
      </c>
      <c r="O2939" s="26">
        <v>5103431.8899999997</v>
      </c>
      <c r="P2939" s="5" t="s">
        <v>50</v>
      </c>
      <c r="Q2939" s="5" t="s">
        <v>51</v>
      </c>
      <c r="R2939">
        <v>3.9</v>
      </c>
      <c r="S2939">
        <v>3</v>
      </c>
      <c r="T2939">
        <f t="shared" si="45"/>
        <v>0</v>
      </c>
    </row>
    <row r="2940" spans="1:20">
      <c r="A2940" s="4">
        <v>45989</v>
      </c>
      <c r="B2940">
        <v>2025</v>
      </c>
      <c r="C2940">
        <v>11</v>
      </c>
      <c r="D2940" s="5" t="s">
        <v>35</v>
      </c>
      <c r="E2940" s="5" t="s">
        <v>76</v>
      </c>
      <c r="F2940" s="5" t="s">
        <v>77</v>
      </c>
      <c r="G2940" s="5" t="s">
        <v>78</v>
      </c>
      <c r="H2940" s="5" t="s">
        <v>73</v>
      </c>
      <c r="I2940" s="5" t="s">
        <v>40</v>
      </c>
      <c r="J2940" s="5" t="s">
        <v>49</v>
      </c>
      <c r="K2940">
        <v>34</v>
      </c>
      <c r="L2940">
        <v>716006</v>
      </c>
      <c r="M2940" s="26">
        <v>24344204</v>
      </c>
      <c r="N2940">
        <v>16950</v>
      </c>
      <c r="O2940" s="26">
        <v>3402976.87</v>
      </c>
      <c r="P2940" s="5" t="s">
        <v>50</v>
      </c>
      <c r="Q2940" s="5" t="s">
        <v>51</v>
      </c>
      <c r="R2940">
        <v>4.0999999999999996</v>
      </c>
      <c r="S2940">
        <v>6</v>
      </c>
      <c r="T2940">
        <f t="shared" si="45"/>
        <v>0</v>
      </c>
    </row>
    <row r="2941" spans="1:20">
      <c r="A2941" s="4">
        <v>45978</v>
      </c>
      <c r="B2941">
        <v>2025</v>
      </c>
      <c r="C2941">
        <v>11</v>
      </c>
      <c r="D2941" s="5" t="s">
        <v>66</v>
      </c>
      <c r="E2941" s="5" t="s">
        <v>67</v>
      </c>
      <c r="F2941" s="5" t="s">
        <v>68</v>
      </c>
      <c r="G2941" s="5" t="s">
        <v>69</v>
      </c>
      <c r="H2941" s="5" t="s">
        <v>39</v>
      </c>
      <c r="I2941" s="5" t="s">
        <v>40</v>
      </c>
      <c r="J2941" s="5" t="s">
        <v>41</v>
      </c>
      <c r="K2941">
        <v>24</v>
      </c>
      <c r="L2941">
        <v>577031</v>
      </c>
      <c r="M2941" s="26">
        <v>13848744</v>
      </c>
      <c r="N2941">
        <v>7860</v>
      </c>
      <c r="O2941" s="26">
        <v>1253683.31</v>
      </c>
      <c r="P2941" s="5" t="s">
        <v>50</v>
      </c>
      <c r="Q2941" s="5" t="s">
        <v>75</v>
      </c>
      <c r="R2941">
        <v>4.4000000000000004</v>
      </c>
      <c r="S2941">
        <v>8</v>
      </c>
      <c r="T2941">
        <f t="shared" si="45"/>
        <v>0</v>
      </c>
    </row>
    <row r="2942" spans="1:20">
      <c r="A2942" s="4">
        <v>45972</v>
      </c>
      <c r="B2942">
        <v>2025</v>
      </c>
      <c r="C2942">
        <v>11</v>
      </c>
      <c r="D2942" s="5" t="s">
        <v>44</v>
      </c>
      <c r="E2942" s="5" t="s">
        <v>45</v>
      </c>
      <c r="F2942" s="5" t="s">
        <v>46</v>
      </c>
      <c r="G2942" s="5" t="s">
        <v>47</v>
      </c>
      <c r="H2942" s="5" t="s">
        <v>57</v>
      </c>
      <c r="I2942" s="5" t="s">
        <v>58</v>
      </c>
      <c r="J2942" s="5" t="s">
        <v>59</v>
      </c>
      <c r="K2942">
        <v>55</v>
      </c>
      <c r="L2942">
        <v>1412582</v>
      </c>
      <c r="M2942" s="26">
        <v>77692010</v>
      </c>
      <c r="N2942">
        <v>39767</v>
      </c>
      <c r="O2942" s="26">
        <v>7632268.5300000003</v>
      </c>
      <c r="P2942" s="5" t="s">
        <v>50</v>
      </c>
      <c r="Q2942" s="5" t="s">
        <v>43</v>
      </c>
      <c r="R2942">
        <v>4.4000000000000004</v>
      </c>
      <c r="S2942">
        <v>10</v>
      </c>
      <c r="T2942">
        <f t="shared" si="45"/>
        <v>0</v>
      </c>
    </row>
    <row r="2943" spans="1:20">
      <c r="A2943" s="4">
        <v>45973</v>
      </c>
      <c r="B2943">
        <v>2025</v>
      </c>
      <c r="C2943">
        <v>11</v>
      </c>
      <c r="D2943" s="5" t="s">
        <v>54</v>
      </c>
      <c r="E2943" s="5" t="s">
        <v>55</v>
      </c>
      <c r="F2943" s="5" t="s">
        <v>55</v>
      </c>
      <c r="G2943" s="5" t="s">
        <v>56</v>
      </c>
      <c r="H2943" s="5" t="s">
        <v>52</v>
      </c>
      <c r="I2943" s="5" t="s">
        <v>53</v>
      </c>
      <c r="J2943" s="5" t="s">
        <v>41</v>
      </c>
      <c r="K2943">
        <v>13</v>
      </c>
      <c r="L2943">
        <v>940320</v>
      </c>
      <c r="M2943" s="26">
        <v>12224160</v>
      </c>
      <c r="N2943">
        <v>19679</v>
      </c>
      <c r="O2943" s="26">
        <v>1558975.79</v>
      </c>
      <c r="P2943" s="5" t="s">
        <v>42</v>
      </c>
      <c r="Q2943" s="5" t="s">
        <v>75</v>
      </c>
      <c r="R2943">
        <v>4.5</v>
      </c>
      <c r="S2943">
        <v>6</v>
      </c>
      <c r="T2943">
        <f t="shared" si="45"/>
        <v>1</v>
      </c>
    </row>
    <row r="2944" spans="1:20">
      <c r="A2944" s="4">
        <v>45972</v>
      </c>
      <c r="B2944">
        <v>2025</v>
      </c>
      <c r="C2944">
        <v>11</v>
      </c>
      <c r="D2944" s="5" t="s">
        <v>35</v>
      </c>
      <c r="E2944" s="5" t="s">
        <v>76</v>
      </c>
      <c r="F2944" s="5" t="s">
        <v>77</v>
      </c>
      <c r="G2944" s="5" t="s">
        <v>78</v>
      </c>
      <c r="H2944" s="5" t="s">
        <v>57</v>
      </c>
      <c r="I2944" s="5" t="s">
        <v>58</v>
      </c>
      <c r="J2944" s="5" t="s">
        <v>59</v>
      </c>
      <c r="K2944">
        <v>14</v>
      </c>
      <c r="L2944">
        <v>1414581</v>
      </c>
      <c r="M2944" s="26">
        <v>19804134</v>
      </c>
      <c r="N2944">
        <v>14239</v>
      </c>
      <c r="O2944" s="26">
        <v>1715906.03</v>
      </c>
      <c r="P2944" s="5" t="s">
        <v>50</v>
      </c>
      <c r="Q2944" s="5" t="s">
        <v>43</v>
      </c>
      <c r="R2944">
        <v>4.9000000000000004</v>
      </c>
      <c r="S2944">
        <v>14</v>
      </c>
      <c r="T2944">
        <f t="shared" si="45"/>
        <v>0</v>
      </c>
    </row>
    <row r="2945" spans="1:20">
      <c r="A2945" s="4">
        <v>45984</v>
      </c>
      <c r="B2945">
        <v>2025</v>
      </c>
      <c r="C2945">
        <v>11</v>
      </c>
      <c r="D2945" s="5" t="s">
        <v>35</v>
      </c>
      <c r="E2945" s="5" t="s">
        <v>76</v>
      </c>
      <c r="F2945" s="5" t="s">
        <v>77</v>
      </c>
      <c r="G2945" s="5" t="s">
        <v>78</v>
      </c>
      <c r="H2945" s="5" t="s">
        <v>85</v>
      </c>
      <c r="I2945" s="5" t="s">
        <v>58</v>
      </c>
      <c r="J2945" s="5" t="s">
        <v>49</v>
      </c>
      <c r="K2945">
        <v>54</v>
      </c>
      <c r="L2945">
        <v>1000394</v>
      </c>
      <c r="M2945" s="26">
        <v>54021276</v>
      </c>
      <c r="N2945">
        <v>13539</v>
      </c>
      <c r="O2945" s="26">
        <v>4551411.6500000004</v>
      </c>
      <c r="P2945" s="5" t="s">
        <v>42</v>
      </c>
      <c r="Q2945" s="5" t="s">
        <v>75</v>
      </c>
      <c r="R2945">
        <v>4.0999999999999996</v>
      </c>
      <c r="S2945">
        <v>19</v>
      </c>
      <c r="T2945">
        <f t="shared" si="45"/>
        <v>1</v>
      </c>
    </row>
    <row r="2946" spans="1:20">
      <c r="A2946" s="4">
        <v>45980</v>
      </c>
      <c r="B2946">
        <v>2025</v>
      </c>
      <c r="C2946">
        <v>11</v>
      </c>
      <c r="D2946" s="5" t="s">
        <v>54</v>
      </c>
      <c r="E2946" s="5" t="s">
        <v>70</v>
      </c>
      <c r="F2946" s="5" t="s">
        <v>71</v>
      </c>
      <c r="G2946" s="5" t="s">
        <v>72</v>
      </c>
      <c r="H2946" s="5" t="s">
        <v>80</v>
      </c>
      <c r="I2946" s="5" t="s">
        <v>81</v>
      </c>
      <c r="J2946" s="5" t="s">
        <v>41</v>
      </c>
      <c r="K2946">
        <v>13</v>
      </c>
      <c r="L2946">
        <v>530965</v>
      </c>
      <c r="M2946" s="26">
        <v>6902545</v>
      </c>
      <c r="N2946">
        <v>41637</v>
      </c>
      <c r="O2946" s="26">
        <v>771350.75</v>
      </c>
      <c r="P2946" s="5" t="s">
        <v>50</v>
      </c>
      <c r="Q2946" s="5" t="s">
        <v>75</v>
      </c>
      <c r="R2946">
        <v>4.2</v>
      </c>
      <c r="S2946">
        <v>11</v>
      </c>
      <c r="T2946">
        <f t="shared" ref="T2946:T3001" si="46">IF(AND(OR($B2946=Sel_Year,Sel_Year="All"),OR($C2946=Sel_Month,Sel_Month="All"),OR($D2946=Sel_Region,Sel_Region="All"),OR($E2946=Sel_State,Sel_State="All"),OR($F2946=Sel_City,Sel_City="All"),OR($G2946=Sel_Dealer,Sel_Dealer="All"),OR($H2946=Sel_Model,Sel_Model="All"),OR($I2946=Sel_Segment,Sel_Segment="All"),OR($J2946=Sel_Fuel,Sel_Fuel="All"),OR($P2946=Sel_CustType,Sel_CustType="All"),OR($Q2946=Sel_Payment,Sel_Payment="All")),1,0)</f>
        <v>0</v>
      </c>
    </row>
    <row r="2947" spans="1:20">
      <c r="A2947" s="4">
        <v>45987</v>
      </c>
      <c r="B2947">
        <v>2025</v>
      </c>
      <c r="C2947">
        <v>11</v>
      </c>
      <c r="D2947" s="5" t="s">
        <v>54</v>
      </c>
      <c r="E2947" s="5" t="s">
        <v>55</v>
      </c>
      <c r="F2947" s="5" t="s">
        <v>55</v>
      </c>
      <c r="G2947" s="5" t="s">
        <v>56</v>
      </c>
      <c r="H2947" s="5" t="s">
        <v>74</v>
      </c>
      <c r="I2947" s="5" t="s">
        <v>40</v>
      </c>
      <c r="J2947" s="5" t="s">
        <v>49</v>
      </c>
      <c r="K2947">
        <v>24</v>
      </c>
      <c r="L2947">
        <v>642919</v>
      </c>
      <c r="M2947" s="26">
        <v>15430056</v>
      </c>
      <c r="N2947">
        <v>49372</v>
      </c>
      <c r="O2947" s="26">
        <v>2319421.52</v>
      </c>
      <c r="P2947" s="5" t="s">
        <v>42</v>
      </c>
      <c r="Q2947" s="5" t="s">
        <v>75</v>
      </c>
      <c r="R2947">
        <v>4.0999999999999996</v>
      </c>
      <c r="S2947">
        <v>17</v>
      </c>
      <c r="T2947">
        <f t="shared" si="46"/>
        <v>1</v>
      </c>
    </row>
    <row r="2948" spans="1:20">
      <c r="A2948" s="4">
        <v>45984</v>
      </c>
      <c r="B2948">
        <v>2025</v>
      </c>
      <c r="C2948">
        <v>11</v>
      </c>
      <c r="D2948" s="5" t="s">
        <v>54</v>
      </c>
      <c r="E2948" s="5" t="s">
        <v>55</v>
      </c>
      <c r="F2948" s="5" t="s">
        <v>55</v>
      </c>
      <c r="G2948" s="5" t="s">
        <v>56</v>
      </c>
      <c r="H2948" s="5" t="s">
        <v>73</v>
      </c>
      <c r="I2948" s="5" t="s">
        <v>40</v>
      </c>
      <c r="J2948" s="5" t="s">
        <v>49</v>
      </c>
      <c r="K2948">
        <v>57</v>
      </c>
      <c r="L2948">
        <v>704470</v>
      </c>
      <c r="M2948" s="26">
        <v>40154790</v>
      </c>
      <c r="N2948">
        <v>37589</v>
      </c>
      <c r="O2948" s="26">
        <v>4377672.5599999996</v>
      </c>
      <c r="P2948" s="5" t="s">
        <v>42</v>
      </c>
      <c r="Q2948" s="5" t="s">
        <v>43</v>
      </c>
      <c r="R2948">
        <v>4.4000000000000004</v>
      </c>
      <c r="S2948">
        <v>5</v>
      </c>
      <c r="T2948">
        <f t="shared" si="46"/>
        <v>1</v>
      </c>
    </row>
    <row r="2949" spans="1:20">
      <c r="A2949" s="4">
        <v>45977</v>
      </c>
      <c r="B2949">
        <v>2025</v>
      </c>
      <c r="C2949">
        <v>11</v>
      </c>
      <c r="D2949" s="5" t="s">
        <v>44</v>
      </c>
      <c r="E2949" s="5" t="s">
        <v>82</v>
      </c>
      <c r="F2949" s="5" t="s">
        <v>83</v>
      </c>
      <c r="G2949" s="5" t="s">
        <v>84</v>
      </c>
      <c r="H2949" s="5" t="s">
        <v>39</v>
      </c>
      <c r="I2949" s="5" t="s">
        <v>40</v>
      </c>
      <c r="J2949" s="5" t="s">
        <v>41</v>
      </c>
      <c r="K2949">
        <v>43</v>
      </c>
      <c r="L2949">
        <v>590926</v>
      </c>
      <c r="M2949" s="26">
        <v>25409818</v>
      </c>
      <c r="N2949">
        <v>23673</v>
      </c>
      <c r="O2949" s="26">
        <v>3137446.28</v>
      </c>
      <c r="P2949" s="5" t="s">
        <v>50</v>
      </c>
      <c r="Q2949" s="5" t="s">
        <v>75</v>
      </c>
      <c r="R2949">
        <v>3.9</v>
      </c>
      <c r="S2949">
        <v>3</v>
      </c>
      <c r="T2949">
        <f t="shared" si="46"/>
        <v>0</v>
      </c>
    </row>
    <row r="2950" spans="1:20">
      <c r="A2950" s="4">
        <v>45971</v>
      </c>
      <c r="B2950">
        <v>2025</v>
      </c>
      <c r="C2950">
        <v>11</v>
      </c>
      <c r="D2950" s="5" t="s">
        <v>54</v>
      </c>
      <c r="E2950" s="5" t="s">
        <v>55</v>
      </c>
      <c r="F2950" s="5" t="s">
        <v>55</v>
      </c>
      <c r="G2950" s="5" t="s">
        <v>56</v>
      </c>
      <c r="H2950" s="5" t="s">
        <v>80</v>
      </c>
      <c r="I2950" s="5" t="s">
        <v>81</v>
      </c>
      <c r="J2950" s="5" t="s">
        <v>41</v>
      </c>
      <c r="K2950">
        <v>49</v>
      </c>
      <c r="L2950">
        <v>538163</v>
      </c>
      <c r="M2950" s="26">
        <v>26369987</v>
      </c>
      <c r="N2950">
        <v>35190</v>
      </c>
      <c r="O2950" s="26">
        <v>3326874.31</v>
      </c>
      <c r="P2950" s="5" t="s">
        <v>42</v>
      </c>
      <c r="Q2950" s="5" t="s">
        <v>43</v>
      </c>
      <c r="R2950">
        <v>3.9</v>
      </c>
      <c r="S2950">
        <v>5</v>
      </c>
      <c r="T2950">
        <f t="shared" si="46"/>
        <v>1</v>
      </c>
    </row>
    <row r="2951" spans="1:20">
      <c r="A2951" s="4">
        <v>45967</v>
      </c>
      <c r="B2951">
        <v>2025</v>
      </c>
      <c r="C2951">
        <v>11</v>
      </c>
      <c r="D2951" s="5" t="s">
        <v>66</v>
      </c>
      <c r="E2951" s="5" t="s">
        <v>67</v>
      </c>
      <c r="F2951" s="5" t="s">
        <v>68</v>
      </c>
      <c r="G2951" s="5" t="s">
        <v>69</v>
      </c>
      <c r="H2951" s="5" t="s">
        <v>48</v>
      </c>
      <c r="I2951" s="5" t="s">
        <v>40</v>
      </c>
      <c r="J2951" s="5" t="s">
        <v>49</v>
      </c>
      <c r="K2951">
        <v>60</v>
      </c>
      <c r="L2951">
        <v>455153</v>
      </c>
      <c r="M2951" s="26">
        <v>27309180</v>
      </c>
      <c r="N2951">
        <v>21936</v>
      </c>
      <c r="O2951" s="26">
        <v>3195957.34</v>
      </c>
      <c r="P2951" s="5" t="s">
        <v>50</v>
      </c>
      <c r="Q2951" s="5" t="s">
        <v>43</v>
      </c>
      <c r="R2951">
        <v>4.2</v>
      </c>
      <c r="S2951">
        <v>15</v>
      </c>
      <c r="T2951">
        <f t="shared" si="46"/>
        <v>0</v>
      </c>
    </row>
    <row r="2952" spans="1:20">
      <c r="A2952" s="4">
        <v>46014</v>
      </c>
      <c r="B2952">
        <v>2025</v>
      </c>
      <c r="C2952">
        <v>12</v>
      </c>
      <c r="D2952" s="5" t="s">
        <v>44</v>
      </c>
      <c r="E2952" s="5" t="s">
        <v>82</v>
      </c>
      <c r="F2952" s="5" t="s">
        <v>83</v>
      </c>
      <c r="G2952" s="5" t="s">
        <v>84</v>
      </c>
      <c r="H2952" s="5" t="s">
        <v>85</v>
      </c>
      <c r="I2952" s="5" t="s">
        <v>58</v>
      </c>
      <c r="J2952" s="5" t="s">
        <v>49</v>
      </c>
      <c r="K2952">
        <v>32</v>
      </c>
      <c r="L2952">
        <v>978475</v>
      </c>
      <c r="M2952" s="26">
        <v>31311200</v>
      </c>
      <c r="N2952">
        <v>27887</v>
      </c>
      <c r="O2952" s="26">
        <v>3126368.61</v>
      </c>
      <c r="P2952" s="5" t="s">
        <v>42</v>
      </c>
      <c r="Q2952" s="5" t="s">
        <v>51</v>
      </c>
      <c r="R2952">
        <v>4.4000000000000004</v>
      </c>
      <c r="S2952">
        <v>21</v>
      </c>
      <c r="T2952">
        <f t="shared" si="46"/>
        <v>1</v>
      </c>
    </row>
    <row r="2953" spans="1:20">
      <c r="A2953" s="4">
        <v>45993</v>
      </c>
      <c r="B2953">
        <v>2025</v>
      </c>
      <c r="C2953">
        <v>12</v>
      </c>
      <c r="D2953" s="5" t="s">
        <v>35</v>
      </c>
      <c r="E2953" s="5" t="s">
        <v>60</v>
      </c>
      <c r="F2953" s="5" t="s">
        <v>61</v>
      </c>
      <c r="G2953" s="5" t="s">
        <v>62</v>
      </c>
      <c r="H2953" s="5" t="s">
        <v>63</v>
      </c>
      <c r="I2953" s="5" t="s">
        <v>64</v>
      </c>
      <c r="J2953" s="5" t="s">
        <v>41</v>
      </c>
      <c r="K2953">
        <v>19</v>
      </c>
      <c r="L2953">
        <v>747887</v>
      </c>
      <c r="M2953" s="26">
        <v>14209853</v>
      </c>
      <c r="N2953">
        <v>7568</v>
      </c>
      <c r="O2953" s="26">
        <v>2113807.42</v>
      </c>
      <c r="P2953" s="5" t="s">
        <v>42</v>
      </c>
      <c r="Q2953" s="5" t="s">
        <v>43</v>
      </c>
      <c r="R2953">
        <v>3.6</v>
      </c>
      <c r="S2953">
        <v>7</v>
      </c>
      <c r="T2953">
        <f t="shared" si="46"/>
        <v>1</v>
      </c>
    </row>
    <row r="2954" spans="1:20">
      <c r="A2954" s="4">
        <v>46017</v>
      </c>
      <c r="B2954">
        <v>2025</v>
      </c>
      <c r="C2954">
        <v>12</v>
      </c>
      <c r="D2954" s="5" t="s">
        <v>44</v>
      </c>
      <c r="E2954" s="5" t="s">
        <v>45</v>
      </c>
      <c r="F2954" s="5" t="s">
        <v>46</v>
      </c>
      <c r="G2954" s="5" t="s">
        <v>47</v>
      </c>
      <c r="H2954" s="5" t="s">
        <v>52</v>
      </c>
      <c r="I2954" s="5" t="s">
        <v>53</v>
      </c>
      <c r="J2954" s="5" t="s">
        <v>41</v>
      </c>
      <c r="K2954">
        <v>25</v>
      </c>
      <c r="L2954">
        <v>956939</v>
      </c>
      <c r="M2954" s="26">
        <v>23923475</v>
      </c>
      <c r="N2954">
        <v>10770</v>
      </c>
      <c r="O2954" s="26">
        <v>3526826.84</v>
      </c>
      <c r="P2954" s="5" t="s">
        <v>42</v>
      </c>
      <c r="Q2954" s="5" t="s">
        <v>75</v>
      </c>
      <c r="R2954">
        <v>3.9</v>
      </c>
      <c r="S2954">
        <v>12</v>
      </c>
      <c r="T2954">
        <f t="shared" si="46"/>
        <v>1</v>
      </c>
    </row>
    <row r="2955" spans="1:20">
      <c r="A2955" s="4">
        <v>45992</v>
      </c>
      <c r="B2955">
        <v>2025</v>
      </c>
      <c r="C2955">
        <v>12</v>
      </c>
      <c r="D2955" s="5" t="s">
        <v>44</v>
      </c>
      <c r="E2955" s="5" t="s">
        <v>82</v>
      </c>
      <c r="F2955" s="5" t="s">
        <v>83</v>
      </c>
      <c r="G2955" s="5" t="s">
        <v>84</v>
      </c>
      <c r="H2955" s="5" t="s">
        <v>65</v>
      </c>
      <c r="I2955" s="5" t="s">
        <v>53</v>
      </c>
      <c r="J2955" s="5" t="s">
        <v>49</v>
      </c>
      <c r="K2955">
        <v>14</v>
      </c>
      <c r="L2955">
        <v>1264527</v>
      </c>
      <c r="M2955" s="26">
        <v>17703378</v>
      </c>
      <c r="N2955">
        <v>40249</v>
      </c>
      <c r="O2955" s="26">
        <v>2765351.03</v>
      </c>
      <c r="P2955" s="5" t="s">
        <v>50</v>
      </c>
      <c r="Q2955" s="5" t="s">
        <v>43</v>
      </c>
      <c r="R2955">
        <v>4.4000000000000004</v>
      </c>
      <c r="S2955">
        <v>20</v>
      </c>
      <c r="T2955">
        <f t="shared" si="46"/>
        <v>0</v>
      </c>
    </row>
    <row r="2956" spans="1:20">
      <c r="A2956" s="4">
        <v>46002</v>
      </c>
      <c r="B2956">
        <v>2025</v>
      </c>
      <c r="C2956">
        <v>12</v>
      </c>
      <c r="D2956" s="5" t="s">
        <v>54</v>
      </c>
      <c r="E2956" s="5" t="s">
        <v>55</v>
      </c>
      <c r="F2956" s="5" t="s">
        <v>55</v>
      </c>
      <c r="G2956" s="5" t="s">
        <v>56</v>
      </c>
      <c r="H2956" s="5" t="s">
        <v>86</v>
      </c>
      <c r="I2956" s="5" t="s">
        <v>40</v>
      </c>
      <c r="J2956" s="5" t="s">
        <v>41</v>
      </c>
      <c r="K2956">
        <v>22</v>
      </c>
      <c r="L2956">
        <v>588317</v>
      </c>
      <c r="M2956" s="26">
        <v>12942974</v>
      </c>
      <c r="N2956">
        <v>47056</v>
      </c>
      <c r="O2956" s="26">
        <v>1125087.43</v>
      </c>
      <c r="P2956" s="5" t="s">
        <v>50</v>
      </c>
      <c r="Q2956" s="5" t="s">
        <v>51</v>
      </c>
      <c r="R2956">
        <v>4</v>
      </c>
      <c r="S2956">
        <v>13</v>
      </c>
      <c r="T2956">
        <f t="shared" si="46"/>
        <v>0</v>
      </c>
    </row>
    <row r="2957" spans="1:20">
      <c r="A2957" s="4">
        <v>46008</v>
      </c>
      <c r="B2957">
        <v>2025</v>
      </c>
      <c r="C2957">
        <v>12</v>
      </c>
      <c r="D2957" s="5" t="s">
        <v>66</v>
      </c>
      <c r="E2957" s="5" t="s">
        <v>67</v>
      </c>
      <c r="F2957" s="5" t="s">
        <v>68</v>
      </c>
      <c r="G2957" s="5" t="s">
        <v>69</v>
      </c>
      <c r="H2957" s="5" t="s">
        <v>39</v>
      </c>
      <c r="I2957" s="5" t="s">
        <v>40</v>
      </c>
      <c r="J2957" s="5" t="s">
        <v>41</v>
      </c>
      <c r="K2957">
        <v>21</v>
      </c>
      <c r="L2957">
        <v>557006</v>
      </c>
      <c r="M2957" s="26">
        <v>11697126</v>
      </c>
      <c r="N2957">
        <v>22397</v>
      </c>
      <c r="O2957" s="26">
        <v>1730891.96</v>
      </c>
      <c r="P2957" s="5" t="s">
        <v>50</v>
      </c>
      <c r="Q2957" s="5" t="s">
        <v>43</v>
      </c>
      <c r="R2957">
        <v>3.6</v>
      </c>
      <c r="S2957">
        <v>21</v>
      </c>
      <c r="T2957">
        <f t="shared" si="46"/>
        <v>0</v>
      </c>
    </row>
    <row r="2958" spans="1:20">
      <c r="A2958" s="4">
        <v>45993</v>
      </c>
      <c r="B2958">
        <v>2025</v>
      </c>
      <c r="C2958">
        <v>12</v>
      </c>
      <c r="D2958" s="5" t="s">
        <v>66</v>
      </c>
      <c r="E2958" s="5" t="s">
        <v>67</v>
      </c>
      <c r="F2958" s="5" t="s">
        <v>68</v>
      </c>
      <c r="G2958" s="5" t="s">
        <v>69</v>
      </c>
      <c r="H2958" s="5" t="s">
        <v>52</v>
      </c>
      <c r="I2958" s="5" t="s">
        <v>53</v>
      </c>
      <c r="J2958" s="5" t="s">
        <v>41</v>
      </c>
      <c r="K2958">
        <v>26</v>
      </c>
      <c r="L2958">
        <v>943560</v>
      </c>
      <c r="M2958" s="26">
        <v>24532560</v>
      </c>
      <c r="N2958">
        <v>35179</v>
      </c>
      <c r="O2958" s="26">
        <v>2951168.34</v>
      </c>
      <c r="P2958" s="5" t="s">
        <v>42</v>
      </c>
      <c r="Q2958" s="5" t="s">
        <v>75</v>
      </c>
      <c r="R2958">
        <v>3.8</v>
      </c>
      <c r="S2958">
        <v>6</v>
      </c>
      <c r="T2958">
        <f t="shared" si="46"/>
        <v>1</v>
      </c>
    </row>
    <row r="2959" spans="1:20">
      <c r="A2959" s="4">
        <v>46002</v>
      </c>
      <c r="B2959">
        <v>2025</v>
      </c>
      <c r="C2959">
        <v>12</v>
      </c>
      <c r="D2959" s="5" t="s">
        <v>44</v>
      </c>
      <c r="E2959" s="5" t="s">
        <v>45</v>
      </c>
      <c r="F2959" s="5" t="s">
        <v>46</v>
      </c>
      <c r="G2959" s="5" t="s">
        <v>47</v>
      </c>
      <c r="H2959" s="5" t="s">
        <v>73</v>
      </c>
      <c r="I2959" s="5" t="s">
        <v>40</v>
      </c>
      <c r="J2959" s="5" t="s">
        <v>49</v>
      </c>
      <c r="K2959">
        <v>33</v>
      </c>
      <c r="L2959">
        <v>698042</v>
      </c>
      <c r="M2959" s="26">
        <v>23035386</v>
      </c>
      <c r="N2959">
        <v>43824</v>
      </c>
      <c r="O2959" s="26">
        <v>3082013.54</v>
      </c>
      <c r="P2959" s="5" t="s">
        <v>42</v>
      </c>
      <c r="Q2959" s="5" t="s">
        <v>75</v>
      </c>
      <c r="R2959">
        <v>5</v>
      </c>
      <c r="S2959">
        <v>21</v>
      </c>
      <c r="T2959">
        <f t="shared" si="46"/>
        <v>1</v>
      </c>
    </row>
    <row r="2960" spans="1:20">
      <c r="A2960" s="4">
        <v>46003</v>
      </c>
      <c r="B2960">
        <v>2025</v>
      </c>
      <c r="C2960">
        <v>12</v>
      </c>
      <c r="D2960" s="5" t="s">
        <v>54</v>
      </c>
      <c r="E2960" s="5" t="s">
        <v>70</v>
      </c>
      <c r="F2960" s="5" t="s">
        <v>71</v>
      </c>
      <c r="G2960" s="5" t="s">
        <v>72</v>
      </c>
      <c r="H2960" s="5" t="s">
        <v>65</v>
      </c>
      <c r="I2960" s="5" t="s">
        <v>53</v>
      </c>
      <c r="J2960" s="5" t="s">
        <v>49</v>
      </c>
      <c r="K2960">
        <v>41</v>
      </c>
      <c r="L2960">
        <v>1242830</v>
      </c>
      <c r="M2960" s="26">
        <v>50956030</v>
      </c>
      <c r="N2960">
        <v>20582</v>
      </c>
      <c r="O2960" s="26">
        <v>5740988.4299999997</v>
      </c>
      <c r="P2960" s="5" t="s">
        <v>42</v>
      </c>
      <c r="Q2960" s="5" t="s">
        <v>75</v>
      </c>
      <c r="R2960">
        <v>4.0999999999999996</v>
      </c>
      <c r="S2960">
        <v>10</v>
      </c>
      <c r="T2960">
        <f t="shared" si="46"/>
        <v>1</v>
      </c>
    </row>
    <row r="2961" spans="1:20">
      <c r="A2961" s="4">
        <v>46015</v>
      </c>
      <c r="B2961">
        <v>2025</v>
      </c>
      <c r="C2961">
        <v>12</v>
      </c>
      <c r="D2961" s="5" t="s">
        <v>44</v>
      </c>
      <c r="E2961" s="5" t="s">
        <v>45</v>
      </c>
      <c r="F2961" s="5" t="s">
        <v>46</v>
      </c>
      <c r="G2961" s="5" t="s">
        <v>47</v>
      </c>
      <c r="H2961" s="5" t="s">
        <v>79</v>
      </c>
      <c r="I2961" s="5" t="s">
        <v>58</v>
      </c>
      <c r="J2961" s="5" t="s">
        <v>49</v>
      </c>
      <c r="K2961">
        <v>7</v>
      </c>
      <c r="L2961">
        <v>911040</v>
      </c>
      <c r="M2961" s="26">
        <v>6377280</v>
      </c>
      <c r="N2961">
        <v>37541</v>
      </c>
      <c r="O2961" s="26">
        <v>888645.15</v>
      </c>
      <c r="P2961" s="5" t="s">
        <v>50</v>
      </c>
      <c r="Q2961" s="5" t="s">
        <v>43</v>
      </c>
      <c r="R2961">
        <v>4.9000000000000004</v>
      </c>
      <c r="S2961">
        <v>21</v>
      </c>
      <c r="T2961">
        <f t="shared" si="46"/>
        <v>0</v>
      </c>
    </row>
    <row r="2962" spans="1:20">
      <c r="A2962" s="4">
        <v>46001</v>
      </c>
      <c r="B2962">
        <v>2025</v>
      </c>
      <c r="C2962">
        <v>12</v>
      </c>
      <c r="D2962" s="5" t="s">
        <v>54</v>
      </c>
      <c r="E2962" s="5" t="s">
        <v>55</v>
      </c>
      <c r="F2962" s="5" t="s">
        <v>55</v>
      </c>
      <c r="G2962" s="5" t="s">
        <v>56</v>
      </c>
      <c r="H2962" s="5" t="s">
        <v>86</v>
      </c>
      <c r="I2962" s="5" t="s">
        <v>40</v>
      </c>
      <c r="J2962" s="5" t="s">
        <v>41</v>
      </c>
      <c r="K2962">
        <v>11</v>
      </c>
      <c r="L2962">
        <v>609738</v>
      </c>
      <c r="M2962" s="26">
        <v>6707118</v>
      </c>
      <c r="N2962">
        <v>13675</v>
      </c>
      <c r="O2962" s="26">
        <v>544264.56999999995</v>
      </c>
      <c r="P2962" s="5" t="s">
        <v>50</v>
      </c>
      <c r="Q2962" s="5" t="s">
        <v>43</v>
      </c>
      <c r="R2962">
        <v>4.9000000000000004</v>
      </c>
      <c r="S2962">
        <v>3</v>
      </c>
      <c r="T2962">
        <f t="shared" si="46"/>
        <v>0</v>
      </c>
    </row>
    <row r="2963" spans="1:20">
      <c r="A2963" s="4">
        <v>45992</v>
      </c>
      <c r="B2963">
        <v>2025</v>
      </c>
      <c r="C2963">
        <v>12</v>
      </c>
      <c r="D2963" s="5" t="s">
        <v>35</v>
      </c>
      <c r="E2963" s="5" t="s">
        <v>76</v>
      </c>
      <c r="F2963" s="5" t="s">
        <v>77</v>
      </c>
      <c r="G2963" s="5" t="s">
        <v>78</v>
      </c>
      <c r="H2963" s="5" t="s">
        <v>57</v>
      </c>
      <c r="I2963" s="5" t="s">
        <v>58</v>
      </c>
      <c r="J2963" s="5" t="s">
        <v>59</v>
      </c>
      <c r="K2963">
        <v>9</v>
      </c>
      <c r="L2963">
        <v>1373430</v>
      </c>
      <c r="M2963" s="26">
        <v>12360870</v>
      </c>
      <c r="N2963">
        <v>6137</v>
      </c>
      <c r="O2963" s="26">
        <v>1762080.29</v>
      </c>
      <c r="P2963" s="5" t="s">
        <v>50</v>
      </c>
      <c r="Q2963" s="5" t="s">
        <v>75</v>
      </c>
      <c r="R2963">
        <v>4.0999999999999996</v>
      </c>
      <c r="S2963">
        <v>7</v>
      </c>
      <c r="T2963">
        <f t="shared" si="46"/>
        <v>0</v>
      </c>
    </row>
    <row r="2964" spans="1:20">
      <c r="A2964" s="4">
        <v>45999</v>
      </c>
      <c r="B2964">
        <v>2025</v>
      </c>
      <c r="C2964">
        <v>12</v>
      </c>
      <c r="D2964" s="5" t="s">
        <v>35</v>
      </c>
      <c r="E2964" s="5" t="s">
        <v>36</v>
      </c>
      <c r="F2964" s="5" t="s">
        <v>37</v>
      </c>
      <c r="G2964" s="5" t="s">
        <v>38</v>
      </c>
      <c r="H2964" s="5" t="s">
        <v>86</v>
      </c>
      <c r="I2964" s="5" t="s">
        <v>40</v>
      </c>
      <c r="J2964" s="5" t="s">
        <v>41</v>
      </c>
      <c r="K2964">
        <v>44</v>
      </c>
      <c r="L2964">
        <v>604926</v>
      </c>
      <c r="M2964" s="26">
        <v>26616744</v>
      </c>
      <c r="N2964">
        <v>10202</v>
      </c>
      <c r="O2964" s="26">
        <v>2203354.79</v>
      </c>
      <c r="P2964" s="5" t="s">
        <v>42</v>
      </c>
      <c r="Q2964" s="5" t="s">
        <v>75</v>
      </c>
      <c r="R2964">
        <v>5</v>
      </c>
      <c r="S2964">
        <v>4</v>
      </c>
      <c r="T2964">
        <f t="shared" si="46"/>
        <v>1</v>
      </c>
    </row>
    <row r="2965" spans="1:20">
      <c r="A2965" s="4">
        <v>45992</v>
      </c>
      <c r="B2965">
        <v>2025</v>
      </c>
      <c r="C2965">
        <v>12</v>
      </c>
      <c r="D2965" s="5" t="s">
        <v>35</v>
      </c>
      <c r="E2965" s="5" t="s">
        <v>76</v>
      </c>
      <c r="F2965" s="5" t="s">
        <v>77</v>
      </c>
      <c r="G2965" s="5" t="s">
        <v>78</v>
      </c>
      <c r="H2965" s="5" t="s">
        <v>80</v>
      </c>
      <c r="I2965" s="5" t="s">
        <v>81</v>
      </c>
      <c r="J2965" s="5" t="s">
        <v>41</v>
      </c>
      <c r="K2965">
        <v>11</v>
      </c>
      <c r="L2965">
        <v>568589</v>
      </c>
      <c r="M2965" s="26">
        <v>6254479</v>
      </c>
      <c r="N2965">
        <v>16257</v>
      </c>
      <c r="O2965" s="26">
        <v>946888.43</v>
      </c>
      <c r="P2965" s="5" t="s">
        <v>50</v>
      </c>
      <c r="Q2965" s="5" t="s">
        <v>51</v>
      </c>
      <c r="R2965">
        <v>4.8</v>
      </c>
      <c r="S2965">
        <v>17</v>
      </c>
      <c r="T2965">
        <f t="shared" si="46"/>
        <v>0</v>
      </c>
    </row>
    <row r="2966" spans="1:20">
      <c r="A2966" s="4">
        <v>46015</v>
      </c>
      <c r="B2966">
        <v>2025</v>
      </c>
      <c r="C2966">
        <v>12</v>
      </c>
      <c r="D2966" s="5" t="s">
        <v>54</v>
      </c>
      <c r="E2966" s="5" t="s">
        <v>70</v>
      </c>
      <c r="F2966" s="5" t="s">
        <v>71</v>
      </c>
      <c r="G2966" s="5" t="s">
        <v>72</v>
      </c>
      <c r="H2966" s="5" t="s">
        <v>65</v>
      </c>
      <c r="I2966" s="5" t="s">
        <v>53</v>
      </c>
      <c r="J2966" s="5" t="s">
        <v>49</v>
      </c>
      <c r="K2966">
        <v>24</v>
      </c>
      <c r="L2966">
        <v>1268944</v>
      </c>
      <c r="M2966" s="26">
        <v>30454656</v>
      </c>
      <c r="N2966">
        <v>22228</v>
      </c>
      <c r="O2966" s="26">
        <v>3501739.44</v>
      </c>
      <c r="P2966" s="5" t="s">
        <v>42</v>
      </c>
      <c r="Q2966" s="5" t="s">
        <v>75</v>
      </c>
      <c r="R2966">
        <v>4.4000000000000004</v>
      </c>
      <c r="S2966">
        <v>6</v>
      </c>
      <c r="T2966">
        <f t="shared" si="46"/>
        <v>1</v>
      </c>
    </row>
    <row r="2967" spans="1:20">
      <c r="A2967" s="4">
        <v>46009</v>
      </c>
      <c r="B2967">
        <v>2025</v>
      </c>
      <c r="C2967">
        <v>12</v>
      </c>
      <c r="D2967" s="5" t="s">
        <v>54</v>
      </c>
      <c r="E2967" s="5" t="s">
        <v>70</v>
      </c>
      <c r="F2967" s="5" t="s">
        <v>71</v>
      </c>
      <c r="G2967" s="5" t="s">
        <v>72</v>
      </c>
      <c r="H2967" s="5" t="s">
        <v>65</v>
      </c>
      <c r="I2967" s="5" t="s">
        <v>53</v>
      </c>
      <c r="J2967" s="5" t="s">
        <v>49</v>
      </c>
      <c r="K2967">
        <v>56</v>
      </c>
      <c r="L2967">
        <v>1277340</v>
      </c>
      <c r="M2967" s="26">
        <v>71531040</v>
      </c>
      <c r="N2967">
        <v>35673</v>
      </c>
      <c r="O2967" s="26">
        <v>8202077.6399999997</v>
      </c>
      <c r="P2967" s="5" t="s">
        <v>50</v>
      </c>
      <c r="Q2967" s="5" t="s">
        <v>75</v>
      </c>
      <c r="R2967">
        <v>4.2</v>
      </c>
      <c r="S2967">
        <v>11</v>
      </c>
      <c r="T2967">
        <f t="shared" si="46"/>
        <v>0</v>
      </c>
    </row>
    <row r="2968" spans="1:20">
      <c r="A2968" s="4">
        <v>46006</v>
      </c>
      <c r="B2968">
        <v>2025</v>
      </c>
      <c r="C2968">
        <v>12</v>
      </c>
      <c r="D2968" s="5" t="s">
        <v>44</v>
      </c>
      <c r="E2968" s="5" t="s">
        <v>45</v>
      </c>
      <c r="F2968" s="5" t="s">
        <v>46</v>
      </c>
      <c r="G2968" s="5" t="s">
        <v>47</v>
      </c>
      <c r="H2968" s="5" t="s">
        <v>86</v>
      </c>
      <c r="I2968" s="5" t="s">
        <v>40</v>
      </c>
      <c r="J2968" s="5" t="s">
        <v>41</v>
      </c>
      <c r="K2968">
        <v>47</v>
      </c>
      <c r="L2968">
        <v>612670</v>
      </c>
      <c r="M2968" s="26">
        <v>28795490</v>
      </c>
      <c r="N2968">
        <v>32091</v>
      </c>
      <c r="O2968" s="26">
        <v>3736057.05</v>
      </c>
      <c r="P2968" s="5" t="s">
        <v>50</v>
      </c>
      <c r="Q2968" s="5" t="s">
        <v>75</v>
      </c>
      <c r="R2968">
        <v>4</v>
      </c>
      <c r="S2968">
        <v>3</v>
      </c>
      <c r="T2968">
        <f t="shared" si="46"/>
        <v>0</v>
      </c>
    </row>
    <row r="2969" spans="1:20">
      <c r="A2969" s="4">
        <v>46018</v>
      </c>
      <c r="B2969">
        <v>2025</v>
      </c>
      <c r="C2969">
        <v>12</v>
      </c>
      <c r="D2969" s="5" t="s">
        <v>35</v>
      </c>
      <c r="E2969" s="5" t="s">
        <v>36</v>
      </c>
      <c r="F2969" s="5" t="s">
        <v>37</v>
      </c>
      <c r="G2969" s="5" t="s">
        <v>38</v>
      </c>
      <c r="H2969" s="5" t="s">
        <v>85</v>
      </c>
      <c r="I2969" s="5" t="s">
        <v>58</v>
      </c>
      <c r="J2969" s="5" t="s">
        <v>49</v>
      </c>
      <c r="K2969">
        <v>56</v>
      </c>
      <c r="L2969">
        <v>981974</v>
      </c>
      <c r="M2969" s="26">
        <v>54990544</v>
      </c>
      <c r="N2969">
        <v>35754</v>
      </c>
      <c r="O2969" s="26">
        <v>5579374.0499999998</v>
      </c>
      <c r="P2969" s="5" t="s">
        <v>42</v>
      </c>
      <c r="Q2969" s="5" t="s">
        <v>75</v>
      </c>
      <c r="R2969">
        <v>4.0999999999999996</v>
      </c>
      <c r="S2969">
        <v>6</v>
      </c>
      <c r="T2969">
        <f t="shared" si="46"/>
        <v>1</v>
      </c>
    </row>
    <row r="2970" spans="1:20">
      <c r="A2970" s="4">
        <v>46009</v>
      </c>
      <c r="B2970">
        <v>2025</v>
      </c>
      <c r="C2970">
        <v>12</v>
      </c>
      <c r="D2970" s="5" t="s">
        <v>35</v>
      </c>
      <c r="E2970" s="5" t="s">
        <v>36</v>
      </c>
      <c r="F2970" s="5" t="s">
        <v>37</v>
      </c>
      <c r="G2970" s="5" t="s">
        <v>38</v>
      </c>
      <c r="H2970" s="5" t="s">
        <v>63</v>
      </c>
      <c r="I2970" s="5" t="s">
        <v>64</v>
      </c>
      <c r="J2970" s="5" t="s">
        <v>41</v>
      </c>
      <c r="K2970">
        <v>12</v>
      </c>
      <c r="L2970">
        <v>766627</v>
      </c>
      <c r="M2970" s="26">
        <v>9199524</v>
      </c>
      <c r="N2970">
        <v>17609</v>
      </c>
      <c r="O2970" s="26">
        <v>883048.89</v>
      </c>
      <c r="P2970" s="5" t="s">
        <v>42</v>
      </c>
      <c r="Q2970" s="5" t="s">
        <v>75</v>
      </c>
      <c r="R2970">
        <v>4.5</v>
      </c>
      <c r="S2970">
        <v>2</v>
      </c>
      <c r="T2970">
        <f t="shared" si="46"/>
        <v>1</v>
      </c>
    </row>
    <row r="2971" spans="1:20">
      <c r="A2971" s="4">
        <v>46019</v>
      </c>
      <c r="B2971">
        <v>2025</v>
      </c>
      <c r="C2971">
        <v>12</v>
      </c>
      <c r="D2971" s="5" t="s">
        <v>44</v>
      </c>
      <c r="E2971" s="5" t="s">
        <v>45</v>
      </c>
      <c r="F2971" s="5" t="s">
        <v>46</v>
      </c>
      <c r="G2971" s="5" t="s">
        <v>47</v>
      </c>
      <c r="H2971" s="5" t="s">
        <v>48</v>
      </c>
      <c r="I2971" s="5" t="s">
        <v>40</v>
      </c>
      <c r="J2971" s="5" t="s">
        <v>49</v>
      </c>
      <c r="K2971">
        <v>42</v>
      </c>
      <c r="L2971">
        <v>444851</v>
      </c>
      <c r="M2971" s="26">
        <v>18683742</v>
      </c>
      <c r="N2971">
        <v>35121</v>
      </c>
      <c r="O2971" s="26">
        <v>1694945.37</v>
      </c>
      <c r="P2971" s="5" t="s">
        <v>42</v>
      </c>
      <c r="Q2971" s="5" t="s">
        <v>75</v>
      </c>
      <c r="R2971">
        <v>4.5</v>
      </c>
      <c r="S2971">
        <v>18</v>
      </c>
      <c r="T2971">
        <f t="shared" si="46"/>
        <v>1</v>
      </c>
    </row>
    <row r="2972" spans="1:20">
      <c r="A2972" s="4">
        <v>46001</v>
      </c>
      <c r="B2972">
        <v>2025</v>
      </c>
      <c r="C2972">
        <v>12</v>
      </c>
      <c r="D2972" s="5" t="s">
        <v>66</v>
      </c>
      <c r="E2972" s="5" t="s">
        <v>67</v>
      </c>
      <c r="F2972" s="5" t="s">
        <v>68</v>
      </c>
      <c r="G2972" s="5" t="s">
        <v>69</v>
      </c>
      <c r="H2972" s="5" t="s">
        <v>65</v>
      </c>
      <c r="I2972" s="5" t="s">
        <v>53</v>
      </c>
      <c r="J2972" s="5" t="s">
        <v>49</v>
      </c>
      <c r="K2972">
        <v>48</v>
      </c>
      <c r="L2972">
        <v>1262846</v>
      </c>
      <c r="M2972" s="26">
        <v>60616608</v>
      </c>
      <c r="N2972">
        <v>25886</v>
      </c>
      <c r="O2972" s="26">
        <v>8178143.46</v>
      </c>
      <c r="P2972" s="5" t="s">
        <v>42</v>
      </c>
      <c r="Q2972" s="5" t="s">
        <v>75</v>
      </c>
      <c r="R2972">
        <v>3.9</v>
      </c>
      <c r="S2972">
        <v>14</v>
      </c>
      <c r="T2972">
        <f t="shared" si="46"/>
        <v>1</v>
      </c>
    </row>
    <row r="2973" spans="1:20">
      <c r="A2973" s="4">
        <v>46015</v>
      </c>
      <c r="B2973">
        <v>2025</v>
      </c>
      <c r="C2973">
        <v>12</v>
      </c>
      <c r="D2973" s="5" t="s">
        <v>66</v>
      </c>
      <c r="E2973" s="5" t="s">
        <v>67</v>
      </c>
      <c r="F2973" s="5" t="s">
        <v>68</v>
      </c>
      <c r="G2973" s="5" t="s">
        <v>69</v>
      </c>
      <c r="H2973" s="5" t="s">
        <v>73</v>
      </c>
      <c r="I2973" s="5" t="s">
        <v>40</v>
      </c>
      <c r="J2973" s="5" t="s">
        <v>49</v>
      </c>
      <c r="K2973">
        <v>28</v>
      </c>
      <c r="L2973">
        <v>702663</v>
      </c>
      <c r="M2973" s="26">
        <v>19674564</v>
      </c>
      <c r="N2973">
        <v>42985</v>
      </c>
      <c r="O2973" s="26">
        <v>3098178.11</v>
      </c>
      <c r="P2973" s="5" t="s">
        <v>50</v>
      </c>
      <c r="Q2973" s="5" t="s">
        <v>75</v>
      </c>
      <c r="R2973">
        <v>3.5</v>
      </c>
      <c r="S2973">
        <v>17</v>
      </c>
      <c r="T2973">
        <f t="shared" si="46"/>
        <v>0</v>
      </c>
    </row>
    <row r="2974" spans="1:20">
      <c r="A2974" s="4">
        <v>46019</v>
      </c>
      <c r="B2974">
        <v>2025</v>
      </c>
      <c r="C2974">
        <v>12</v>
      </c>
      <c r="D2974" s="5" t="s">
        <v>44</v>
      </c>
      <c r="E2974" s="5" t="s">
        <v>45</v>
      </c>
      <c r="F2974" s="5" t="s">
        <v>46</v>
      </c>
      <c r="G2974" s="5" t="s">
        <v>47</v>
      </c>
      <c r="H2974" s="5" t="s">
        <v>57</v>
      </c>
      <c r="I2974" s="5" t="s">
        <v>58</v>
      </c>
      <c r="J2974" s="5" t="s">
        <v>59</v>
      </c>
      <c r="K2974">
        <v>22</v>
      </c>
      <c r="L2974">
        <v>1413695</v>
      </c>
      <c r="M2974" s="26">
        <v>31101290</v>
      </c>
      <c r="N2974">
        <v>17925</v>
      </c>
      <c r="O2974" s="26">
        <v>4602839.29</v>
      </c>
      <c r="P2974" s="5" t="s">
        <v>50</v>
      </c>
      <c r="Q2974" s="5" t="s">
        <v>43</v>
      </c>
      <c r="R2974">
        <v>3.6</v>
      </c>
      <c r="S2974">
        <v>15</v>
      </c>
      <c r="T2974">
        <f t="shared" si="46"/>
        <v>0</v>
      </c>
    </row>
    <row r="2975" spans="1:20">
      <c r="A2975" s="4">
        <v>46011</v>
      </c>
      <c r="B2975">
        <v>2025</v>
      </c>
      <c r="C2975">
        <v>12</v>
      </c>
      <c r="D2975" s="5" t="s">
        <v>35</v>
      </c>
      <c r="E2975" s="5" t="s">
        <v>76</v>
      </c>
      <c r="F2975" s="5" t="s">
        <v>77</v>
      </c>
      <c r="G2975" s="5" t="s">
        <v>78</v>
      </c>
      <c r="H2975" s="5" t="s">
        <v>86</v>
      </c>
      <c r="I2975" s="5" t="s">
        <v>40</v>
      </c>
      <c r="J2975" s="5" t="s">
        <v>41</v>
      </c>
      <c r="K2975">
        <v>23</v>
      </c>
      <c r="L2975">
        <v>628401</v>
      </c>
      <c r="M2975" s="26">
        <v>14453223</v>
      </c>
      <c r="N2975">
        <v>40638</v>
      </c>
      <c r="O2975" s="26">
        <v>1801940.07</v>
      </c>
      <c r="P2975" s="5" t="s">
        <v>50</v>
      </c>
      <c r="Q2975" s="5" t="s">
        <v>75</v>
      </c>
      <c r="R2975">
        <v>3.6</v>
      </c>
      <c r="S2975">
        <v>10</v>
      </c>
      <c r="T2975">
        <f t="shared" si="46"/>
        <v>0</v>
      </c>
    </row>
    <row r="2976" spans="1:20">
      <c r="A2976" s="4">
        <v>46017</v>
      </c>
      <c r="B2976">
        <v>2025</v>
      </c>
      <c r="C2976">
        <v>12</v>
      </c>
      <c r="D2976" s="5" t="s">
        <v>35</v>
      </c>
      <c r="E2976" s="5" t="s">
        <v>60</v>
      </c>
      <c r="F2976" s="5" t="s">
        <v>61</v>
      </c>
      <c r="G2976" s="5" t="s">
        <v>62</v>
      </c>
      <c r="H2976" s="5" t="s">
        <v>79</v>
      </c>
      <c r="I2976" s="5" t="s">
        <v>58</v>
      </c>
      <c r="J2976" s="5" t="s">
        <v>49</v>
      </c>
      <c r="K2976">
        <v>51</v>
      </c>
      <c r="L2976">
        <v>905821</v>
      </c>
      <c r="M2976" s="26">
        <v>46196871</v>
      </c>
      <c r="N2976">
        <v>15040</v>
      </c>
      <c r="O2976" s="26">
        <v>5630675.5300000003</v>
      </c>
      <c r="P2976" s="5" t="s">
        <v>42</v>
      </c>
      <c r="Q2976" s="5" t="s">
        <v>75</v>
      </c>
      <c r="R2976">
        <v>4.3</v>
      </c>
      <c r="S2976">
        <v>6</v>
      </c>
      <c r="T2976">
        <f t="shared" si="46"/>
        <v>1</v>
      </c>
    </row>
    <row r="2977" spans="1:20">
      <c r="A2977" s="4">
        <v>46005</v>
      </c>
      <c r="B2977">
        <v>2025</v>
      </c>
      <c r="C2977">
        <v>12</v>
      </c>
      <c r="D2977" s="5" t="s">
        <v>54</v>
      </c>
      <c r="E2977" s="5" t="s">
        <v>55</v>
      </c>
      <c r="F2977" s="5" t="s">
        <v>55</v>
      </c>
      <c r="G2977" s="5" t="s">
        <v>56</v>
      </c>
      <c r="H2977" s="5" t="s">
        <v>74</v>
      </c>
      <c r="I2977" s="5" t="s">
        <v>40</v>
      </c>
      <c r="J2977" s="5" t="s">
        <v>49</v>
      </c>
      <c r="K2977">
        <v>16</v>
      </c>
      <c r="L2977">
        <v>637781</v>
      </c>
      <c r="M2977" s="26">
        <v>10204496</v>
      </c>
      <c r="N2977">
        <v>30794</v>
      </c>
      <c r="O2977" s="26">
        <v>1077019.29</v>
      </c>
      <c r="P2977" s="5" t="s">
        <v>50</v>
      </c>
      <c r="Q2977" s="5" t="s">
        <v>51</v>
      </c>
      <c r="R2977">
        <v>4.3</v>
      </c>
      <c r="S2977">
        <v>16</v>
      </c>
      <c r="T2977">
        <f t="shared" si="46"/>
        <v>0</v>
      </c>
    </row>
    <row r="2978" spans="1:20">
      <c r="A2978" s="4">
        <v>45994</v>
      </c>
      <c r="B2978">
        <v>2025</v>
      </c>
      <c r="C2978">
        <v>12</v>
      </c>
      <c r="D2978" s="5" t="s">
        <v>35</v>
      </c>
      <c r="E2978" s="5" t="s">
        <v>76</v>
      </c>
      <c r="F2978" s="5" t="s">
        <v>77</v>
      </c>
      <c r="G2978" s="5" t="s">
        <v>78</v>
      </c>
      <c r="H2978" s="5" t="s">
        <v>86</v>
      </c>
      <c r="I2978" s="5" t="s">
        <v>40</v>
      </c>
      <c r="J2978" s="5" t="s">
        <v>41</v>
      </c>
      <c r="K2978">
        <v>19</v>
      </c>
      <c r="L2978">
        <v>606879</v>
      </c>
      <c r="M2978" s="26">
        <v>11530701</v>
      </c>
      <c r="N2978">
        <v>22466</v>
      </c>
      <c r="O2978" s="26">
        <v>1400278.35</v>
      </c>
      <c r="P2978" s="5" t="s">
        <v>42</v>
      </c>
      <c r="Q2978" s="5" t="s">
        <v>51</v>
      </c>
      <c r="R2978">
        <v>4.5999999999999996</v>
      </c>
      <c r="S2978">
        <v>4</v>
      </c>
      <c r="T2978">
        <f t="shared" si="46"/>
        <v>1</v>
      </c>
    </row>
    <row r="2979" spans="1:20">
      <c r="A2979" s="4">
        <v>46002</v>
      </c>
      <c r="B2979">
        <v>2025</v>
      </c>
      <c r="C2979">
        <v>12</v>
      </c>
      <c r="D2979" s="5" t="s">
        <v>35</v>
      </c>
      <c r="E2979" s="5" t="s">
        <v>60</v>
      </c>
      <c r="F2979" s="5" t="s">
        <v>61</v>
      </c>
      <c r="G2979" s="5" t="s">
        <v>62</v>
      </c>
      <c r="H2979" s="5" t="s">
        <v>63</v>
      </c>
      <c r="I2979" s="5" t="s">
        <v>64</v>
      </c>
      <c r="J2979" s="5" t="s">
        <v>41</v>
      </c>
      <c r="K2979">
        <v>22</v>
      </c>
      <c r="L2979">
        <v>758326</v>
      </c>
      <c r="M2979" s="26">
        <v>16683172</v>
      </c>
      <c r="N2979">
        <v>6494</v>
      </c>
      <c r="O2979" s="26">
        <v>1941976</v>
      </c>
      <c r="P2979" s="5" t="s">
        <v>42</v>
      </c>
      <c r="Q2979" s="5" t="s">
        <v>51</v>
      </c>
      <c r="R2979">
        <v>3.6</v>
      </c>
      <c r="S2979">
        <v>15</v>
      </c>
      <c r="T2979">
        <f t="shared" si="46"/>
        <v>1</v>
      </c>
    </row>
    <row r="2980" spans="1:20">
      <c r="A2980" s="4">
        <v>46018</v>
      </c>
      <c r="B2980">
        <v>2025</v>
      </c>
      <c r="C2980">
        <v>12</v>
      </c>
      <c r="D2980" s="5" t="s">
        <v>44</v>
      </c>
      <c r="E2980" s="5" t="s">
        <v>82</v>
      </c>
      <c r="F2980" s="5" t="s">
        <v>83</v>
      </c>
      <c r="G2980" s="5" t="s">
        <v>84</v>
      </c>
      <c r="H2980" s="5" t="s">
        <v>48</v>
      </c>
      <c r="I2980" s="5" t="s">
        <v>40</v>
      </c>
      <c r="J2980" s="5" t="s">
        <v>49</v>
      </c>
      <c r="K2980">
        <v>31</v>
      </c>
      <c r="L2980">
        <v>425662</v>
      </c>
      <c r="M2980" s="26">
        <v>13195522</v>
      </c>
      <c r="N2980">
        <v>29735</v>
      </c>
      <c r="O2980" s="26">
        <v>1799912</v>
      </c>
      <c r="P2980" s="5" t="s">
        <v>42</v>
      </c>
      <c r="Q2980" s="5" t="s">
        <v>51</v>
      </c>
      <c r="R2980">
        <v>4.9000000000000004</v>
      </c>
      <c r="S2980">
        <v>20</v>
      </c>
      <c r="T2980">
        <f t="shared" si="46"/>
        <v>1</v>
      </c>
    </row>
    <row r="2981" spans="1:20">
      <c r="A2981" s="4">
        <v>46006</v>
      </c>
      <c r="B2981">
        <v>2025</v>
      </c>
      <c r="C2981">
        <v>12</v>
      </c>
      <c r="D2981" s="5" t="s">
        <v>66</v>
      </c>
      <c r="E2981" s="5" t="s">
        <v>67</v>
      </c>
      <c r="F2981" s="5" t="s">
        <v>68</v>
      </c>
      <c r="G2981" s="5" t="s">
        <v>69</v>
      </c>
      <c r="H2981" s="5" t="s">
        <v>74</v>
      </c>
      <c r="I2981" s="5" t="s">
        <v>40</v>
      </c>
      <c r="J2981" s="5" t="s">
        <v>49</v>
      </c>
      <c r="K2981">
        <v>52</v>
      </c>
      <c r="L2981">
        <v>664570</v>
      </c>
      <c r="M2981" s="26">
        <v>34557640</v>
      </c>
      <c r="N2981">
        <v>6584</v>
      </c>
      <c r="O2981" s="26">
        <v>4683818.71</v>
      </c>
      <c r="P2981" s="5" t="s">
        <v>50</v>
      </c>
      <c r="Q2981" s="5" t="s">
        <v>51</v>
      </c>
      <c r="R2981">
        <v>4.3</v>
      </c>
      <c r="S2981">
        <v>7</v>
      </c>
      <c r="T2981">
        <f t="shared" si="46"/>
        <v>0</v>
      </c>
    </row>
    <row r="2982" spans="1:20">
      <c r="A2982" s="4">
        <v>45993</v>
      </c>
      <c r="B2982">
        <v>2025</v>
      </c>
      <c r="C2982">
        <v>12</v>
      </c>
      <c r="D2982" s="5" t="s">
        <v>35</v>
      </c>
      <c r="E2982" s="5" t="s">
        <v>36</v>
      </c>
      <c r="F2982" s="5" t="s">
        <v>37</v>
      </c>
      <c r="G2982" s="5" t="s">
        <v>38</v>
      </c>
      <c r="H2982" s="5" t="s">
        <v>74</v>
      </c>
      <c r="I2982" s="5" t="s">
        <v>40</v>
      </c>
      <c r="J2982" s="5" t="s">
        <v>49</v>
      </c>
      <c r="K2982">
        <v>28</v>
      </c>
      <c r="L2982">
        <v>674555</v>
      </c>
      <c r="M2982" s="26">
        <v>18887540</v>
      </c>
      <c r="N2982">
        <v>30056</v>
      </c>
      <c r="O2982" s="26">
        <v>2474220.7200000002</v>
      </c>
      <c r="P2982" s="5" t="s">
        <v>50</v>
      </c>
      <c r="Q2982" s="5" t="s">
        <v>75</v>
      </c>
      <c r="R2982">
        <v>4.5</v>
      </c>
      <c r="S2982">
        <v>6</v>
      </c>
      <c r="T2982">
        <f t="shared" si="46"/>
        <v>0</v>
      </c>
    </row>
    <row r="2983" spans="1:20">
      <c r="A2983" s="4">
        <v>46012</v>
      </c>
      <c r="B2983">
        <v>2025</v>
      </c>
      <c r="C2983">
        <v>12</v>
      </c>
      <c r="D2983" s="5" t="s">
        <v>35</v>
      </c>
      <c r="E2983" s="5" t="s">
        <v>60</v>
      </c>
      <c r="F2983" s="5" t="s">
        <v>61</v>
      </c>
      <c r="G2983" s="5" t="s">
        <v>62</v>
      </c>
      <c r="H2983" s="5" t="s">
        <v>74</v>
      </c>
      <c r="I2983" s="5" t="s">
        <v>40</v>
      </c>
      <c r="J2983" s="5" t="s">
        <v>49</v>
      </c>
      <c r="K2983">
        <v>40</v>
      </c>
      <c r="L2983">
        <v>634519</v>
      </c>
      <c r="M2983" s="26">
        <v>25380760</v>
      </c>
      <c r="N2983">
        <v>27928</v>
      </c>
      <c r="O2983" s="26">
        <v>3895856.32</v>
      </c>
      <c r="P2983" s="5" t="s">
        <v>50</v>
      </c>
      <c r="Q2983" s="5" t="s">
        <v>75</v>
      </c>
      <c r="R2983">
        <v>4</v>
      </c>
      <c r="S2983">
        <v>7</v>
      </c>
      <c r="T2983">
        <f t="shared" si="46"/>
        <v>0</v>
      </c>
    </row>
    <row r="2984" spans="1:20">
      <c r="A2984" s="4">
        <v>46004</v>
      </c>
      <c r="B2984">
        <v>2025</v>
      </c>
      <c r="C2984">
        <v>12</v>
      </c>
      <c r="D2984" s="5" t="s">
        <v>66</v>
      </c>
      <c r="E2984" s="5" t="s">
        <v>67</v>
      </c>
      <c r="F2984" s="5" t="s">
        <v>68</v>
      </c>
      <c r="G2984" s="5" t="s">
        <v>69</v>
      </c>
      <c r="H2984" s="5" t="s">
        <v>80</v>
      </c>
      <c r="I2984" s="5" t="s">
        <v>81</v>
      </c>
      <c r="J2984" s="5" t="s">
        <v>41</v>
      </c>
      <c r="K2984">
        <v>56</v>
      </c>
      <c r="L2984">
        <v>552881</v>
      </c>
      <c r="M2984" s="26">
        <v>30961336</v>
      </c>
      <c r="N2984">
        <v>38626</v>
      </c>
      <c r="O2984" s="26">
        <v>4313203.78</v>
      </c>
      <c r="P2984" s="5" t="s">
        <v>42</v>
      </c>
      <c r="Q2984" s="5" t="s">
        <v>75</v>
      </c>
      <c r="R2984">
        <v>4.4000000000000004</v>
      </c>
      <c r="S2984">
        <v>18</v>
      </c>
      <c r="T2984">
        <f t="shared" si="46"/>
        <v>1</v>
      </c>
    </row>
    <row r="2985" spans="1:20">
      <c r="A2985" s="4">
        <v>45994</v>
      </c>
      <c r="B2985">
        <v>2025</v>
      </c>
      <c r="C2985">
        <v>12</v>
      </c>
      <c r="D2985" s="5" t="s">
        <v>35</v>
      </c>
      <c r="E2985" s="5" t="s">
        <v>60</v>
      </c>
      <c r="F2985" s="5" t="s">
        <v>61</v>
      </c>
      <c r="G2985" s="5" t="s">
        <v>62</v>
      </c>
      <c r="H2985" s="5" t="s">
        <v>57</v>
      </c>
      <c r="I2985" s="5" t="s">
        <v>58</v>
      </c>
      <c r="J2985" s="5" t="s">
        <v>59</v>
      </c>
      <c r="K2985">
        <v>56</v>
      </c>
      <c r="L2985">
        <v>1384318</v>
      </c>
      <c r="M2985" s="26">
        <v>77521808</v>
      </c>
      <c r="N2985">
        <v>28217</v>
      </c>
      <c r="O2985" s="26">
        <v>9850796.4800000004</v>
      </c>
      <c r="P2985" s="5" t="s">
        <v>42</v>
      </c>
      <c r="Q2985" s="5" t="s">
        <v>43</v>
      </c>
      <c r="R2985">
        <v>4.4000000000000004</v>
      </c>
      <c r="S2985">
        <v>14</v>
      </c>
      <c r="T2985">
        <f t="shared" si="46"/>
        <v>1</v>
      </c>
    </row>
    <row r="2986" spans="1:20">
      <c r="A2986" s="4">
        <v>46004</v>
      </c>
      <c r="B2986">
        <v>2025</v>
      </c>
      <c r="C2986">
        <v>12</v>
      </c>
      <c r="D2986" s="5" t="s">
        <v>54</v>
      </c>
      <c r="E2986" s="5" t="s">
        <v>55</v>
      </c>
      <c r="F2986" s="5" t="s">
        <v>55</v>
      </c>
      <c r="G2986" s="5" t="s">
        <v>56</v>
      </c>
      <c r="H2986" s="5" t="s">
        <v>80</v>
      </c>
      <c r="I2986" s="5" t="s">
        <v>81</v>
      </c>
      <c r="J2986" s="5" t="s">
        <v>41</v>
      </c>
      <c r="K2986">
        <v>22</v>
      </c>
      <c r="L2986">
        <v>558678</v>
      </c>
      <c r="M2986" s="26">
        <v>12290916</v>
      </c>
      <c r="N2986">
        <v>11197</v>
      </c>
      <c r="O2986" s="26">
        <v>1195278.54</v>
      </c>
      <c r="P2986" s="5" t="s">
        <v>42</v>
      </c>
      <c r="Q2986" s="5" t="s">
        <v>75</v>
      </c>
      <c r="R2986">
        <v>4.3</v>
      </c>
      <c r="S2986">
        <v>4</v>
      </c>
      <c r="T2986">
        <f t="shared" si="46"/>
        <v>1</v>
      </c>
    </row>
    <row r="2987" spans="1:20">
      <c r="A2987" s="4">
        <v>46003</v>
      </c>
      <c r="B2987">
        <v>2025</v>
      </c>
      <c r="C2987">
        <v>12</v>
      </c>
      <c r="D2987" s="5" t="s">
        <v>54</v>
      </c>
      <c r="E2987" s="5" t="s">
        <v>55</v>
      </c>
      <c r="F2987" s="5" t="s">
        <v>55</v>
      </c>
      <c r="G2987" s="5" t="s">
        <v>56</v>
      </c>
      <c r="H2987" s="5" t="s">
        <v>39</v>
      </c>
      <c r="I2987" s="5" t="s">
        <v>40</v>
      </c>
      <c r="J2987" s="5" t="s">
        <v>41</v>
      </c>
      <c r="K2987">
        <v>15</v>
      </c>
      <c r="L2987">
        <v>597442</v>
      </c>
      <c r="M2987" s="26">
        <v>8961630</v>
      </c>
      <c r="N2987">
        <v>20599</v>
      </c>
      <c r="O2987" s="26">
        <v>907998.14</v>
      </c>
      <c r="P2987" s="5" t="s">
        <v>50</v>
      </c>
      <c r="Q2987" s="5" t="s">
        <v>51</v>
      </c>
      <c r="R2987">
        <v>4.7</v>
      </c>
      <c r="S2987">
        <v>17</v>
      </c>
      <c r="T2987">
        <f t="shared" si="46"/>
        <v>0</v>
      </c>
    </row>
    <row r="2988" spans="1:20">
      <c r="A2988" s="4">
        <v>46008</v>
      </c>
      <c r="B2988">
        <v>2025</v>
      </c>
      <c r="C2988">
        <v>12</v>
      </c>
      <c r="D2988" s="5" t="s">
        <v>35</v>
      </c>
      <c r="E2988" s="5" t="s">
        <v>60</v>
      </c>
      <c r="F2988" s="5" t="s">
        <v>61</v>
      </c>
      <c r="G2988" s="5" t="s">
        <v>62</v>
      </c>
      <c r="H2988" s="5" t="s">
        <v>65</v>
      </c>
      <c r="I2988" s="5" t="s">
        <v>53</v>
      </c>
      <c r="J2988" s="5" t="s">
        <v>49</v>
      </c>
      <c r="K2988">
        <v>26</v>
      </c>
      <c r="L2988">
        <v>1275542</v>
      </c>
      <c r="M2988" s="26">
        <v>33164092</v>
      </c>
      <c r="N2988">
        <v>6390</v>
      </c>
      <c r="O2988" s="26">
        <v>3484516.66</v>
      </c>
      <c r="P2988" s="5" t="s">
        <v>50</v>
      </c>
      <c r="Q2988" s="5" t="s">
        <v>51</v>
      </c>
      <c r="R2988">
        <v>3.6</v>
      </c>
      <c r="S2988">
        <v>21</v>
      </c>
      <c r="T2988">
        <f t="shared" si="46"/>
        <v>0</v>
      </c>
    </row>
    <row r="2989" spans="1:20">
      <c r="A2989" s="4">
        <v>46017</v>
      </c>
      <c r="B2989">
        <v>2025</v>
      </c>
      <c r="C2989">
        <v>12</v>
      </c>
      <c r="D2989" s="5" t="s">
        <v>35</v>
      </c>
      <c r="E2989" s="5" t="s">
        <v>36</v>
      </c>
      <c r="F2989" s="5" t="s">
        <v>37</v>
      </c>
      <c r="G2989" s="5" t="s">
        <v>38</v>
      </c>
      <c r="H2989" s="5" t="s">
        <v>57</v>
      </c>
      <c r="I2989" s="5" t="s">
        <v>58</v>
      </c>
      <c r="J2989" s="5" t="s">
        <v>59</v>
      </c>
      <c r="K2989">
        <v>56</v>
      </c>
      <c r="L2989">
        <v>1407703</v>
      </c>
      <c r="M2989" s="26">
        <v>78831368</v>
      </c>
      <c r="N2989">
        <v>43334</v>
      </c>
      <c r="O2989" s="26">
        <v>6985474.1699999999</v>
      </c>
      <c r="P2989" s="5" t="s">
        <v>42</v>
      </c>
      <c r="Q2989" s="5" t="s">
        <v>43</v>
      </c>
      <c r="R2989">
        <v>4</v>
      </c>
      <c r="S2989">
        <v>13</v>
      </c>
      <c r="T2989">
        <f t="shared" si="46"/>
        <v>1</v>
      </c>
    </row>
    <row r="2990" spans="1:20">
      <c r="A2990" s="4">
        <v>46010</v>
      </c>
      <c r="B2990">
        <v>2025</v>
      </c>
      <c r="C2990">
        <v>12</v>
      </c>
      <c r="D2990" s="5" t="s">
        <v>35</v>
      </c>
      <c r="E2990" s="5" t="s">
        <v>36</v>
      </c>
      <c r="F2990" s="5" t="s">
        <v>37</v>
      </c>
      <c r="G2990" s="5" t="s">
        <v>38</v>
      </c>
      <c r="H2990" s="5" t="s">
        <v>39</v>
      </c>
      <c r="I2990" s="5" t="s">
        <v>40</v>
      </c>
      <c r="J2990" s="5" t="s">
        <v>41</v>
      </c>
      <c r="K2990">
        <v>24</v>
      </c>
      <c r="L2990">
        <v>558076</v>
      </c>
      <c r="M2990" s="26">
        <v>13393824</v>
      </c>
      <c r="N2990">
        <v>10568</v>
      </c>
      <c r="O2990" s="26">
        <v>2057486.17</v>
      </c>
      <c r="P2990" s="5" t="s">
        <v>42</v>
      </c>
      <c r="Q2990" s="5" t="s">
        <v>75</v>
      </c>
      <c r="R2990">
        <v>4.5999999999999996</v>
      </c>
      <c r="S2990">
        <v>21</v>
      </c>
      <c r="T2990">
        <f t="shared" si="46"/>
        <v>1</v>
      </c>
    </row>
    <row r="2991" spans="1:20">
      <c r="A2991" s="4">
        <v>45992</v>
      </c>
      <c r="B2991">
        <v>2025</v>
      </c>
      <c r="C2991">
        <v>12</v>
      </c>
      <c r="D2991" s="5" t="s">
        <v>35</v>
      </c>
      <c r="E2991" s="5" t="s">
        <v>60</v>
      </c>
      <c r="F2991" s="5" t="s">
        <v>61</v>
      </c>
      <c r="G2991" s="5" t="s">
        <v>62</v>
      </c>
      <c r="H2991" s="5" t="s">
        <v>79</v>
      </c>
      <c r="I2991" s="5" t="s">
        <v>58</v>
      </c>
      <c r="J2991" s="5" t="s">
        <v>49</v>
      </c>
      <c r="K2991">
        <v>24</v>
      </c>
      <c r="L2991">
        <v>911576</v>
      </c>
      <c r="M2991" s="26">
        <v>21877824</v>
      </c>
      <c r="N2991">
        <v>18054</v>
      </c>
      <c r="O2991" s="26">
        <v>3074455.42</v>
      </c>
      <c r="P2991" s="5" t="s">
        <v>50</v>
      </c>
      <c r="Q2991" s="5" t="s">
        <v>75</v>
      </c>
      <c r="R2991">
        <v>4.4000000000000004</v>
      </c>
      <c r="S2991">
        <v>15</v>
      </c>
      <c r="T2991">
        <f t="shared" si="46"/>
        <v>0</v>
      </c>
    </row>
    <row r="2992" spans="1:20">
      <c r="A2992" s="4">
        <v>46018</v>
      </c>
      <c r="B2992">
        <v>2025</v>
      </c>
      <c r="C2992">
        <v>12</v>
      </c>
      <c r="D2992" s="5" t="s">
        <v>35</v>
      </c>
      <c r="E2992" s="5" t="s">
        <v>60</v>
      </c>
      <c r="F2992" s="5" t="s">
        <v>61</v>
      </c>
      <c r="G2992" s="5" t="s">
        <v>62</v>
      </c>
      <c r="H2992" s="5" t="s">
        <v>57</v>
      </c>
      <c r="I2992" s="5" t="s">
        <v>58</v>
      </c>
      <c r="J2992" s="5" t="s">
        <v>59</v>
      </c>
      <c r="K2992">
        <v>59</v>
      </c>
      <c r="L2992">
        <v>1415677</v>
      </c>
      <c r="M2992" s="26">
        <v>83524943</v>
      </c>
      <c r="N2992">
        <v>41268</v>
      </c>
      <c r="O2992" s="26">
        <v>12044428.800000001</v>
      </c>
      <c r="P2992" s="5" t="s">
        <v>42</v>
      </c>
      <c r="Q2992" s="5" t="s">
        <v>75</v>
      </c>
      <c r="R2992">
        <v>4</v>
      </c>
      <c r="S2992">
        <v>11</v>
      </c>
      <c r="T2992">
        <f t="shared" si="46"/>
        <v>1</v>
      </c>
    </row>
    <row r="2993" spans="1:20">
      <c r="A2993" s="4">
        <v>46010</v>
      </c>
      <c r="B2993">
        <v>2025</v>
      </c>
      <c r="C2993">
        <v>12</v>
      </c>
      <c r="D2993" s="5" t="s">
        <v>35</v>
      </c>
      <c r="E2993" s="5" t="s">
        <v>36</v>
      </c>
      <c r="F2993" s="5" t="s">
        <v>37</v>
      </c>
      <c r="G2993" s="5" t="s">
        <v>38</v>
      </c>
      <c r="H2993" s="5" t="s">
        <v>85</v>
      </c>
      <c r="I2993" s="5" t="s">
        <v>58</v>
      </c>
      <c r="J2993" s="5" t="s">
        <v>49</v>
      </c>
      <c r="K2993">
        <v>51</v>
      </c>
      <c r="L2993">
        <v>966530</v>
      </c>
      <c r="M2993" s="26">
        <v>49293030</v>
      </c>
      <c r="N2993">
        <v>39669</v>
      </c>
      <c r="O2993" s="26">
        <v>6537653.5999999996</v>
      </c>
      <c r="P2993" s="5" t="s">
        <v>50</v>
      </c>
      <c r="Q2993" s="5" t="s">
        <v>75</v>
      </c>
      <c r="R2993">
        <v>4.5</v>
      </c>
      <c r="S2993">
        <v>12</v>
      </c>
      <c r="T2993">
        <f t="shared" si="46"/>
        <v>0</v>
      </c>
    </row>
    <row r="2994" spans="1:20">
      <c r="A2994" s="4">
        <v>45994</v>
      </c>
      <c r="B2994">
        <v>2025</v>
      </c>
      <c r="C2994">
        <v>12</v>
      </c>
      <c r="D2994" s="5" t="s">
        <v>54</v>
      </c>
      <c r="E2994" s="5" t="s">
        <v>55</v>
      </c>
      <c r="F2994" s="5" t="s">
        <v>55</v>
      </c>
      <c r="G2994" s="5" t="s">
        <v>56</v>
      </c>
      <c r="H2994" s="5" t="s">
        <v>73</v>
      </c>
      <c r="I2994" s="5" t="s">
        <v>40</v>
      </c>
      <c r="J2994" s="5" t="s">
        <v>49</v>
      </c>
      <c r="K2994">
        <v>7</v>
      </c>
      <c r="L2994">
        <v>714364</v>
      </c>
      <c r="M2994" s="26">
        <v>5000548</v>
      </c>
      <c r="N2994">
        <v>14423</v>
      </c>
      <c r="O2994" s="26">
        <v>665085.17000000004</v>
      </c>
      <c r="P2994" s="5" t="s">
        <v>42</v>
      </c>
      <c r="Q2994" s="5" t="s">
        <v>51</v>
      </c>
      <c r="R2994">
        <v>4</v>
      </c>
      <c r="S2994">
        <v>5</v>
      </c>
      <c r="T2994">
        <f t="shared" si="46"/>
        <v>1</v>
      </c>
    </row>
    <row r="2995" spans="1:20">
      <c r="A2995" s="4">
        <v>46018</v>
      </c>
      <c r="B2995">
        <v>2025</v>
      </c>
      <c r="C2995">
        <v>12</v>
      </c>
      <c r="D2995" s="5" t="s">
        <v>66</v>
      </c>
      <c r="E2995" s="5" t="s">
        <v>67</v>
      </c>
      <c r="F2995" s="5" t="s">
        <v>68</v>
      </c>
      <c r="G2995" s="5" t="s">
        <v>69</v>
      </c>
      <c r="H2995" s="5" t="s">
        <v>48</v>
      </c>
      <c r="I2995" s="5" t="s">
        <v>40</v>
      </c>
      <c r="J2995" s="5" t="s">
        <v>49</v>
      </c>
      <c r="K2995">
        <v>52</v>
      </c>
      <c r="L2995">
        <v>463553</v>
      </c>
      <c r="M2995" s="26">
        <v>24104756</v>
      </c>
      <c r="N2995">
        <v>21588</v>
      </c>
      <c r="O2995" s="26">
        <v>3412760.89</v>
      </c>
      <c r="P2995" s="5" t="s">
        <v>50</v>
      </c>
      <c r="Q2995" s="5" t="s">
        <v>75</v>
      </c>
      <c r="R2995">
        <v>4.8</v>
      </c>
      <c r="S2995">
        <v>3</v>
      </c>
      <c r="T2995">
        <f t="shared" si="46"/>
        <v>0</v>
      </c>
    </row>
    <row r="2996" spans="1:20">
      <c r="A2996" s="4">
        <v>45992</v>
      </c>
      <c r="B2996">
        <v>2025</v>
      </c>
      <c r="C2996">
        <v>12</v>
      </c>
      <c r="D2996" s="5" t="s">
        <v>54</v>
      </c>
      <c r="E2996" s="5" t="s">
        <v>55</v>
      </c>
      <c r="F2996" s="5" t="s">
        <v>55</v>
      </c>
      <c r="G2996" s="5" t="s">
        <v>56</v>
      </c>
      <c r="H2996" s="5" t="s">
        <v>48</v>
      </c>
      <c r="I2996" s="5" t="s">
        <v>40</v>
      </c>
      <c r="J2996" s="5" t="s">
        <v>49</v>
      </c>
      <c r="K2996">
        <v>50</v>
      </c>
      <c r="L2996">
        <v>464967</v>
      </c>
      <c r="M2996" s="26">
        <v>23248350</v>
      </c>
      <c r="N2996">
        <v>18555</v>
      </c>
      <c r="O2996" s="26">
        <v>3112397.25</v>
      </c>
      <c r="P2996" s="5" t="s">
        <v>42</v>
      </c>
      <c r="Q2996" s="5" t="s">
        <v>43</v>
      </c>
      <c r="R2996">
        <v>3.9</v>
      </c>
      <c r="S2996">
        <v>16</v>
      </c>
      <c r="T2996">
        <f t="shared" si="46"/>
        <v>1</v>
      </c>
    </row>
    <row r="2997" spans="1:20">
      <c r="A2997" s="4">
        <v>46007</v>
      </c>
      <c r="B2997">
        <v>2025</v>
      </c>
      <c r="C2997">
        <v>12</v>
      </c>
      <c r="D2997" s="5" t="s">
        <v>44</v>
      </c>
      <c r="E2997" s="5" t="s">
        <v>82</v>
      </c>
      <c r="F2997" s="5" t="s">
        <v>83</v>
      </c>
      <c r="G2997" s="5" t="s">
        <v>84</v>
      </c>
      <c r="H2997" s="5" t="s">
        <v>52</v>
      </c>
      <c r="I2997" s="5" t="s">
        <v>53</v>
      </c>
      <c r="J2997" s="5" t="s">
        <v>41</v>
      </c>
      <c r="K2997">
        <v>10</v>
      </c>
      <c r="L2997">
        <v>930324</v>
      </c>
      <c r="M2997" s="26">
        <v>9303240</v>
      </c>
      <c r="N2997">
        <v>8684</v>
      </c>
      <c r="O2997" s="26">
        <v>851016.35</v>
      </c>
      <c r="P2997" s="5" t="s">
        <v>50</v>
      </c>
      <c r="Q2997" s="5" t="s">
        <v>51</v>
      </c>
      <c r="R2997">
        <v>4.3</v>
      </c>
      <c r="S2997">
        <v>20</v>
      </c>
      <c r="T2997">
        <f t="shared" si="46"/>
        <v>0</v>
      </c>
    </row>
    <row r="2998" spans="1:20">
      <c r="A2998" s="4">
        <v>46007</v>
      </c>
      <c r="B2998">
        <v>2025</v>
      </c>
      <c r="C2998">
        <v>12</v>
      </c>
      <c r="D2998" s="5" t="s">
        <v>66</v>
      </c>
      <c r="E2998" s="5" t="s">
        <v>67</v>
      </c>
      <c r="F2998" s="5" t="s">
        <v>68</v>
      </c>
      <c r="G2998" s="5" t="s">
        <v>69</v>
      </c>
      <c r="H2998" s="5" t="s">
        <v>80</v>
      </c>
      <c r="I2998" s="5" t="s">
        <v>81</v>
      </c>
      <c r="J2998" s="5" t="s">
        <v>41</v>
      </c>
      <c r="K2998">
        <v>54</v>
      </c>
      <c r="L2998">
        <v>572418</v>
      </c>
      <c r="M2998" s="26">
        <v>30910572</v>
      </c>
      <c r="N2998">
        <v>32590</v>
      </c>
      <c r="O2998" s="26">
        <v>4786029.99</v>
      </c>
      <c r="P2998" s="5" t="s">
        <v>42</v>
      </c>
      <c r="Q2998" s="5" t="s">
        <v>43</v>
      </c>
      <c r="R2998">
        <v>4.4000000000000004</v>
      </c>
      <c r="S2998">
        <v>15</v>
      </c>
      <c r="T2998">
        <f t="shared" si="46"/>
        <v>1</v>
      </c>
    </row>
    <row r="2999" spans="1:20">
      <c r="A2999" s="4">
        <v>46011</v>
      </c>
      <c r="B2999">
        <v>2025</v>
      </c>
      <c r="C2999">
        <v>12</v>
      </c>
      <c r="D2999" s="5" t="s">
        <v>54</v>
      </c>
      <c r="E2999" s="5" t="s">
        <v>70</v>
      </c>
      <c r="F2999" s="5" t="s">
        <v>71</v>
      </c>
      <c r="G2999" s="5" t="s">
        <v>72</v>
      </c>
      <c r="H2999" s="5" t="s">
        <v>73</v>
      </c>
      <c r="I2999" s="5" t="s">
        <v>40</v>
      </c>
      <c r="J2999" s="5" t="s">
        <v>49</v>
      </c>
      <c r="K2999">
        <v>51</v>
      </c>
      <c r="L2999">
        <v>715358</v>
      </c>
      <c r="M2999" s="26">
        <v>36483258</v>
      </c>
      <c r="N2999">
        <v>26483</v>
      </c>
      <c r="O2999" s="26">
        <v>5055708.46</v>
      </c>
      <c r="P2999" s="5" t="s">
        <v>42</v>
      </c>
      <c r="Q2999" s="5" t="s">
        <v>51</v>
      </c>
      <c r="R2999">
        <v>4.8</v>
      </c>
      <c r="S2999">
        <v>4</v>
      </c>
      <c r="T2999">
        <f t="shared" si="46"/>
        <v>1</v>
      </c>
    </row>
    <row r="3000" spans="1:20">
      <c r="A3000" s="4">
        <v>46018</v>
      </c>
      <c r="B3000">
        <v>2025</v>
      </c>
      <c r="C3000">
        <v>12</v>
      </c>
      <c r="D3000" s="5" t="s">
        <v>44</v>
      </c>
      <c r="E3000" s="5" t="s">
        <v>82</v>
      </c>
      <c r="F3000" s="5" t="s">
        <v>83</v>
      </c>
      <c r="G3000" s="5" t="s">
        <v>84</v>
      </c>
      <c r="H3000" s="5" t="s">
        <v>57</v>
      </c>
      <c r="I3000" s="5" t="s">
        <v>58</v>
      </c>
      <c r="J3000" s="5" t="s">
        <v>59</v>
      </c>
      <c r="K3000">
        <v>9</v>
      </c>
      <c r="L3000">
        <v>1415434</v>
      </c>
      <c r="M3000" s="26">
        <v>12738906</v>
      </c>
      <c r="N3000">
        <v>24961</v>
      </c>
      <c r="O3000" s="26">
        <v>1952373.89</v>
      </c>
      <c r="P3000" s="5" t="s">
        <v>42</v>
      </c>
      <c r="Q3000" s="5" t="s">
        <v>51</v>
      </c>
      <c r="R3000">
        <v>4.9000000000000004</v>
      </c>
      <c r="S3000">
        <v>15</v>
      </c>
      <c r="T3000">
        <f t="shared" si="46"/>
        <v>1</v>
      </c>
    </row>
    <row r="3001" spans="1:20">
      <c r="A3001" s="4">
        <v>45998</v>
      </c>
      <c r="B3001">
        <v>2025</v>
      </c>
      <c r="C3001">
        <v>12</v>
      </c>
      <c r="D3001" s="5" t="s">
        <v>35</v>
      </c>
      <c r="E3001" s="5" t="s">
        <v>76</v>
      </c>
      <c r="F3001" s="5" t="s">
        <v>77</v>
      </c>
      <c r="G3001" s="5" t="s">
        <v>78</v>
      </c>
      <c r="H3001" s="5" t="s">
        <v>39</v>
      </c>
      <c r="I3001" s="5" t="s">
        <v>40</v>
      </c>
      <c r="J3001" s="5" t="s">
        <v>41</v>
      </c>
      <c r="K3001">
        <v>25</v>
      </c>
      <c r="L3001">
        <v>590708</v>
      </c>
      <c r="M3001" s="26">
        <v>14767700</v>
      </c>
      <c r="N3001">
        <v>24680</v>
      </c>
      <c r="O3001" s="26">
        <v>2125569.25</v>
      </c>
      <c r="P3001" s="5" t="s">
        <v>42</v>
      </c>
      <c r="Q3001" s="5" t="s">
        <v>43</v>
      </c>
      <c r="R3001">
        <v>4.2</v>
      </c>
      <c r="S3001">
        <v>18</v>
      </c>
      <c r="T3001">
        <f t="shared" si="46"/>
        <v>1</v>
      </c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zoomScaleNormal="100" workbookViewId="0"/>
  </sheetViews>
  <sheetFormatPr defaultColWidth="8.6640625" defaultRowHeight="14.4"/>
  <cols>
    <col min="1" max="1" width="20.44140625" customWidth="1"/>
  </cols>
  <sheetData>
    <row r="1" spans="1:2" ht="24" customHeight="1">
      <c r="A1" s="25" t="s">
        <v>87</v>
      </c>
      <c r="B1" s="25"/>
    </row>
    <row r="2" spans="1:2" ht="361.5" customHeight="1">
      <c r="A2" s="6" t="s">
        <v>88</v>
      </c>
      <c r="B2" s="7" t="s">
        <v>89</v>
      </c>
    </row>
    <row r="3" spans="1:2" ht="405" customHeight="1">
      <c r="A3" s="6" t="s">
        <v>90</v>
      </c>
      <c r="B3" s="7" t="s">
        <v>91</v>
      </c>
    </row>
    <row r="4" spans="1:2" ht="332.25" customHeight="1">
      <c r="A4" s="6" t="s">
        <v>92</v>
      </c>
      <c r="B4" s="7" t="s">
        <v>93</v>
      </c>
    </row>
    <row r="5" spans="1:2" ht="303.75" customHeight="1">
      <c r="A5" s="6" t="s">
        <v>94</v>
      </c>
      <c r="B5" s="7" t="s">
        <v>95</v>
      </c>
    </row>
    <row r="6" spans="1:2" ht="101.25" customHeight="1">
      <c r="A6" s="6" t="s">
        <v>96</v>
      </c>
      <c r="B6" s="7" t="s">
        <v>97</v>
      </c>
    </row>
    <row r="7" spans="1:2" ht="43.5" customHeight="1">
      <c r="A7" s="6" t="s">
        <v>98</v>
      </c>
      <c r="B7" s="7" t="s">
        <v>99</v>
      </c>
    </row>
    <row r="8" spans="1:2" ht="57.75" customHeight="1">
      <c r="A8" s="6" t="s">
        <v>100</v>
      </c>
      <c r="B8" s="7" t="s">
        <v>101</v>
      </c>
    </row>
    <row r="9" spans="1:2" ht="159" customHeight="1">
      <c r="A9" s="6" t="s">
        <v>102</v>
      </c>
      <c r="B9" s="7" t="s">
        <v>103</v>
      </c>
    </row>
    <row r="10" spans="1:2" ht="72.75" customHeight="1">
      <c r="A10" s="6" t="s">
        <v>104</v>
      </c>
      <c r="B10" s="7" t="s">
        <v>105</v>
      </c>
    </row>
    <row r="11" spans="1:2" ht="274.5" customHeight="1">
      <c r="A11" s="8" t="s">
        <v>106</v>
      </c>
      <c r="B11" s="9" t="s">
        <v>107</v>
      </c>
    </row>
  </sheetData>
  <mergeCells count="1">
    <mergeCell ref="A1:B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zoomScaleNormal="100" workbookViewId="0"/>
  </sheetViews>
  <sheetFormatPr defaultColWidth="8.6640625" defaultRowHeight="14.4"/>
  <sheetData>
    <row r="1" spans="1:11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 t="s">
        <v>11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 spans="1:11">
      <c r="A3">
        <v>2021</v>
      </c>
      <c r="B3">
        <v>1</v>
      </c>
      <c r="C3" t="s">
        <v>66</v>
      </c>
      <c r="D3" t="s">
        <v>55</v>
      </c>
      <c r="E3" t="s">
        <v>83</v>
      </c>
      <c r="F3" t="s">
        <v>84</v>
      </c>
      <c r="G3" t="s">
        <v>48</v>
      </c>
      <c r="H3" t="s">
        <v>40</v>
      </c>
      <c r="I3" t="s">
        <v>41</v>
      </c>
      <c r="J3" t="s">
        <v>42</v>
      </c>
      <c r="K3" t="s">
        <v>75</v>
      </c>
    </row>
    <row r="4" spans="1:11">
      <c r="A4">
        <v>2022</v>
      </c>
      <c r="B4">
        <v>2</v>
      </c>
      <c r="C4" t="s">
        <v>54</v>
      </c>
      <c r="D4" t="s">
        <v>82</v>
      </c>
      <c r="E4" t="s">
        <v>37</v>
      </c>
      <c r="F4" t="s">
        <v>38</v>
      </c>
      <c r="G4" t="s">
        <v>73</v>
      </c>
      <c r="H4" t="s">
        <v>53</v>
      </c>
      <c r="I4" t="s">
        <v>59</v>
      </c>
      <c r="J4" t="s">
        <v>50</v>
      </c>
      <c r="K4" t="s">
        <v>51</v>
      </c>
    </row>
    <row r="5" spans="1:11">
      <c r="A5">
        <v>2023</v>
      </c>
      <c r="B5">
        <v>3</v>
      </c>
      <c r="C5" t="s">
        <v>35</v>
      </c>
      <c r="D5" t="s">
        <v>36</v>
      </c>
      <c r="E5" t="s">
        <v>77</v>
      </c>
      <c r="F5" t="s">
        <v>78</v>
      </c>
      <c r="G5" t="s">
        <v>85</v>
      </c>
      <c r="H5" t="s">
        <v>58</v>
      </c>
      <c r="I5" t="s">
        <v>49</v>
      </c>
      <c r="K5" t="s">
        <v>43</v>
      </c>
    </row>
    <row r="6" spans="1:11">
      <c r="A6">
        <v>2024</v>
      </c>
      <c r="B6">
        <v>4</v>
      </c>
      <c r="C6" t="s">
        <v>44</v>
      </c>
      <c r="D6" t="s">
        <v>45</v>
      </c>
      <c r="E6" t="s">
        <v>55</v>
      </c>
      <c r="F6" t="s">
        <v>56</v>
      </c>
      <c r="G6" t="s">
        <v>39</v>
      </c>
      <c r="H6" t="s">
        <v>64</v>
      </c>
    </row>
    <row r="7" spans="1:11">
      <c r="A7">
        <v>2025</v>
      </c>
      <c r="B7">
        <v>5</v>
      </c>
      <c r="D7" t="s">
        <v>76</v>
      </c>
      <c r="E7" t="s">
        <v>61</v>
      </c>
      <c r="F7" t="s">
        <v>62</v>
      </c>
      <c r="G7" t="s">
        <v>63</v>
      </c>
      <c r="H7" t="s">
        <v>81</v>
      </c>
    </row>
    <row r="8" spans="1:11">
      <c r="B8">
        <v>6</v>
      </c>
      <c r="D8" t="s">
        <v>60</v>
      </c>
      <c r="E8" t="s">
        <v>68</v>
      </c>
      <c r="F8" t="s">
        <v>69</v>
      </c>
      <c r="G8" t="s">
        <v>80</v>
      </c>
    </row>
    <row r="9" spans="1:11">
      <c r="B9">
        <v>7</v>
      </c>
      <c r="D9" t="s">
        <v>70</v>
      </c>
      <c r="E9" t="s">
        <v>71</v>
      </c>
      <c r="F9" t="s">
        <v>72</v>
      </c>
      <c r="G9" t="s">
        <v>52</v>
      </c>
    </row>
    <row r="10" spans="1:11">
      <c r="B10">
        <v>8</v>
      </c>
      <c r="D10" t="s">
        <v>67</v>
      </c>
      <c r="E10" t="s">
        <v>46</v>
      </c>
      <c r="F10" t="s">
        <v>47</v>
      </c>
      <c r="G10" t="s">
        <v>79</v>
      </c>
    </row>
    <row r="11" spans="1:11">
      <c r="B11">
        <v>9</v>
      </c>
      <c r="G11" t="s">
        <v>57</v>
      </c>
    </row>
    <row r="12" spans="1:11">
      <c r="B12">
        <v>10</v>
      </c>
      <c r="G12" t="s">
        <v>74</v>
      </c>
    </row>
    <row r="13" spans="1:11">
      <c r="B13">
        <v>11</v>
      </c>
      <c r="G13" t="s">
        <v>86</v>
      </c>
    </row>
    <row r="14" spans="1:11">
      <c r="B14">
        <v>12</v>
      </c>
      <c r="G14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1"/>
  <sheetViews>
    <sheetView zoomScaleNormal="100" workbookViewId="0"/>
  </sheetViews>
  <sheetFormatPr defaultColWidth="8.6640625" defaultRowHeight="14.4"/>
  <sheetData>
    <row r="1" spans="1:35">
      <c r="A1" s="10" t="s">
        <v>5</v>
      </c>
      <c r="B1" s="10" t="s">
        <v>6</v>
      </c>
      <c r="C1" s="10" t="s">
        <v>108</v>
      </c>
      <c r="D1" s="10" t="s">
        <v>29</v>
      </c>
      <c r="F1" s="10" t="s">
        <v>12</v>
      </c>
      <c r="G1" s="10" t="s">
        <v>29</v>
      </c>
      <c r="I1" s="10" t="s">
        <v>7</v>
      </c>
      <c r="J1" s="10" t="s">
        <v>29</v>
      </c>
      <c r="K1" s="10" t="s">
        <v>31</v>
      </c>
      <c r="M1" s="10" t="s">
        <v>14</v>
      </c>
      <c r="N1" s="10" t="s">
        <v>29</v>
      </c>
      <c r="P1" s="10" t="s">
        <v>13</v>
      </c>
      <c r="Q1" s="10" t="s">
        <v>29</v>
      </c>
      <c r="S1" s="10" t="s">
        <v>109</v>
      </c>
      <c r="T1" s="10" t="s">
        <v>29</v>
      </c>
      <c r="U1" s="10" t="s">
        <v>110</v>
      </c>
      <c r="V1" s="10" t="s">
        <v>111</v>
      </c>
      <c r="W1" s="10" t="s">
        <v>112</v>
      </c>
      <c r="Y1" s="10" t="s">
        <v>16</v>
      </c>
      <c r="Z1" s="10" t="s">
        <v>29</v>
      </c>
      <c r="AB1" s="10" t="s">
        <v>8</v>
      </c>
      <c r="AC1" s="10" t="s">
        <v>29</v>
      </c>
      <c r="AE1" s="10" t="s">
        <v>12</v>
      </c>
      <c r="AF1" s="10" t="s">
        <v>113</v>
      </c>
      <c r="AH1" s="10" t="s">
        <v>7</v>
      </c>
      <c r="AI1" s="10" t="s">
        <v>114</v>
      </c>
    </row>
    <row r="2" spans="1:35">
      <c r="A2">
        <v>2021</v>
      </c>
      <c r="B2">
        <v>1</v>
      </c>
      <c r="C2" t="str">
        <f t="shared" ref="C2:C33" si="0">TEXT(DATE(A2,B2,1),"mmm-yy")</f>
        <v>Jan-21</v>
      </c>
      <c r="D2">
        <f>SUMIFS('Raw Data'!$M$2:$M$3001,'Raw Data'!$T$2:$T$3001,1,'Raw Data'!$B$2:$B$3001,A2,'Raw Data'!$C$2:$C$3001,B2)</f>
        <v>717868954</v>
      </c>
      <c r="F2" t="s">
        <v>48</v>
      </c>
      <c r="G2">
        <f>SUMIFS('Raw Data'!$M$2:$M$3001,'Raw Data'!$T$2:$T$3001,1,'Raw Data'!$H$2:$H$3001,F2)</f>
        <v>1851117985</v>
      </c>
      <c r="I2" t="s">
        <v>66</v>
      </c>
      <c r="J2">
        <f>SUMIFS('Raw Data'!$M$2:$M$3001,'Raw Data'!$T$2:$T$3001,1,'Raw Data'!$D$2:$D$3001,I2)</f>
        <v>4555627781</v>
      </c>
      <c r="K2">
        <f>SUMIFS('Raw Data'!$O$2:$O$3001,'Raw Data'!$T$2:$T$3001,1,'Raw Data'!$D$2:$D$3001,I2)</f>
        <v>544117738.28999996</v>
      </c>
      <c r="M2" t="s">
        <v>41</v>
      </c>
      <c r="N2">
        <f>SUMIFS('Raw Data'!$M$2:$M$3001,'Raw Data'!$T$2:$T$3001,1,'Raw Data'!$J$2:$J$3001,M2)</f>
        <v>13480913513</v>
      </c>
      <c r="P2" t="s">
        <v>40</v>
      </c>
      <c r="Q2">
        <f>SUMIFS('Raw Data'!$M$2:$M$3001,'Raw Data'!$T$2:$T$3001,1,'Raw Data'!$I$2:$I$3001,P2)</f>
        <v>12518682521</v>
      </c>
      <c r="S2" t="s">
        <v>84</v>
      </c>
      <c r="T2">
        <f>SUMIFS('Raw Data'!$M$2:$M$3001,'Raw Data'!$T$2:$T$3001,1,'Raw Data'!$G$2:$G$3001,S2)</f>
        <v>5171580078</v>
      </c>
      <c r="U2">
        <f>RANK(T2,$T$2:$T$9)+COUNTIF($T$2:T2,T2)-1</f>
        <v>3</v>
      </c>
      <c r="V2" t="str">
        <f>IFERROR(INDEX($S$2:$S$9,MATCH(1,$U$2:$U$9,0)),"")</f>
        <v>Delhi Motors</v>
      </c>
      <c r="W2">
        <f>IFERROR(INDEX($T$2:$T$9,MATCH(1,$U$2:$U$9,0)),0)</f>
        <v>5493150571</v>
      </c>
      <c r="Y2" t="s">
        <v>75</v>
      </c>
      <c r="Z2">
        <f>SUMIFS('Raw Data'!$M$2:$M$3001,'Raw Data'!$T$2:$T$3001,1,'Raw Data'!$Q$2:$Q$3001,Y2)</f>
        <v>14609841203</v>
      </c>
      <c r="AB2" t="s">
        <v>55</v>
      </c>
      <c r="AC2">
        <f>SUMIFS('Raw Data'!$M$2:$M$3001,'Raw Data'!$T$2:$T$3001,1,'Raw Data'!$E$2:$E$3001,AB2)</f>
        <v>5493150571</v>
      </c>
      <c r="AE2" t="s">
        <v>48</v>
      </c>
      <c r="AF2">
        <f>IFERROR(AVERAGEIFS('Raw Data'!$R$2:$R$3001,'Raw Data'!$T$2:$T$3001,1,'Raw Data'!$H$2:$H$3001,AE2),0)</f>
        <v>4.2287878787878794</v>
      </c>
      <c r="AH2" t="s">
        <v>66</v>
      </c>
      <c r="AI2">
        <f>IFERROR(AVERAGEIFS('Raw Data'!$S$2:$S$3001,'Raw Data'!$T$2:$T$3001,1,'Raw Data'!$D$2:$D$3001,AH2),0)</f>
        <v>11.780219780219781</v>
      </c>
    </row>
    <row r="3" spans="1:35">
      <c r="A3">
        <v>2021</v>
      </c>
      <c r="B3">
        <v>2</v>
      </c>
      <c r="C3" t="str">
        <f t="shared" si="0"/>
        <v>Feb-21</v>
      </c>
      <c r="D3">
        <f>SUMIFS('Raw Data'!$M$2:$M$3001,'Raw Data'!$T$2:$T$3001,1,'Raw Data'!$B$2:$B$3001,A3,'Raw Data'!$C$2:$C$3001,B3)</f>
        <v>740795113</v>
      </c>
      <c r="F3" t="s">
        <v>73</v>
      </c>
      <c r="G3">
        <f>SUMIFS('Raw Data'!$M$2:$M$3001,'Raw Data'!$T$2:$T$3001,1,'Raw Data'!$H$2:$H$3001,F3)</f>
        <v>2887086025</v>
      </c>
      <c r="I3" t="s">
        <v>54</v>
      </c>
      <c r="J3">
        <f>SUMIFS('Raw Data'!$M$2:$M$3001,'Raw Data'!$T$2:$T$3001,1,'Raw Data'!$D$2:$D$3001,I3)</f>
        <v>10570223699</v>
      </c>
      <c r="K3">
        <f>SUMIFS('Raw Data'!$O$2:$O$3001,'Raw Data'!$T$2:$T$3001,1,'Raw Data'!$D$2:$D$3001,I3)</f>
        <v>1270059862.3400011</v>
      </c>
      <c r="M3" t="s">
        <v>59</v>
      </c>
      <c r="N3">
        <f>SUMIFS('Raw Data'!$M$2:$M$3001,'Raw Data'!$T$2:$T$3001,1,'Raw Data'!$J$2:$J$3001,M3)</f>
        <v>6358472706</v>
      </c>
      <c r="P3" t="s">
        <v>53</v>
      </c>
      <c r="Q3">
        <f>SUMIFS('Raw Data'!$M$2:$M$3001,'Raw Data'!$T$2:$T$3001,1,'Raw Data'!$I$2:$I$3001,P3)</f>
        <v>9021461104</v>
      </c>
      <c r="S3" t="s">
        <v>38</v>
      </c>
      <c r="T3">
        <f>SUMIFS('Raw Data'!$M$2:$M$3001,'Raw Data'!$T$2:$T$3001,1,'Raw Data'!$G$2:$G$3001,S3)</f>
        <v>5099121391</v>
      </c>
      <c r="U3">
        <f>RANK(T3,$T$2:$T$9)+COUNTIF($T$2:T3,T3)-1</f>
        <v>4</v>
      </c>
      <c r="V3" t="str">
        <f>IFERROR(INDEX($S$2:$S$9,MATCH(2,$U$2:$U$9,0)),"")</f>
        <v>Hyderabad Motors</v>
      </c>
      <c r="W3">
        <f>IFERROR(INDEX($T$2:$T$9,MATCH(2,$U$2:$U$9,0)),0)</f>
        <v>5483356511</v>
      </c>
      <c r="Y3" t="s">
        <v>51</v>
      </c>
      <c r="Z3">
        <f>SUMIFS('Raw Data'!$M$2:$M$3001,'Raw Data'!$T$2:$T$3001,1,'Raw Data'!$Q$2:$Q$3001,Y3)</f>
        <v>11820283687</v>
      </c>
      <c r="AB3" t="s">
        <v>82</v>
      </c>
      <c r="AC3">
        <f>SUMIFS('Raw Data'!$M$2:$M$3001,'Raw Data'!$T$2:$T$3001,1,'Raw Data'!$E$2:$E$3001,AB3)</f>
        <v>5171580078</v>
      </c>
      <c r="AE3" t="s">
        <v>73</v>
      </c>
      <c r="AF3">
        <f>IFERROR(AVERAGEIFS('Raw Data'!$R$2:$R$3001,'Raw Data'!$T$2:$T$3001,1,'Raw Data'!$H$2:$H$3001,AE3),0)</f>
        <v>4.1674999999999995</v>
      </c>
      <c r="AH3" t="s">
        <v>54</v>
      </c>
      <c r="AI3">
        <f>IFERROR(AVERAGEIFS('Raw Data'!$S$2:$S$3001,'Raw Data'!$T$2:$T$3001,1,'Raw Data'!$D$2:$D$3001,AH3),0)</f>
        <v>11.414572864321608</v>
      </c>
    </row>
    <row r="4" spans="1:35">
      <c r="A4">
        <v>2021</v>
      </c>
      <c r="B4">
        <v>3</v>
      </c>
      <c r="C4" t="str">
        <f t="shared" si="0"/>
        <v>Mar-21</v>
      </c>
      <c r="D4">
        <f>SUMIFS('Raw Data'!$M$2:$M$3001,'Raw Data'!$T$2:$T$3001,1,'Raw Data'!$B$2:$B$3001,A4,'Raw Data'!$C$2:$C$3001,B4)</f>
        <v>805752152</v>
      </c>
      <c r="F4" t="s">
        <v>85</v>
      </c>
      <c r="G4">
        <f>SUMIFS('Raw Data'!$M$2:$M$3001,'Raw Data'!$T$2:$T$3001,1,'Raw Data'!$H$2:$H$3001,F4)</f>
        <v>3874335475</v>
      </c>
      <c r="I4" t="s">
        <v>35</v>
      </c>
      <c r="J4">
        <f>SUMIFS('Raw Data'!$M$2:$M$3001,'Raw Data'!$T$2:$T$3001,1,'Raw Data'!$D$2:$D$3001,I4)</f>
        <v>15446471439</v>
      </c>
      <c r="K4">
        <f>SUMIFS('Raw Data'!$O$2:$O$3001,'Raw Data'!$T$2:$T$3001,1,'Raw Data'!$D$2:$D$3001,I4)</f>
        <v>1864825303.0400014</v>
      </c>
      <c r="M4" t="s">
        <v>49</v>
      </c>
      <c r="N4">
        <f>SUMIFS('Raw Data'!$M$2:$M$3001,'Raw Data'!$T$2:$T$3001,1,'Raw Data'!$J$2:$J$3001,M4)</f>
        <v>20416490219</v>
      </c>
      <c r="P4" t="s">
        <v>58</v>
      </c>
      <c r="Q4">
        <f>SUMIFS('Raw Data'!$M$2:$M$3001,'Raw Data'!$T$2:$T$3001,1,'Raw Data'!$I$2:$I$3001,P4)</f>
        <v>14063249481</v>
      </c>
      <c r="S4" t="s">
        <v>78</v>
      </c>
      <c r="T4">
        <f>SUMIFS('Raw Data'!$M$2:$M$3001,'Raw Data'!$T$2:$T$3001,1,'Raw Data'!$G$2:$G$3001,S4)</f>
        <v>4863993537</v>
      </c>
      <c r="U4">
        <f>RANK(T4,$T$2:$T$9)+COUNTIF($T$2:T4,T4)-1</f>
        <v>6</v>
      </c>
      <c r="V4" t="str">
        <f>IFERROR(INDEX($S$2:$S$9,MATCH(3,$U$2:$U$9,0)),"")</f>
        <v>Ahmedabad Motors</v>
      </c>
      <c r="W4">
        <f>IFERROR(INDEX($T$2:$T$9,MATCH(3,$U$2:$U$9,0)),0)</f>
        <v>5171580078</v>
      </c>
      <c r="Y4" t="s">
        <v>43</v>
      </c>
      <c r="Z4">
        <f>SUMIFS('Raw Data'!$M$2:$M$3001,'Raw Data'!$T$2:$T$3001,1,'Raw Data'!$Q$2:$Q$3001,Y4)</f>
        <v>13825751548</v>
      </c>
      <c r="AB4" t="s">
        <v>36</v>
      </c>
      <c r="AC4">
        <f>SUMIFS('Raw Data'!$M$2:$M$3001,'Raw Data'!$T$2:$T$3001,1,'Raw Data'!$E$2:$E$3001,AB4)</f>
        <v>5099121391</v>
      </c>
      <c r="AE4" t="s">
        <v>85</v>
      </c>
      <c r="AF4">
        <f>IFERROR(AVERAGEIFS('Raw Data'!$R$2:$R$3001,'Raw Data'!$T$2:$T$3001,1,'Raw Data'!$H$2:$H$3001,AE4),0)</f>
        <v>4.2432835820895534</v>
      </c>
      <c r="AH4" t="s">
        <v>35</v>
      </c>
      <c r="AI4">
        <f>IFERROR(AVERAGEIFS('Raw Data'!$S$2:$S$3001,'Raw Data'!$T$2:$T$3001,1,'Raw Data'!$D$2:$D$3001,AH4),0)</f>
        <v>11.619210977701544</v>
      </c>
    </row>
    <row r="5" spans="1:35">
      <c r="A5">
        <v>2021</v>
      </c>
      <c r="B5">
        <v>4</v>
      </c>
      <c r="C5" t="str">
        <f t="shared" si="0"/>
        <v>Apr-21</v>
      </c>
      <c r="D5">
        <f>SUMIFS('Raw Data'!$M$2:$M$3001,'Raw Data'!$T$2:$T$3001,1,'Raw Data'!$B$2:$B$3001,A5,'Raw Data'!$C$2:$C$3001,B5)</f>
        <v>714953762</v>
      </c>
      <c r="F5" t="s">
        <v>39</v>
      </c>
      <c r="G5">
        <f>SUMIFS('Raw Data'!$M$2:$M$3001,'Raw Data'!$T$2:$T$3001,1,'Raw Data'!$H$2:$H$3001,F5)</f>
        <v>2640789699</v>
      </c>
      <c r="I5" t="s">
        <v>44</v>
      </c>
      <c r="J5">
        <f>SUMIFS('Raw Data'!$M$2:$M$3001,'Raw Data'!$T$2:$T$3001,1,'Raw Data'!$D$2:$D$3001,I5)</f>
        <v>9683553519</v>
      </c>
      <c r="K5">
        <f>SUMIFS('Raw Data'!$O$2:$O$3001,'Raw Data'!$T$2:$T$3001,1,'Raw Data'!$D$2:$D$3001,I5)</f>
        <v>1152544841.8099988</v>
      </c>
      <c r="P5" t="s">
        <v>64</v>
      </c>
      <c r="Q5">
        <f>SUMIFS('Raw Data'!$M$2:$M$3001,'Raw Data'!$T$2:$T$3001,1,'Raw Data'!$I$2:$I$3001,P5)</f>
        <v>2565527215</v>
      </c>
      <c r="S5" t="s">
        <v>56</v>
      </c>
      <c r="T5">
        <f>SUMIFS('Raw Data'!$M$2:$M$3001,'Raw Data'!$T$2:$T$3001,1,'Raw Data'!$G$2:$G$3001,S5)</f>
        <v>5493150571</v>
      </c>
      <c r="U5">
        <f>RANK(T5,$T$2:$T$9)+COUNTIF($T$2:T5,T5)-1</f>
        <v>1</v>
      </c>
      <c r="V5" t="str">
        <f>IFERROR(INDEX($S$2:$S$9,MATCH(4,$U$2:$U$9,0)),"")</f>
        <v>Bengaluru Motors</v>
      </c>
      <c r="W5">
        <f>IFERROR(INDEX($T$2:$T$9,MATCH(4,$U$2:$U$9,0)),0)</f>
        <v>5099121391</v>
      </c>
      <c r="AB5" t="s">
        <v>45</v>
      </c>
      <c r="AC5">
        <f>SUMIFS('Raw Data'!$M$2:$M$3001,'Raw Data'!$T$2:$T$3001,1,'Raw Data'!$E$2:$E$3001,AB5)</f>
        <v>4511973441</v>
      </c>
      <c r="AE5" t="s">
        <v>39</v>
      </c>
      <c r="AF5">
        <f>IFERROR(AVERAGEIFS('Raw Data'!$R$2:$R$3001,'Raw Data'!$T$2:$T$3001,1,'Raw Data'!$H$2:$H$3001,AE5),0)</f>
        <v>4.297101449275365</v>
      </c>
      <c r="AH5" t="s">
        <v>44</v>
      </c>
      <c r="AI5">
        <f>IFERROR(AVERAGEIFS('Raw Data'!$S$2:$S$3001,'Raw Data'!$T$2:$T$3001,1,'Raw Data'!$D$2:$D$3001,AH5),0)</f>
        <v>12.024793388429751</v>
      </c>
    </row>
    <row r="6" spans="1:35">
      <c r="A6">
        <v>2021</v>
      </c>
      <c r="B6">
        <v>5</v>
      </c>
      <c r="C6" t="str">
        <f t="shared" si="0"/>
        <v>May-21</v>
      </c>
      <c r="D6">
        <f>SUMIFS('Raw Data'!$M$2:$M$3001,'Raw Data'!$T$2:$T$3001,1,'Raw Data'!$B$2:$B$3001,A6,'Raw Data'!$C$2:$C$3001,B6)</f>
        <v>656482760</v>
      </c>
      <c r="F6" t="s">
        <v>63</v>
      </c>
      <c r="G6">
        <f>SUMIFS('Raw Data'!$M$2:$M$3001,'Raw Data'!$T$2:$T$3001,1,'Raw Data'!$H$2:$H$3001,F6)</f>
        <v>2565527215</v>
      </c>
      <c r="P6" t="s">
        <v>81</v>
      </c>
      <c r="Q6">
        <f>SUMIFS('Raw Data'!$M$2:$M$3001,'Raw Data'!$T$2:$T$3001,1,'Raw Data'!$I$2:$I$3001,P6)</f>
        <v>2086956117</v>
      </c>
      <c r="S6" t="s">
        <v>62</v>
      </c>
      <c r="T6">
        <f>SUMIFS('Raw Data'!$M$2:$M$3001,'Raw Data'!$T$2:$T$3001,1,'Raw Data'!$G$2:$G$3001,S6)</f>
        <v>5483356511</v>
      </c>
      <c r="U6">
        <f>RANK(T6,$T$2:$T$9)+COUNTIF($T$2:T6,T6)-1</f>
        <v>2</v>
      </c>
      <c r="V6" t="str">
        <f>IFERROR(INDEX($S$2:$S$9,MATCH(5,$U$2:$U$9,0)),"")</f>
        <v>Lucknow Motors</v>
      </c>
      <c r="W6">
        <f>IFERROR(INDEX($T$2:$T$9,MATCH(5,$U$2:$U$9,0)),0)</f>
        <v>5077073128</v>
      </c>
      <c r="AB6" t="s">
        <v>76</v>
      </c>
      <c r="AC6">
        <f>SUMIFS('Raw Data'!$M$2:$M$3001,'Raw Data'!$T$2:$T$3001,1,'Raw Data'!$E$2:$E$3001,AB6)</f>
        <v>4863993537</v>
      </c>
      <c r="AE6" t="s">
        <v>63</v>
      </c>
      <c r="AF6">
        <f>IFERROR(AVERAGEIFS('Raw Data'!$R$2:$R$3001,'Raw Data'!$T$2:$T$3001,1,'Raw Data'!$H$2:$H$3001,AE6),0)</f>
        <v>4.2513513513513521</v>
      </c>
    </row>
    <row r="7" spans="1:35">
      <c r="A7">
        <v>2021</v>
      </c>
      <c r="B7">
        <v>6</v>
      </c>
      <c r="C7" t="str">
        <f t="shared" si="0"/>
        <v>Jun-21</v>
      </c>
      <c r="D7">
        <f>SUMIFS('Raw Data'!$M$2:$M$3001,'Raw Data'!$T$2:$T$3001,1,'Raw Data'!$B$2:$B$3001,A7,'Raw Data'!$C$2:$C$3001,B7)</f>
        <v>635790349</v>
      </c>
      <c r="F7" t="s">
        <v>80</v>
      </c>
      <c r="G7">
        <f>SUMIFS('Raw Data'!$M$2:$M$3001,'Raw Data'!$T$2:$T$3001,1,'Raw Data'!$H$2:$H$3001,F7)</f>
        <v>2086956117</v>
      </c>
      <c r="S7" t="s">
        <v>69</v>
      </c>
      <c r="T7">
        <f>SUMIFS('Raw Data'!$M$2:$M$3001,'Raw Data'!$T$2:$T$3001,1,'Raw Data'!$G$2:$G$3001,S7)</f>
        <v>4555627781</v>
      </c>
      <c r="U7">
        <f>RANK(T7,$T$2:$T$9)+COUNTIF($T$2:T7,T7)-1</f>
        <v>7</v>
      </c>
      <c r="V7" t="str">
        <f>IFERROR(INDEX($S$2:$S$9,MATCH(6,$U$2:$U$9,0)),"")</f>
        <v>Chennai Motors</v>
      </c>
      <c r="W7">
        <f>IFERROR(INDEX($T$2:$T$9,MATCH(6,$U$2:$U$9,0)),0)</f>
        <v>4863993537</v>
      </c>
      <c r="AB7" t="s">
        <v>60</v>
      </c>
      <c r="AC7">
        <f>SUMIFS('Raw Data'!$M$2:$M$3001,'Raw Data'!$T$2:$T$3001,1,'Raw Data'!$E$2:$E$3001,AB7)</f>
        <v>5483356511</v>
      </c>
      <c r="AE7" t="s">
        <v>80</v>
      </c>
      <c r="AF7">
        <f>IFERROR(AVERAGEIFS('Raw Data'!$R$2:$R$3001,'Raw Data'!$T$2:$T$3001,1,'Raw Data'!$H$2:$H$3001,AE7),0)</f>
        <v>4.2647540983606547</v>
      </c>
    </row>
    <row r="8" spans="1:35">
      <c r="A8">
        <v>2021</v>
      </c>
      <c r="B8">
        <v>7</v>
      </c>
      <c r="C8" t="str">
        <f t="shared" si="0"/>
        <v>Jul-21</v>
      </c>
      <c r="D8">
        <f>SUMIFS('Raw Data'!$M$2:$M$3001,'Raw Data'!$T$2:$T$3001,1,'Raw Data'!$B$2:$B$3001,A8,'Raw Data'!$C$2:$C$3001,B8)</f>
        <v>613209547</v>
      </c>
      <c r="F8" t="s">
        <v>52</v>
      </c>
      <c r="G8">
        <f>SUMIFS('Raw Data'!$M$2:$M$3001,'Raw Data'!$T$2:$T$3001,1,'Raw Data'!$H$2:$H$3001,F8)</f>
        <v>3686612169</v>
      </c>
      <c r="S8" t="s">
        <v>72</v>
      </c>
      <c r="T8">
        <f>SUMIFS('Raw Data'!$M$2:$M$3001,'Raw Data'!$T$2:$T$3001,1,'Raw Data'!$G$2:$G$3001,S8)</f>
        <v>5077073128</v>
      </c>
      <c r="U8">
        <f>RANK(T8,$T$2:$T$9)+COUNTIF($T$2:T8,T8)-1</f>
        <v>5</v>
      </c>
      <c r="V8" t="str">
        <f>IFERROR(INDEX($S$2:$S$9,MATCH(7,$U$2:$U$9,0)),"")</f>
        <v>Kolkata Motors</v>
      </c>
      <c r="W8">
        <f>IFERROR(INDEX($T$2:$T$9,MATCH(7,$U$2:$U$9,0)),0)</f>
        <v>4555627781</v>
      </c>
      <c r="AB8" t="s">
        <v>70</v>
      </c>
      <c r="AC8">
        <f>SUMIFS('Raw Data'!$M$2:$M$3001,'Raw Data'!$T$2:$T$3001,1,'Raw Data'!$E$2:$E$3001,AB8)</f>
        <v>5077073128</v>
      </c>
      <c r="AE8" t="s">
        <v>52</v>
      </c>
      <c r="AF8">
        <f>IFERROR(AVERAGEIFS('Raw Data'!$R$2:$R$3001,'Raw Data'!$T$2:$T$3001,1,'Raw Data'!$H$2:$H$3001,AE8),0)</f>
        <v>4.2689655172413783</v>
      </c>
    </row>
    <row r="9" spans="1:35">
      <c r="A9">
        <v>2021</v>
      </c>
      <c r="B9">
        <v>8</v>
      </c>
      <c r="C9" t="str">
        <f t="shared" si="0"/>
        <v>Aug-21</v>
      </c>
      <c r="D9">
        <f>SUMIFS('Raw Data'!$M$2:$M$3001,'Raw Data'!$T$2:$T$3001,1,'Raw Data'!$B$2:$B$3001,A9,'Raw Data'!$C$2:$C$3001,B9)</f>
        <v>607835973</v>
      </c>
      <c r="F9" t="s">
        <v>79</v>
      </c>
      <c r="G9">
        <f>SUMIFS('Raw Data'!$M$2:$M$3001,'Raw Data'!$T$2:$T$3001,1,'Raw Data'!$H$2:$H$3001,F9)</f>
        <v>3830441300</v>
      </c>
      <c r="S9" t="s">
        <v>47</v>
      </c>
      <c r="T9">
        <f>SUMIFS('Raw Data'!$M$2:$M$3001,'Raw Data'!$T$2:$T$3001,1,'Raw Data'!$G$2:$G$3001,S9)</f>
        <v>4511973441</v>
      </c>
      <c r="U9">
        <f>RANK(T9,$T$2:$T$9)+COUNTIF($T$2:T9,T9)-1</f>
        <v>8</v>
      </c>
      <c r="V9" t="str">
        <f>IFERROR(INDEX($S$2:$S$9,MATCH(8,$U$2:$U$9,0)),"")</f>
        <v>Mumbai Motors</v>
      </c>
      <c r="W9">
        <f>IFERROR(INDEX($T$2:$T$9,MATCH(8,$U$2:$U$9,0)),0)</f>
        <v>4511973441</v>
      </c>
      <c r="AB9" t="s">
        <v>67</v>
      </c>
      <c r="AC9">
        <f>SUMIFS('Raw Data'!$M$2:$M$3001,'Raw Data'!$T$2:$T$3001,1,'Raw Data'!$E$2:$E$3001,AB9)</f>
        <v>4555627781</v>
      </c>
      <c r="AE9" t="s">
        <v>79</v>
      </c>
      <c r="AF9">
        <f>IFERROR(AVERAGEIFS('Raw Data'!$R$2:$R$3001,'Raw Data'!$T$2:$T$3001,1,'Raw Data'!$H$2:$H$3001,AE9),0)</f>
        <v>4.2575757575757551</v>
      </c>
    </row>
    <row r="10" spans="1:35">
      <c r="A10">
        <v>2021</v>
      </c>
      <c r="B10">
        <v>9</v>
      </c>
      <c r="C10" t="str">
        <f t="shared" si="0"/>
        <v>Sep-21</v>
      </c>
      <c r="D10">
        <f>SUMIFS('Raw Data'!$M$2:$M$3001,'Raw Data'!$T$2:$T$3001,1,'Raw Data'!$B$2:$B$3001,A10,'Raw Data'!$C$2:$C$3001,B10)</f>
        <v>580651649</v>
      </c>
      <c r="F10" t="s">
        <v>57</v>
      </c>
      <c r="G10">
        <f>SUMIFS('Raw Data'!$M$2:$M$3001,'Raw Data'!$T$2:$T$3001,1,'Raw Data'!$H$2:$H$3001,F10)</f>
        <v>6358472706</v>
      </c>
      <c r="AE10" t="s">
        <v>57</v>
      </c>
      <c r="AF10">
        <f>IFERROR(AVERAGEIFS('Raw Data'!$R$2:$R$3001,'Raw Data'!$T$2:$T$3001,1,'Raw Data'!$H$2:$H$3001,AE10),0)</f>
        <v>4.3194029850746256</v>
      </c>
    </row>
    <row r="11" spans="1:35">
      <c r="A11">
        <v>2021</v>
      </c>
      <c r="B11">
        <v>10</v>
      </c>
      <c r="C11" t="str">
        <f t="shared" si="0"/>
        <v>Oct-21</v>
      </c>
      <c r="D11">
        <f>SUMIFS('Raw Data'!$M$2:$M$3001,'Raw Data'!$T$2:$T$3001,1,'Raw Data'!$B$2:$B$3001,A11,'Raw Data'!$C$2:$C$3001,B11)</f>
        <v>622895915</v>
      </c>
      <c r="F11" t="s">
        <v>74</v>
      </c>
      <c r="G11">
        <f>SUMIFS('Raw Data'!$M$2:$M$3001,'Raw Data'!$T$2:$T$3001,1,'Raw Data'!$H$2:$H$3001,F11)</f>
        <v>2638660499</v>
      </c>
      <c r="AE11" t="s">
        <v>74</v>
      </c>
      <c r="AF11">
        <f>IFERROR(AVERAGEIFS('Raw Data'!$R$2:$R$3001,'Raw Data'!$T$2:$T$3001,1,'Raw Data'!$H$2:$H$3001,AE11),0)</f>
        <v>4.2835937499999988</v>
      </c>
    </row>
    <row r="12" spans="1:35">
      <c r="A12">
        <v>2021</v>
      </c>
      <c r="B12">
        <v>11</v>
      </c>
      <c r="C12" t="str">
        <f t="shared" si="0"/>
        <v>Nov-21</v>
      </c>
      <c r="D12">
        <f>SUMIFS('Raw Data'!$M$2:$M$3001,'Raw Data'!$T$2:$T$3001,1,'Raw Data'!$B$2:$B$3001,A12,'Raw Data'!$C$2:$C$3001,B12)</f>
        <v>645116964</v>
      </c>
      <c r="F12" t="s">
        <v>86</v>
      </c>
      <c r="G12">
        <f>SUMIFS('Raw Data'!$M$2:$M$3001,'Raw Data'!$T$2:$T$3001,1,'Raw Data'!$H$2:$H$3001,F12)</f>
        <v>2501028313</v>
      </c>
      <c r="AE12" t="s">
        <v>86</v>
      </c>
      <c r="AF12">
        <f>IFERROR(AVERAGEIFS('Raw Data'!$R$2:$R$3001,'Raw Data'!$T$2:$T$3001,1,'Raw Data'!$H$2:$H$3001,AE12),0)</f>
        <v>4.303968253968252</v>
      </c>
    </row>
    <row r="13" spans="1:35">
      <c r="A13">
        <v>2021</v>
      </c>
      <c r="B13">
        <v>12</v>
      </c>
      <c r="C13" t="str">
        <f t="shared" si="0"/>
        <v>Dec-21</v>
      </c>
      <c r="D13">
        <f>SUMIFS('Raw Data'!$M$2:$M$3001,'Raw Data'!$T$2:$T$3001,1,'Raw Data'!$B$2:$B$3001,A13,'Raw Data'!$C$2:$C$3001,B13)</f>
        <v>733668086</v>
      </c>
      <c r="F13" t="s">
        <v>65</v>
      </c>
      <c r="G13">
        <f>SUMIFS('Raw Data'!$M$2:$M$3001,'Raw Data'!$T$2:$T$3001,1,'Raw Data'!$H$2:$H$3001,F13)</f>
        <v>5334848935</v>
      </c>
      <c r="AE13" t="s">
        <v>65</v>
      </c>
      <c r="AF13">
        <f>IFERROR(AVERAGEIFS('Raw Data'!$R$2:$R$3001,'Raw Data'!$T$2:$T$3001,1,'Raw Data'!$H$2:$H$3001,AE13),0)</f>
        <v>4.2481203007518795</v>
      </c>
    </row>
    <row r="14" spans="1:35">
      <c r="A14">
        <v>2022</v>
      </c>
      <c r="B14">
        <v>1</v>
      </c>
      <c r="C14" t="str">
        <f t="shared" si="0"/>
        <v>Jan-22</v>
      </c>
      <c r="D14">
        <f>SUMIFS('Raw Data'!$M$2:$M$3001,'Raw Data'!$T$2:$T$3001,1,'Raw Data'!$B$2:$B$3001,A14,'Raw Data'!$C$2:$C$3001,B14)</f>
        <v>624989756</v>
      </c>
    </row>
    <row r="15" spans="1:35">
      <c r="A15">
        <v>2022</v>
      </c>
      <c r="B15">
        <v>2</v>
      </c>
      <c r="C15" t="str">
        <f t="shared" si="0"/>
        <v>Feb-22</v>
      </c>
      <c r="D15">
        <f>SUMIFS('Raw Data'!$M$2:$M$3001,'Raw Data'!$T$2:$T$3001,1,'Raw Data'!$B$2:$B$3001,A15,'Raw Data'!$C$2:$C$3001,B15)</f>
        <v>483584875</v>
      </c>
    </row>
    <row r="16" spans="1:35">
      <c r="A16">
        <v>2022</v>
      </c>
      <c r="B16">
        <v>3</v>
      </c>
      <c r="C16" t="str">
        <f t="shared" si="0"/>
        <v>Mar-22</v>
      </c>
      <c r="D16">
        <f>SUMIFS('Raw Data'!$M$2:$M$3001,'Raw Data'!$T$2:$T$3001,1,'Raw Data'!$B$2:$B$3001,A16,'Raw Data'!$C$2:$C$3001,B16)</f>
        <v>666135918</v>
      </c>
    </row>
    <row r="17" spans="1:4">
      <c r="A17">
        <v>2022</v>
      </c>
      <c r="B17">
        <v>4</v>
      </c>
      <c r="C17" t="str">
        <f t="shared" si="0"/>
        <v>Apr-22</v>
      </c>
      <c r="D17">
        <f>SUMIFS('Raw Data'!$M$2:$M$3001,'Raw Data'!$T$2:$T$3001,1,'Raw Data'!$B$2:$B$3001,A17,'Raw Data'!$C$2:$C$3001,B17)</f>
        <v>631406516</v>
      </c>
    </row>
    <row r="18" spans="1:4">
      <c r="A18">
        <v>2022</v>
      </c>
      <c r="B18">
        <v>5</v>
      </c>
      <c r="C18" t="str">
        <f t="shared" si="0"/>
        <v>May-22</v>
      </c>
      <c r="D18">
        <f>SUMIFS('Raw Data'!$M$2:$M$3001,'Raw Data'!$T$2:$T$3001,1,'Raw Data'!$B$2:$B$3001,A18,'Raw Data'!$C$2:$C$3001,B18)</f>
        <v>684286087</v>
      </c>
    </row>
    <row r="19" spans="1:4">
      <c r="A19">
        <v>2022</v>
      </c>
      <c r="B19">
        <v>6</v>
      </c>
      <c r="C19" t="str">
        <f t="shared" si="0"/>
        <v>Jun-22</v>
      </c>
      <c r="D19">
        <f>SUMIFS('Raw Data'!$M$2:$M$3001,'Raw Data'!$T$2:$T$3001,1,'Raw Data'!$B$2:$B$3001,A19,'Raw Data'!$C$2:$C$3001,B19)</f>
        <v>541292728</v>
      </c>
    </row>
    <row r="20" spans="1:4">
      <c r="A20">
        <v>2022</v>
      </c>
      <c r="B20">
        <v>7</v>
      </c>
      <c r="C20" t="str">
        <f t="shared" si="0"/>
        <v>Jul-22</v>
      </c>
      <c r="D20">
        <f>SUMIFS('Raw Data'!$M$2:$M$3001,'Raw Data'!$T$2:$T$3001,1,'Raw Data'!$B$2:$B$3001,A20,'Raw Data'!$C$2:$C$3001,B20)</f>
        <v>780106068</v>
      </c>
    </row>
    <row r="21" spans="1:4">
      <c r="A21">
        <v>2022</v>
      </c>
      <c r="B21">
        <v>8</v>
      </c>
      <c r="C21" t="str">
        <f t="shared" si="0"/>
        <v>Aug-22</v>
      </c>
      <c r="D21">
        <f>SUMIFS('Raw Data'!$M$2:$M$3001,'Raw Data'!$T$2:$T$3001,1,'Raw Data'!$B$2:$B$3001,A21,'Raw Data'!$C$2:$C$3001,B21)</f>
        <v>681137586</v>
      </c>
    </row>
    <row r="22" spans="1:4">
      <c r="A22">
        <v>2022</v>
      </c>
      <c r="B22">
        <v>9</v>
      </c>
      <c r="C22" t="str">
        <f t="shared" si="0"/>
        <v>Sep-22</v>
      </c>
      <c r="D22">
        <f>SUMIFS('Raw Data'!$M$2:$M$3001,'Raw Data'!$T$2:$T$3001,1,'Raw Data'!$B$2:$B$3001,A22,'Raw Data'!$C$2:$C$3001,B22)</f>
        <v>764862343</v>
      </c>
    </row>
    <row r="23" spans="1:4">
      <c r="A23">
        <v>2022</v>
      </c>
      <c r="B23">
        <v>10</v>
      </c>
      <c r="C23" t="str">
        <f t="shared" si="0"/>
        <v>Oct-22</v>
      </c>
      <c r="D23">
        <f>SUMIFS('Raw Data'!$M$2:$M$3001,'Raw Data'!$T$2:$T$3001,1,'Raw Data'!$B$2:$B$3001,A23,'Raw Data'!$C$2:$C$3001,B23)</f>
        <v>705520597</v>
      </c>
    </row>
    <row r="24" spans="1:4">
      <c r="A24">
        <v>2022</v>
      </c>
      <c r="B24">
        <v>11</v>
      </c>
      <c r="C24" t="str">
        <f t="shared" si="0"/>
        <v>Nov-22</v>
      </c>
      <c r="D24">
        <f>SUMIFS('Raw Data'!$M$2:$M$3001,'Raw Data'!$T$2:$T$3001,1,'Raw Data'!$B$2:$B$3001,A24,'Raw Data'!$C$2:$C$3001,B24)</f>
        <v>840586095</v>
      </c>
    </row>
    <row r="25" spans="1:4">
      <c r="A25">
        <v>2022</v>
      </c>
      <c r="B25">
        <v>12</v>
      </c>
      <c r="C25" t="str">
        <f t="shared" si="0"/>
        <v>Dec-22</v>
      </c>
      <c r="D25">
        <f>SUMIFS('Raw Data'!$M$2:$M$3001,'Raw Data'!$T$2:$T$3001,1,'Raw Data'!$B$2:$B$3001,A25,'Raw Data'!$C$2:$C$3001,B25)</f>
        <v>731717689</v>
      </c>
    </row>
    <row r="26" spans="1:4">
      <c r="A26">
        <v>2023</v>
      </c>
      <c r="B26">
        <v>1</v>
      </c>
      <c r="C26" t="str">
        <f t="shared" si="0"/>
        <v>Jan-23</v>
      </c>
      <c r="D26">
        <f>SUMIFS('Raw Data'!$M$2:$M$3001,'Raw Data'!$T$2:$T$3001,1,'Raw Data'!$B$2:$B$3001,A26,'Raw Data'!$C$2:$C$3001,B26)</f>
        <v>498380968</v>
      </c>
    </row>
    <row r="27" spans="1:4">
      <c r="A27">
        <v>2023</v>
      </c>
      <c r="B27">
        <v>2</v>
      </c>
      <c r="C27" t="str">
        <f t="shared" si="0"/>
        <v>Feb-23</v>
      </c>
      <c r="D27">
        <f>SUMIFS('Raw Data'!$M$2:$M$3001,'Raw Data'!$T$2:$T$3001,1,'Raw Data'!$B$2:$B$3001,A27,'Raw Data'!$C$2:$C$3001,B27)</f>
        <v>662219650</v>
      </c>
    </row>
    <row r="28" spans="1:4">
      <c r="A28">
        <v>2023</v>
      </c>
      <c r="B28">
        <v>3</v>
      </c>
      <c r="C28" t="str">
        <f t="shared" si="0"/>
        <v>Mar-23</v>
      </c>
      <c r="D28">
        <f>SUMIFS('Raw Data'!$M$2:$M$3001,'Raw Data'!$T$2:$T$3001,1,'Raw Data'!$B$2:$B$3001,A28,'Raw Data'!$C$2:$C$3001,B28)</f>
        <v>770621017</v>
      </c>
    </row>
    <row r="29" spans="1:4">
      <c r="A29">
        <v>2023</v>
      </c>
      <c r="B29">
        <v>4</v>
      </c>
      <c r="C29" t="str">
        <f t="shared" si="0"/>
        <v>Apr-23</v>
      </c>
      <c r="D29">
        <f>SUMIFS('Raw Data'!$M$2:$M$3001,'Raw Data'!$T$2:$T$3001,1,'Raw Data'!$B$2:$B$3001,A29,'Raw Data'!$C$2:$C$3001,B29)</f>
        <v>696577683</v>
      </c>
    </row>
    <row r="30" spans="1:4">
      <c r="A30">
        <v>2023</v>
      </c>
      <c r="B30">
        <v>5</v>
      </c>
      <c r="C30" t="str">
        <f t="shared" si="0"/>
        <v>May-23</v>
      </c>
      <c r="D30">
        <f>SUMIFS('Raw Data'!$M$2:$M$3001,'Raw Data'!$T$2:$T$3001,1,'Raw Data'!$B$2:$B$3001,A30,'Raw Data'!$C$2:$C$3001,B30)</f>
        <v>598512360</v>
      </c>
    </row>
    <row r="31" spans="1:4">
      <c r="A31">
        <v>2023</v>
      </c>
      <c r="B31">
        <v>6</v>
      </c>
      <c r="C31" t="str">
        <f t="shared" si="0"/>
        <v>Jun-23</v>
      </c>
      <c r="D31">
        <f>SUMIFS('Raw Data'!$M$2:$M$3001,'Raw Data'!$T$2:$T$3001,1,'Raw Data'!$B$2:$B$3001,A31,'Raw Data'!$C$2:$C$3001,B31)</f>
        <v>460783869</v>
      </c>
    </row>
    <row r="32" spans="1:4">
      <c r="A32">
        <v>2023</v>
      </c>
      <c r="B32">
        <v>7</v>
      </c>
      <c r="C32" t="str">
        <f t="shared" si="0"/>
        <v>Jul-23</v>
      </c>
      <c r="D32">
        <f>SUMIFS('Raw Data'!$M$2:$M$3001,'Raw Data'!$T$2:$T$3001,1,'Raw Data'!$B$2:$B$3001,A32,'Raw Data'!$C$2:$C$3001,B32)</f>
        <v>580783751</v>
      </c>
    </row>
    <row r="33" spans="1:4">
      <c r="A33">
        <v>2023</v>
      </c>
      <c r="B33">
        <v>8</v>
      </c>
      <c r="C33" t="str">
        <f t="shared" si="0"/>
        <v>Aug-23</v>
      </c>
      <c r="D33">
        <f>SUMIFS('Raw Data'!$M$2:$M$3001,'Raw Data'!$T$2:$T$3001,1,'Raw Data'!$B$2:$B$3001,A33,'Raw Data'!$C$2:$C$3001,B33)</f>
        <v>842638610</v>
      </c>
    </row>
    <row r="34" spans="1:4">
      <c r="A34">
        <v>2023</v>
      </c>
      <c r="B34">
        <v>9</v>
      </c>
      <c r="C34" t="str">
        <f t="shared" ref="C34:C61" si="1">TEXT(DATE(A34,B34,1),"mmm-yy")</f>
        <v>Sep-23</v>
      </c>
      <c r="D34">
        <f>SUMIFS('Raw Data'!$M$2:$M$3001,'Raw Data'!$T$2:$T$3001,1,'Raw Data'!$B$2:$B$3001,A34,'Raw Data'!$C$2:$C$3001,B34)</f>
        <v>764717642</v>
      </c>
    </row>
    <row r="35" spans="1:4">
      <c r="A35">
        <v>2023</v>
      </c>
      <c r="B35">
        <v>10</v>
      </c>
      <c r="C35" t="str">
        <f t="shared" si="1"/>
        <v>Oct-23</v>
      </c>
      <c r="D35">
        <f>SUMIFS('Raw Data'!$M$2:$M$3001,'Raw Data'!$T$2:$T$3001,1,'Raw Data'!$B$2:$B$3001,A35,'Raw Data'!$C$2:$C$3001,B35)</f>
        <v>770589723</v>
      </c>
    </row>
    <row r="36" spans="1:4">
      <c r="A36">
        <v>2023</v>
      </c>
      <c r="B36">
        <v>11</v>
      </c>
      <c r="C36" t="str">
        <f t="shared" si="1"/>
        <v>Nov-23</v>
      </c>
      <c r="D36">
        <f>SUMIFS('Raw Data'!$M$2:$M$3001,'Raw Data'!$T$2:$T$3001,1,'Raw Data'!$B$2:$B$3001,A36,'Raw Data'!$C$2:$C$3001,B36)</f>
        <v>538565342</v>
      </c>
    </row>
    <row r="37" spans="1:4">
      <c r="A37">
        <v>2023</v>
      </c>
      <c r="B37">
        <v>12</v>
      </c>
      <c r="C37" t="str">
        <f t="shared" si="1"/>
        <v>Dec-23</v>
      </c>
      <c r="D37">
        <f>SUMIFS('Raw Data'!$M$2:$M$3001,'Raw Data'!$T$2:$T$3001,1,'Raw Data'!$B$2:$B$3001,A37,'Raw Data'!$C$2:$C$3001,B37)</f>
        <v>514902383</v>
      </c>
    </row>
    <row r="38" spans="1:4">
      <c r="A38">
        <v>2024</v>
      </c>
      <c r="B38">
        <v>1</v>
      </c>
      <c r="C38" t="str">
        <f t="shared" si="1"/>
        <v>Jan-24</v>
      </c>
      <c r="D38">
        <f>SUMIFS('Raw Data'!$M$2:$M$3001,'Raw Data'!$T$2:$T$3001,1,'Raw Data'!$B$2:$B$3001,A38,'Raw Data'!$C$2:$C$3001,B38)</f>
        <v>527081512</v>
      </c>
    </row>
    <row r="39" spans="1:4">
      <c r="A39">
        <v>2024</v>
      </c>
      <c r="B39">
        <v>2</v>
      </c>
      <c r="C39" t="str">
        <f t="shared" si="1"/>
        <v>Feb-24</v>
      </c>
      <c r="D39">
        <f>SUMIFS('Raw Data'!$M$2:$M$3001,'Raw Data'!$T$2:$T$3001,1,'Raw Data'!$B$2:$B$3001,A39,'Raw Data'!$C$2:$C$3001,B39)</f>
        <v>826773197</v>
      </c>
    </row>
    <row r="40" spans="1:4">
      <c r="A40">
        <v>2024</v>
      </c>
      <c r="B40">
        <v>3</v>
      </c>
      <c r="C40" t="str">
        <f t="shared" si="1"/>
        <v>Mar-24</v>
      </c>
      <c r="D40">
        <f>SUMIFS('Raw Data'!$M$2:$M$3001,'Raw Data'!$T$2:$T$3001,1,'Raw Data'!$B$2:$B$3001,A40,'Raw Data'!$C$2:$C$3001,B40)</f>
        <v>581655079</v>
      </c>
    </row>
    <row r="41" spans="1:4">
      <c r="A41">
        <v>2024</v>
      </c>
      <c r="B41">
        <v>4</v>
      </c>
      <c r="C41" t="str">
        <f t="shared" si="1"/>
        <v>Apr-24</v>
      </c>
      <c r="D41">
        <f>SUMIFS('Raw Data'!$M$2:$M$3001,'Raw Data'!$T$2:$T$3001,1,'Raw Data'!$B$2:$B$3001,A41,'Raw Data'!$C$2:$C$3001,B41)</f>
        <v>559668067</v>
      </c>
    </row>
    <row r="42" spans="1:4">
      <c r="A42">
        <v>2024</v>
      </c>
      <c r="B42">
        <v>5</v>
      </c>
      <c r="C42" t="str">
        <f t="shared" si="1"/>
        <v>May-24</v>
      </c>
      <c r="D42">
        <f>SUMIFS('Raw Data'!$M$2:$M$3001,'Raw Data'!$T$2:$T$3001,1,'Raw Data'!$B$2:$B$3001,A42,'Raw Data'!$C$2:$C$3001,B42)</f>
        <v>982487836</v>
      </c>
    </row>
    <row r="43" spans="1:4">
      <c r="A43">
        <v>2024</v>
      </c>
      <c r="B43">
        <v>6</v>
      </c>
      <c r="C43" t="str">
        <f t="shared" si="1"/>
        <v>Jun-24</v>
      </c>
      <c r="D43">
        <f>SUMIFS('Raw Data'!$M$2:$M$3001,'Raw Data'!$T$2:$T$3001,1,'Raw Data'!$B$2:$B$3001,A43,'Raw Data'!$C$2:$C$3001,B43)</f>
        <v>697865437</v>
      </c>
    </row>
    <row r="44" spans="1:4">
      <c r="A44">
        <v>2024</v>
      </c>
      <c r="B44">
        <v>7</v>
      </c>
      <c r="C44" t="str">
        <f t="shared" si="1"/>
        <v>Jul-24</v>
      </c>
      <c r="D44">
        <f>SUMIFS('Raw Data'!$M$2:$M$3001,'Raw Data'!$T$2:$T$3001,1,'Raw Data'!$B$2:$B$3001,A44,'Raw Data'!$C$2:$C$3001,B44)</f>
        <v>715199007</v>
      </c>
    </row>
    <row r="45" spans="1:4">
      <c r="A45">
        <v>2024</v>
      </c>
      <c r="B45">
        <v>8</v>
      </c>
      <c r="C45" t="str">
        <f t="shared" si="1"/>
        <v>Aug-24</v>
      </c>
      <c r="D45">
        <f>SUMIFS('Raw Data'!$M$2:$M$3001,'Raw Data'!$T$2:$T$3001,1,'Raw Data'!$B$2:$B$3001,A45,'Raw Data'!$C$2:$C$3001,B45)</f>
        <v>481236432</v>
      </c>
    </row>
    <row r="46" spans="1:4">
      <c r="A46">
        <v>2024</v>
      </c>
      <c r="B46">
        <v>9</v>
      </c>
      <c r="C46" t="str">
        <f t="shared" si="1"/>
        <v>Sep-24</v>
      </c>
      <c r="D46">
        <f>SUMIFS('Raw Data'!$M$2:$M$3001,'Raw Data'!$T$2:$T$3001,1,'Raw Data'!$B$2:$B$3001,A46,'Raw Data'!$C$2:$C$3001,B46)</f>
        <v>716348888</v>
      </c>
    </row>
    <row r="47" spans="1:4">
      <c r="A47">
        <v>2024</v>
      </c>
      <c r="B47">
        <v>10</v>
      </c>
      <c r="C47" t="str">
        <f t="shared" si="1"/>
        <v>Oct-24</v>
      </c>
      <c r="D47">
        <f>SUMIFS('Raw Data'!$M$2:$M$3001,'Raw Data'!$T$2:$T$3001,1,'Raw Data'!$B$2:$B$3001,A47,'Raw Data'!$C$2:$C$3001,B47)</f>
        <v>667468481</v>
      </c>
    </row>
    <row r="48" spans="1:4">
      <c r="A48">
        <v>2024</v>
      </c>
      <c r="B48">
        <v>11</v>
      </c>
      <c r="C48" t="str">
        <f t="shared" si="1"/>
        <v>Nov-24</v>
      </c>
      <c r="D48">
        <f>SUMIFS('Raw Data'!$M$2:$M$3001,'Raw Data'!$T$2:$T$3001,1,'Raw Data'!$B$2:$B$3001,A48,'Raw Data'!$C$2:$C$3001,B48)</f>
        <v>774529494</v>
      </c>
    </row>
    <row r="49" spans="1:4">
      <c r="A49">
        <v>2024</v>
      </c>
      <c r="B49">
        <v>12</v>
      </c>
      <c r="C49" t="str">
        <f t="shared" si="1"/>
        <v>Dec-24</v>
      </c>
      <c r="D49">
        <f>SUMIFS('Raw Data'!$M$2:$M$3001,'Raw Data'!$T$2:$T$3001,1,'Raw Data'!$B$2:$B$3001,A49,'Raw Data'!$C$2:$C$3001,B49)</f>
        <v>682096498</v>
      </c>
    </row>
    <row r="50" spans="1:4">
      <c r="A50">
        <v>2025</v>
      </c>
      <c r="B50">
        <v>1</v>
      </c>
      <c r="C50" t="str">
        <f t="shared" si="1"/>
        <v>Jan-25</v>
      </c>
      <c r="D50">
        <f>SUMIFS('Raw Data'!$M$2:$M$3001,'Raw Data'!$T$2:$T$3001,1,'Raw Data'!$B$2:$B$3001,A50,'Raw Data'!$C$2:$C$3001,B50)</f>
        <v>632320158</v>
      </c>
    </row>
    <row r="51" spans="1:4">
      <c r="A51">
        <v>2025</v>
      </c>
      <c r="B51">
        <v>2</v>
      </c>
      <c r="C51" t="str">
        <f t="shared" si="1"/>
        <v>Feb-25</v>
      </c>
      <c r="D51">
        <f>SUMIFS('Raw Data'!$M$2:$M$3001,'Raw Data'!$T$2:$T$3001,1,'Raw Data'!$B$2:$B$3001,A51,'Raw Data'!$C$2:$C$3001,B51)</f>
        <v>642353224</v>
      </c>
    </row>
    <row r="52" spans="1:4">
      <c r="A52">
        <v>2025</v>
      </c>
      <c r="B52">
        <v>3</v>
      </c>
      <c r="C52" t="str">
        <f t="shared" si="1"/>
        <v>Mar-25</v>
      </c>
      <c r="D52">
        <f>SUMIFS('Raw Data'!$M$2:$M$3001,'Raw Data'!$T$2:$T$3001,1,'Raw Data'!$B$2:$B$3001,A52,'Raw Data'!$C$2:$C$3001,B52)</f>
        <v>750264321</v>
      </c>
    </row>
    <row r="53" spans="1:4">
      <c r="A53">
        <v>2025</v>
      </c>
      <c r="B53">
        <v>4</v>
      </c>
      <c r="C53" t="str">
        <f t="shared" si="1"/>
        <v>Apr-25</v>
      </c>
      <c r="D53">
        <f>SUMIFS('Raw Data'!$M$2:$M$3001,'Raw Data'!$T$2:$T$3001,1,'Raw Data'!$B$2:$B$3001,A53,'Raw Data'!$C$2:$C$3001,B53)</f>
        <v>619280949</v>
      </c>
    </row>
    <row r="54" spans="1:4">
      <c r="A54">
        <v>2025</v>
      </c>
      <c r="B54">
        <v>5</v>
      </c>
      <c r="C54" t="str">
        <f t="shared" si="1"/>
        <v>May-25</v>
      </c>
      <c r="D54">
        <f>SUMIFS('Raw Data'!$M$2:$M$3001,'Raw Data'!$T$2:$T$3001,1,'Raw Data'!$B$2:$B$3001,A54,'Raw Data'!$C$2:$C$3001,B54)</f>
        <v>685953002</v>
      </c>
    </row>
    <row r="55" spans="1:4">
      <c r="A55">
        <v>2025</v>
      </c>
      <c r="B55">
        <v>6</v>
      </c>
      <c r="C55" t="str">
        <f t="shared" si="1"/>
        <v>Jun-25</v>
      </c>
      <c r="D55">
        <f>SUMIFS('Raw Data'!$M$2:$M$3001,'Raw Data'!$T$2:$T$3001,1,'Raw Data'!$B$2:$B$3001,A55,'Raw Data'!$C$2:$C$3001,B55)</f>
        <v>572995488</v>
      </c>
    </row>
    <row r="56" spans="1:4">
      <c r="A56">
        <v>2025</v>
      </c>
      <c r="B56">
        <v>7</v>
      </c>
      <c r="C56" t="str">
        <f t="shared" si="1"/>
        <v>Jul-25</v>
      </c>
      <c r="D56">
        <f>SUMIFS('Raw Data'!$M$2:$M$3001,'Raw Data'!$T$2:$T$3001,1,'Raw Data'!$B$2:$B$3001,A56,'Raw Data'!$C$2:$C$3001,B56)</f>
        <v>809773483</v>
      </c>
    </row>
    <row r="57" spans="1:4">
      <c r="A57">
        <v>2025</v>
      </c>
      <c r="B57">
        <v>8</v>
      </c>
      <c r="C57" t="str">
        <f t="shared" si="1"/>
        <v>Aug-25</v>
      </c>
      <c r="D57">
        <f>SUMIFS('Raw Data'!$M$2:$M$3001,'Raw Data'!$T$2:$T$3001,1,'Raw Data'!$B$2:$B$3001,A57,'Raw Data'!$C$2:$C$3001,B57)</f>
        <v>881632380</v>
      </c>
    </row>
    <row r="58" spans="1:4">
      <c r="A58">
        <v>2025</v>
      </c>
      <c r="B58">
        <v>9</v>
      </c>
      <c r="C58" t="str">
        <f t="shared" si="1"/>
        <v>Sep-25</v>
      </c>
      <c r="D58">
        <f>SUMIFS('Raw Data'!$M$2:$M$3001,'Raw Data'!$T$2:$T$3001,1,'Raw Data'!$B$2:$B$3001,A58,'Raw Data'!$C$2:$C$3001,B58)</f>
        <v>595182129</v>
      </c>
    </row>
    <row r="59" spans="1:4">
      <c r="A59">
        <v>2025</v>
      </c>
      <c r="B59">
        <v>10</v>
      </c>
      <c r="C59" t="str">
        <f t="shared" si="1"/>
        <v>Oct-25</v>
      </c>
      <c r="D59">
        <f>SUMIFS('Raw Data'!$M$2:$M$3001,'Raw Data'!$T$2:$T$3001,1,'Raw Data'!$B$2:$B$3001,A59,'Raw Data'!$C$2:$C$3001,B59)</f>
        <v>525757618</v>
      </c>
    </row>
    <row r="60" spans="1:4">
      <c r="A60">
        <v>2025</v>
      </c>
      <c r="B60">
        <v>11</v>
      </c>
      <c r="C60" t="str">
        <f t="shared" si="1"/>
        <v>Nov-25</v>
      </c>
      <c r="D60">
        <f>SUMIFS('Raw Data'!$M$2:$M$3001,'Raw Data'!$T$2:$T$3001,1,'Raw Data'!$B$2:$B$3001,A60,'Raw Data'!$C$2:$C$3001,B60)</f>
        <v>542203161</v>
      </c>
    </row>
    <row r="61" spans="1:4">
      <c r="A61">
        <v>2025</v>
      </c>
      <c r="B61">
        <v>12</v>
      </c>
      <c r="C61" t="str">
        <f t="shared" si="1"/>
        <v>Dec-25</v>
      </c>
      <c r="D61">
        <f>SUMIFS('Raw Data'!$M$2:$M$3001,'Raw Data'!$T$2:$T$3001,1,'Raw Data'!$B$2:$B$3001,A61,'Raw Data'!$C$2:$C$3001,B61)</f>
        <v>875810117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Dashboard</vt:lpstr>
      <vt:lpstr>Raw Data</vt:lpstr>
      <vt:lpstr>README</vt:lpstr>
      <vt:lpstr>Lists</vt:lpstr>
      <vt:lpstr>Calc</vt:lpstr>
      <vt:lpstr>Sel_City</vt:lpstr>
      <vt:lpstr>Sel_CustType</vt:lpstr>
      <vt:lpstr>Sel_Dealer</vt:lpstr>
      <vt:lpstr>Sel_Fuel</vt:lpstr>
      <vt:lpstr>Sel_Model</vt:lpstr>
      <vt:lpstr>Sel_Month</vt:lpstr>
      <vt:lpstr>Sel_Payment</vt:lpstr>
      <vt:lpstr>Sel_Region</vt:lpstr>
      <vt:lpstr>Sel_Segment</vt:lpstr>
      <vt:lpstr>Sel_State</vt:lpstr>
      <vt:lpstr>Sel_Year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Jai Jangra</cp:lastModifiedBy>
  <cp:revision>1</cp:revision>
  <dcterms:created xsi:type="dcterms:W3CDTF">2026-07-11T06:58:35Z</dcterms:created>
  <dcterms:modified xsi:type="dcterms:W3CDTF">2026-07-12T17:18:18Z</dcterms:modified>
  <dc:language>en-US</dc:language>
</cp:coreProperties>
</file>